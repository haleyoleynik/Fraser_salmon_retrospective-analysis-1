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3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data/"/>
    </mc:Choice>
  </mc:AlternateContent>
  <xr:revisionPtr revIDLastSave="2" documentId="13_ncr:1_{01AF87A4-4B69-4E67-BDD8-761EF8284CAE}" xr6:coauthVersionLast="47" xr6:coauthVersionMax="47" xr10:uidLastSave="{EA0C9BCE-848C-47F7-B05F-1FD4E4C630BA}"/>
  <bookViews>
    <workbookView xWindow="-52920" yWindow="-2610" windowWidth="24240" windowHeight="13020" activeTab="2" xr2:uid="{848D9274-A22E-48FB-A236-0E21D922D889}"/>
  </bookViews>
  <sheets>
    <sheet name="Orig data" sheetId="1" r:id="rId1"/>
    <sheet name="policy compare" sheetId="2" r:id="rId2"/>
    <sheet name="regression" sheetId="3" r:id="rId3"/>
    <sheet name="regression ret yr ssl" sheetId="4" r:id="rId4"/>
  </sheets>
  <definedNames>
    <definedName name="aa">'Orig data'!$B$1</definedName>
    <definedName name="ar" localSheetId="3">#REF!</definedName>
    <definedName name="ar">#REF!</definedName>
    <definedName name="bb">'Orig data'!$B$2</definedName>
    <definedName name="br" localSheetId="3">#REF!</definedName>
    <definedName name="br">#REF!</definedName>
    <definedName name="cslope">'Orig data'!$AW$3</definedName>
    <definedName name="negLL" localSheetId="3">#REF!</definedName>
    <definedName name="negLL">#REF!</definedName>
    <definedName name="nlim">'Orig data'!$AY$3</definedName>
    <definedName name="retroU">'Orig data'!$AQ$2</definedName>
    <definedName name="retroUtil">'Orig data'!$BA$1</definedName>
    <definedName name="retroY">'Orig data'!$AQ$3</definedName>
    <definedName name="rho" localSheetId="3">#REF!</definedName>
    <definedName name="rho">#REF!</definedName>
    <definedName name="sige" localSheetId="3">#REF!</definedName>
    <definedName name="sige">#REF!</definedName>
    <definedName name="sigev" localSheetId="3">#REF!</definedName>
    <definedName name="sigev">#REF!</definedName>
    <definedName name="sigr" localSheetId="3">#REF!</definedName>
    <definedName name="sigr">#REF!</definedName>
    <definedName name="solver_adj" localSheetId="0" hidden="1">'Orig data'!$AY$3,'Orig data'!$AW$3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'Orig data'!$BA$1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  <definedName name="umethod">'Orig data'!$AU$2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3" i="3" l="1"/>
  <c r="S32" i="3"/>
  <c r="S30" i="3"/>
  <c r="S27" i="3"/>
  <c r="T26" i="3"/>
  <c r="S26" i="3"/>
  <c r="S24" i="3"/>
  <c r="O22" i="3"/>
  <c r="O24" i="3"/>
  <c r="P24" i="3"/>
  <c r="P21" i="3"/>
  <c r="O21" i="3"/>
  <c r="L2" i="3"/>
  <c r="L3" i="3"/>
  <c r="K2" i="3"/>
  <c r="J2" i="3"/>
  <c r="I2" i="3"/>
  <c r="I3" i="3"/>
  <c r="J5" i="1"/>
  <c r="K22" i="4" l="1"/>
  <c r="J22" i="4"/>
  <c r="L21" i="4"/>
  <c r="K21" i="4"/>
  <c r="J21" i="4"/>
  <c r="L24" i="4"/>
  <c r="L22" i="4" s="1"/>
  <c r="K24" i="4"/>
  <c r="J24" i="4"/>
  <c r="P22" i="3"/>
  <c r="Q24" i="3"/>
  <c r="Q22" i="3" s="1"/>
  <c r="D3" i="3"/>
  <c r="J3" i="3" s="1"/>
  <c r="D4" i="3"/>
  <c r="J4" i="3" s="1"/>
  <c r="D5" i="3"/>
  <c r="J5" i="3" s="1"/>
  <c r="D6" i="3"/>
  <c r="J6" i="3" s="1"/>
  <c r="D7" i="3"/>
  <c r="J7" i="3" s="1"/>
  <c r="D8" i="3"/>
  <c r="J8" i="3" s="1"/>
  <c r="D9" i="3"/>
  <c r="J9" i="3" s="1"/>
  <c r="D10" i="3"/>
  <c r="J10" i="3" s="1"/>
  <c r="D11" i="3"/>
  <c r="J11" i="3" s="1"/>
  <c r="D12" i="3"/>
  <c r="J12" i="3" s="1"/>
  <c r="D13" i="3"/>
  <c r="J13" i="3" s="1"/>
  <c r="D14" i="3"/>
  <c r="J14" i="3" s="1"/>
  <c r="D15" i="3"/>
  <c r="J15" i="3" s="1"/>
  <c r="D16" i="3"/>
  <c r="J16" i="3" s="1"/>
  <c r="D17" i="3"/>
  <c r="J17" i="3" s="1"/>
  <c r="D18" i="3"/>
  <c r="J18" i="3" s="1"/>
  <c r="D19" i="3"/>
  <c r="J19" i="3" s="1"/>
  <c r="D20" i="3"/>
  <c r="J20" i="3" s="1"/>
  <c r="D21" i="3"/>
  <c r="J21" i="3" s="1"/>
  <c r="D22" i="3"/>
  <c r="J22" i="3" s="1"/>
  <c r="D23" i="3"/>
  <c r="J23" i="3" s="1"/>
  <c r="D24" i="3"/>
  <c r="J24" i="3" s="1"/>
  <c r="D25" i="3"/>
  <c r="J25" i="3" s="1"/>
  <c r="D26" i="3"/>
  <c r="J26" i="3" s="1"/>
  <c r="D27" i="3"/>
  <c r="J27" i="3" s="1"/>
  <c r="D28" i="3"/>
  <c r="J28" i="3" s="1"/>
  <c r="D29" i="3"/>
  <c r="J29" i="3" s="1"/>
  <c r="D30" i="3"/>
  <c r="J30" i="3" s="1"/>
  <c r="D31" i="3"/>
  <c r="J31" i="3" s="1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2" i="3"/>
  <c r="Q21" i="3"/>
  <c r="D44" i="4" l="1"/>
  <c r="J47" i="3"/>
  <c r="D59" i="4"/>
  <c r="J62" i="3"/>
  <c r="D43" i="4"/>
  <c r="J46" i="3"/>
  <c r="D46" i="4"/>
  <c r="J49" i="3"/>
  <c r="D42" i="4"/>
  <c r="J45" i="3"/>
  <c r="D57" i="4"/>
  <c r="J60" i="3"/>
  <c r="D41" i="4"/>
  <c r="J44" i="3"/>
  <c r="D30" i="4"/>
  <c r="J33" i="3"/>
  <c r="D55" i="4"/>
  <c r="J58" i="3"/>
  <c r="D39" i="4"/>
  <c r="J42" i="3"/>
  <c r="D61" i="4"/>
  <c r="J64" i="3"/>
  <c r="D45" i="4"/>
  <c r="J48" i="3"/>
  <c r="D40" i="4"/>
  <c r="J43" i="3"/>
  <c r="D53" i="4"/>
  <c r="J56" i="3"/>
  <c r="D52" i="4"/>
  <c r="J55" i="3"/>
  <c r="D36" i="4"/>
  <c r="J39" i="3"/>
  <c r="D62" i="4"/>
  <c r="J65" i="3"/>
  <c r="D60" i="4"/>
  <c r="J63" i="3"/>
  <c r="D56" i="4"/>
  <c r="J59" i="3"/>
  <c r="D38" i="4"/>
  <c r="J41" i="3"/>
  <c r="D37" i="4"/>
  <c r="J40" i="3"/>
  <c r="D51" i="4"/>
  <c r="J54" i="3"/>
  <c r="D35" i="4"/>
  <c r="J38" i="3"/>
  <c r="D50" i="4"/>
  <c r="J53" i="3"/>
  <c r="D29" i="4"/>
  <c r="J32" i="3"/>
  <c r="D34" i="4"/>
  <c r="J37" i="3"/>
  <c r="D65" i="4"/>
  <c r="J68" i="3"/>
  <c r="D49" i="4"/>
  <c r="J52" i="3"/>
  <c r="D33" i="4"/>
  <c r="J36" i="3"/>
  <c r="D54" i="4"/>
  <c r="J57" i="3"/>
  <c r="D64" i="4"/>
  <c r="J67" i="3"/>
  <c r="D48" i="4"/>
  <c r="J51" i="3"/>
  <c r="D32" i="4"/>
  <c r="J35" i="3"/>
  <c r="D58" i="4"/>
  <c r="J61" i="3"/>
  <c r="D63" i="4"/>
  <c r="J66" i="3"/>
  <c r="D47" i="4"/>
  <c r="J50" i="3"/>
  <c r="D31" i="4"/>
  <c r="J34" i="3"/>
  <c r="D15" i="4"/>
  <c r="D13" i="4"/>
  <c r="D23" i="4"/>
  <c r="D28" i="4"/>
  <c r="D12" i="4"/>
  <c r="D6" i="4"/>
  <c r="D14" i="4"/>
  <c r="D7" i="4"/>
  <c r="D5" i="4"/>
  <c r="D26" i="4"/>
  <c r="D9" i="4"/>
  <c r="D24" i="4"/>
  <c r="D21" i="4"/>
  <c r="D20" i="4"/>
  <c r="D4" i="4"/>
  <c r="D10" i="4"/>
  <c r="D25" i="4"/>
  <c r="D22" i="4"/>
  <c r="D19" i="4"/>
  <c r="D18" i="4"/>
  <c r="D2" i="4"/>
  <c r="D27" i="4"/>
  <c r="D3" i="4"/>
  <c r="D17" i="4"/>
  <c r="D11" i="4"/>
  <c r="D8" i="4"/>
  <c r="D16" i="4"/>
  <c r="G3" i="1" l="1"/>
  <c r="C72" i="1" l="1"/>
  <c r="C73" i="1"/>
  <c r="C74" i="1"/>
  <c r="C75" i="1"/>
  <c r="C76" i="1"/>
  <c r="C77" i="1"/>
  <c r="C78" i="1"/>
  <c r="B77" i="1" l="1"/>
  <c r="B78" i="1"/>
  <c r="BH1" i="1" l="1"/>
  <c r="U77" i="1" l="1"/>
  <c r="E7" i="2" l="1"/>
  <c r="F6" i="2" l="1"/>
  <c r="F11" i="2" s="1"/>
  <c r="E6" i="2"/>
  <c r="E13" i="2" s="1"/>
  <c r="R1" i="2"/>
  <c r="P4" i="2"/>
  <c r="P5" i="2"/>
  <c r="P6" i="2"/>
  <c r="O4" i="2"/>
  <c r="O5" i="2"/>
  <c r="O6" i="2"/>
  <c r="O7" i="2"/>
  <c r="P7" i="2" s="1"/>
  <c r="O8" i="2"/>
  <c r="O9" i="2" s="1"/>
  <c r="O10" i="2" s="1"/>
  <c r="O11" i="2" s="1"/>
  <c r="O12" i="2" s="1"/>
  <c r="O13" i="2" s="1"/>
  <c r="O14" i="2" s="1"/>
  <c r="O15" i="2" s="1"/>
  <c r="O16" i="2" s="1"/>
  <c r="P16" i="2" s="1"/>
  <c r="O3" i="2"/>
  <c r="P3" i="2" s="1"/>
  <c r="L4" i="2"/>
  <c r="L5" i="2" s="1"/>
  <c r="L3" i="2"/>
  <c r="M3" i="2" s="1"/>
  <c r="AO6" i="1"/>
  <c r="AO7" i="1"/>
  <c r="AO8" i="1"/>
  <c r="AO5" i="1"/>
  <c r="L6" i="2" l="1"/>
  <c r="M5" i="2"/>
  <c r="P14" i="2"/>
  <c r="P13" i="2"/>
  <c r="P12" i="2"/>
  <c r="P11" i="2"/>
  <c r="P10" i="2"/>
  <c r="P9" i="2"/>
  <c r="M4" i="2"/>
  <c r="P8" i="2"/>
  <c r="P15" i="2"/>
  <c r="E12" i="2"/>
  <c r="E11" i="2"/>
  <c r="F10" i="2"/>
  <c r="E10" i="2"/>
  <c r="F13" i="2"/>
  <c r="F12" i="2"/>
  <c r="L7" i="2" l="1"/>
  <c r="M6" i="2"/>
  <c r="L8" i="2" l="1"/>
  <c r="M7" i="2"/>
  <c r="AG77" i="1"/>
  <c r="L9" i="2" l="1"/>
  <c r="M8" i="2"/>
  <c r="L10" i="2" l="1"/>
  <c r="M9" i="2"/>
  <c r="L11" i="2" l="1"/>
  <c r="M10" i="2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C43" i="1"/>
  <c r="C44" i="1"/>
  <c r="C45" i="1"/>
  <c r="C46" i="1"/>
  <c r="C47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5" i="1"/>
  <c r="B5" i="1"/>
  <c r="D48" i="1"/>
  <c r="D49" i="1"/>
  <c r="D50" i="1"/>
  <c r="D47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5" i="1"/>
  <c r="C2" i="3" l="1"/>
  <c r="H2" i="3" s="1"/>
  <c r="AM5" i="1"/>
  <c r="R2" i="2" s="1"/>
  <c r="AG5" i="1"/>
  <c r="M11" i="2"/>
  <c r="L12" i="2"/>
  <c r="V57" i="1"/>
  <c r="AD52" i="1" s="1"/>
  <c r="AE71" i="1"/>
  <c r="AD72" i="1"/>
  <c r="AE72" i="1"/>
  <c r="AC73" i="1"/>
  <c r="AD73" i="1"/>
  <c r="AE73" i="1"/>
  <c r="M49" i="1"/>
  <c r="M48" i="1"/>
  <c r="N44" i="1"/>
  <c r="N45" i="1"/>
  <c r="N46" i="1"/>
  <c r="N43" i="1"/>
  <c r="S57" i="1"/>
  <c r="AE76" i="1"/>
  <c r="Z76" i="1"/>
  <c r="Y52" i="1"/>
  <c r="X53" i="1"/>
  <c r="Z44" i="1"/>
  <c r="S50" i="1"/>
  <c r="AW54" i="1"/>
  <c r="AW55" i="1"/>
  <c r="AW56" i="1"/>
  <c r="AW62" i="1"/>
  <c r="AW63" i="1"/>
  <c r="AW64" i="1"/>
  <c r="AW70" i="1"/>
  <c r="AW71" i="1"/>
  <c r="AW72" i="1"/>
  <c r="AV51" i="1"/>
  <c r="AW51" i="1" s="1"/>
  <c r="AV52" i="1"/>
  <c r="AW52" i="1" s="1"/>
  <c r="AV53" i="1"/>
  <c r="AW53" i="1" s="1"/>
  <c r="AV54" i="1"/>
  <c r="AV55" i="1"/>
  <c r="AV56" i="1"/>
  <c r="AV57" i="1"/>
  <c r="AW57" i="1" s="1"/>
  <c r="AV58" i="1"/>
  <c r="AW58" i="1" s="1"/>
  <c r="AV59" i="1"/>
  <c r="AW59" i="1" s="1"/>
  <c r="AV60" i="1"/>
  <c r="AW60" i="1" s="1"/>
  <c r="AV61" i="1"/>
  <c r="AW61" i="1" s="1"/>
  <c r="AV62" i="1"/>
  <c r="AV63" i="1"/>
  <c r="AV64" i="1"/>
  <c r="AV65" i="1"/>
  <c r="AW65" i="1" s="1"/>
  <c r="AV66" i="1"/>
  <c r="AW66" i="1" s="1"/>
  <c r="AV67" i="1"/>
  <c r="AW67" i="1" s="1"/>
  <c r="AV68" i="1"/>
  <c r="AW68" i="1" s="1"/>
  <c r="AV69" i="1"/>
  <c r="AW69" i="1" s="1"/>
  <c r="AV70" i="1"/>
  <c r="AV71" i="1"/>
  <c r="AV72" i="1"/>
  <c r="AV73" i="1"/>
  <c r="AW73" i="1" s="1"/>
  <c r="AV74" i="1"/>
  <c r="AW74" i="1" s="1"/>
  <c r="AV75" i="1"/>
  <c r="AW75" i="1" s="1"/>
  <c r="AV76" i="1"/>
  <c r="AW76" i="1" s="1"/>
  <c r="AV50" i="1"/>
  <c r="AW50" i="1" s="1"/>
  <c r="W54" i="1" l="1"/>
  <c r="Z51" i="1"/>
  <c r="L13" i="2"/>
  <c r="M12" i="2"/>
  <c r="AB54" i="1"/>
  <c r="AC53" i="1"/>
  <c r="V50" i="1"/>
  <c r="AE44" i="1" s="1"/>
  <c r="AE51" i="1"/>
  <c r="L14" i="2" l="1"/>
  <c r="M13" i="2"/>
  <c r="F30" i="1"/>
  <c r="F31" i="1"/>
  <c r="F46" i="1"/>
  <c r="S12" i="1"/>
  <c r="C51" i="1"/>
  <c r="C52" i="1"/>
  <c r="C53" i="1"/>
  <c r="C54" i="1"/>
  <c r="C55" i="1"/>
  <c r="C56" i="1"/>
  <c r="C57" i="1"/>
  <c r="C58" i="1"/>
  <c r="E58" i="1" s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50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AF73" i="1"/>
  <c r="AF74" i="1"/>
  <c r="AF75" i="1"/>
  <c r="AF76" i="1"/>
  <c r="AF72" i="1"/>
  <c r="DC77" i="1"/>
  <c r="AB74" i="1" s="1"/>
  <c r="DD77" i="1"/>
  <c r="X73" i="1" s="1"/>
  <c r="DE77" i="1"/>
  <c r="Y72" i="1" s="1"/>
  <c r="DF77" i="1"/>
  <c r="DC78" i="1"/>
  <c r="AB75" i="1" s="1"/>
  <c r="DD78" i="1"/>
  <c r="AC74" i="1" s="1"/>
  <c r="DE78" i="1"/>
  <c r="Y73" i="1" s="1"/>
  <c r="DF78" i="1"/>
  <c r="DC79" i="1"/>
  <c r="W76" i="1" s="1"/>
  <c r="DD79" i="1"/>
  <c r="X75" i="1" s="1"/>
  <c r="DE79" i="1"/>
  <c r="Y74" i="1" s="1"/>
  <c r="DF79" i="1"/>
  <c r="Z73" i="1" s="1"/>
  <c r="DC80" i="1"/>
  <c r="DD80" i="1"/>
  <c r="X76" i="1" s="1"/>
  <c r="DE80" i="1"/>
  <c r="Y75" i="1" s="1"/>
  <c r="DF80" i="1"/>
  <c r="Z74" i="1" s="1"/>
  <c r="DC81" i="1"/>
  <c r="DD81" i="1"/>
  <c r="DE81" i="1"/>
  <c r="Y76" i="1" s="1"/>
  <c r="DF81" i="1"/>
  <c r="AE75" i="1" s="1"/>
  <c r="DD76" i="1"/>
  <c r="DE76" i="1"/>
  <c r="DF76" i="1"/>
  <c r="DC76" i="1"/>
  <c r="DO51" i="1"/>
  <c r="DO52" i="1"/>
  <c r="DO53" i="1"/>
  <c r="DO54" i="1"/>
  <c r="DO55" i="1"/>
  <c r="DO56" i="1"/>
  <c r="DO57" i="1"/>
  <c r="DO58" i="1"/>
  <c r="DO59" i="1"/>
  <c r="DO60" i="1"/>
  <c r="DO61" i="1"/>
  <c r="DO62" i="1"/>
  <c r="DO63" i="1"/>
  <c r="DO64" i="1"/>
  <c r="DO65" i="1"/>
  <c r="DO66" i="1"/>
  <c r="DO67" i="1"/>
  <c r="DO68" i="1"/>
  <c r="DO69" i="1"/>
  <c r="DO70" i="1"/>
  <c r="DO71" i="1"/>
  <c r="DO72" i="1"/>
  <c r="DO73" i="1"/>
  <c r="DO74" i="1"/>
  <c r="DO75" i="1"/>
  <c r="DO76" i="1"/>
  <c r="DO50" i="1"/>
  <c r="DL76" i="1"/>
  <c r="DM76" i="1" s="1"/>
  <c r="DL75" i="1"/>
  <c r="DM75" i="1" s="1"/>
  <c r="DL74" i="1"/>
  <c r="DM74" i="1" s="1"/>
  <c r="DL73" i="1"/>
  <c r="DM73" i="1" s="1"/>
  <c r="DL72" i="1"/>
  <c r="DM72" i="1" s="1"/>
  <c r="DL71" i="1"/>
  <c r="DM71" i="1" s="1"/>
  <c r="DL70" i="1"/>
  <c r="DM70" i="1" s="1"/>
  <c r="DL69" i="1"/>
  <c r="DM69" i="1" s="1"/>
  <c r="DL68" i="1"/>
  <c r="DM68" i="1" s="1"/>
  <c r="DL67" i="1"/>
  <c r="DM67" i="1" s="1"/>
  <c r="DL66" i="1"/>
  <c r="DM66" i="1" s="1"/>
  <c r="DL65" i="1"/>
  <c r="DM65" i="1" s="1"/>
  <c r="DL64" i="1"/>
  <c r="DM64" i="1" s="1"/>
  <c r="DL63" i="1"/>
  <c r="DM63" i="1" s="1"/>
  <c r="DL62" i="1"/>
  <c r="DM62" i="1" s="1"/>
  <c r="DL61" i="1"/>
  <c r="DM61" i="1" s="1"/>
  <c r="DL60" i="1"/>
  <c r="DM60" i="1" s="1"/>
  <c r="DP60" i="1" s="1"/>
  <c r="DL59" i="1"/>
  <c r="DM59" i="1" s="1"/>
  <c r="DL58" i="1"/>
  <c r="DM58" i="1" s="1"/>
  <c r="DL57" i="1"/>
  <c r="DM57" i="1" s="1"/>
  <c r="DL56" i="1"/>
  <c r="DM56" i="1" s="1"/>
  <c r="DL55" i="1"/>
  <c r="DM55" i="1" s="1"/>
  <c r="DL54" i="1"/>
  <c r="DM54" i="1" s="1"/>
  <c r="DL53" i="1"/>
  <c r="DM53" i="1" s="1"/>
  <c r="DP53" i="1" s="1"/>
  <c r="DL52" i="1"/>
  <c r="DM52" i="1" s="1"/>
  <c r="DL51" i="1"/>
  <c r="DM51" i="1" s="1"/>
  <c r="DL50" i="1"/>
  <c r="DM50" i="1" s="1"/>
  <c r="BI46" i="1"/>
  <c r="BI47" i="1"/>
  <c r="AV47" i="1" s="1"/>
  <c r="BI48" i="1"/>
  <c r="AW48" i="1" s="1"/>
  <c r="BI49" i="1"/>
  <c r="AW49" i="1" s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S71" i="1" s="1"/>
  <c r="BI72" i="1"/>
  <c r="BI73" i="1"/>
  <c r="BI74" i="1"/>
  <c r="BI45" i="1"/>
  <c r="BI35" i="1"/>
  <c r="CC35" i="1" s="1"/>
  <c r="BI36" i="1"/>
  <c r="CC36" i="1" s="1"/>
  <c r="BI37" i="1"/>
  <c r="CC37" i="1" s="1"/>
  <c r="BI38" i="1"/>
  <c r="CC38" i="1" s="1"/>
  <c r="BI39" i="1"/>
  <c r="CC39" i="1" s="1"/>
  <c r="BI40" i="1"/>
  <c r="CC40" i="1" s="1"/>
  <c r="BI41" i="1"/>
  <c r="BI42" i="1"/>
  <c r="CC42" i="1" s="1"/>
  <c r="BI43" i="1"/>
  <c r="CC43" i="1" s="1"/>
  <c r="BI44" i="1"/>
  <c r="CC44" i="1" s="1"/>
  <c r="BI34" i="1"/>
  <c r="CC34" i="1" s="1"/>
  <c r="R49" i="1"/>
  <c r="R50" i="1"/>
  <c r="S47" i="1"/>
  <c r="S43" i="1"/>
  <c r="S44" i="1"/>
  <c r="S45" i="1"/>
  <c r="S46" i="1"/>
  <c r="S48" i="1"/>
  <c r="S49" i="1"/>
  <c r="S42" i="1"/>
  <c r="R46" i="1"/>
  <c r="R47" i="1"/>
  <c r="R48" i="1"/>
  <c r="P47" i="1"/>
  <c r="A47" i="1" s="1"/>
  <c r="F47" i="1" s="1"/>
  <c r="P48" i="1"/>
  <c r="A48" i="1" s="1"/>
  <c r="F48" i="1" s="1"/>
  <c r="P49" i="1"/>
  <c r="A49" i="1" s="1"/>
  <c r="F49" i="1" s="1"/>
  <c r="Q48" i="1"/>
  <c r="Q49" i="1"/>
  <c r="AV34" i="1"/>
  <c r="AW34" i="1" s="1"/>
  <c r="S11" i="1"/>
  <c r="Q73" i="1"/>
  <c r="R73" i="1"/>
  <c r="Q74" i="1"/>
  <c r="R74" i="1"/>
  <c r="Q75" i="1"/>
  <c r="R75" i="1"/>
  <c r="Q76" i="1"/>
  <c r="R76" i="1"/>
  <c r="R72" i="1"/>
  <c r="Q72" i="1"/>
  <c r="P72" i="1"/>
  <c r="P73" i="1"/>
  <c r="P74" i="1"/>
  <c r="P75" i="1"/>
  <c r="P76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47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S32" i="1"/>
  <c r="S33" i="1"/>
  <c r="S34" i="1"/>
  <c r="S35" i="1"/>
  <c r="S36" i="1"/>
  <c r="S37" i="1"/>
  <c r="S38" i="1"/>
  <c r="S39" i="1"/>
  <c r="S40" i="1"/>
  <c r="S41" i="1"/>
  <c r="Z37" i="1"/>
  <c r="S8" i="1"/>
  <c r="S9" i="1"/>
  <c r="S10" i="1"/>
  <c r="X8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7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7" i="1"/>
  <c r="P8" i="1"/>
  <c r="A8" i="1" s="1"/>
  <c r="F8" i="1" s="1"/>
  <c r="Q8" i="1"/>
  <c r="P9" i="1"/>
  <c r="A9" i="1" s="1"/>
  <c r="F9" i="1" s="1"/>
  <c r="Q9" i="1"/>
  <c r="P10" i="1"/>
  <c r="A10" i="1" s="1"/>
  <c r="F10" i="1" s="1"/>
  <c r="Q10" i="1"/>
  <c r="P11" i="1"/>
  <c r="A11" i="1" s="1"/>
  <c r="F11" i="1" s="1"/>
  <c r="Q11" i="1"/>
  <c r="P12" i="1"/>
  <c r="A12" i="1" s="1"/>
  <c r="F12" i="1" s="1"/>
  <c r="Q12" i="1"/>
  <c r="P13" i="1"/>
  <c r="A13" i="1" s="1"/>
  <c r="F13" i="1" s="1"/>
  <c r="Q13" i="1"/>
  <c r="P14" i="1"/>
  <c r="A14" i="1" s="1"/>
  <c r="F14" i="1" s="1"/>
  <c r="Q14" i="1"/>
  <c r="P15" i="1"/>
  <c r="A15" i="1" s="1"/>
  <c r="F15" i="1" s="1"/>
  <c r="Q15" i="1"/>
  <c r="P16" i="1"/>
  <c r="A16" i="1" s="1"/>
  <c r="F16" i="1" s="1"/>
  <c r="Q16" i="1"/>
  <c r="P17" i="1"/>
  <c r="A17" i="1" s="1"/>
  <c r="F17" i="1" s="1"/>
  <c r="Q17" i="1"/>
  <c r="P18" i="1"/>
  <c r="A18" i="1" s="1"/>
  <c r="F18" i="1" s="1"/>
  <c r="Q18" i="1"/>
  <c r="P19" i="1"/>
  <c r="A19" i="1" s="1"/>
  <c r="F19" i="1" s="1"/>
  <c r="Q19" i="1"/>
  <c r="P20" i="1"/>
  <c r="A20" i="1" s="1"/>
  <c r="F20" i="1" s="1"/>
  <c r="Q20" i="1"/>
  <c r="P21" i="1"/>
  <c r="A21" i="1" s="1"/>
  <c r="F21" i="1" s="1"/>
  <c r="Q21" i="1"/>
  <c r="P22" i="1"/>
  <c r="A22" i="1" s="1"/>
  <c r="F22" i="1" s="1"/>
  <c r="Q22" i="1"/>
  <c r="P23" i="1"/>
  <c r="A23" i="1" s="1"/>
  <c r="F23" i="1" s="1"/>
  <c r="Q23" i="1"/>
  <c r="P24" i="1"/>
  <c r="A24" i="1" s="1"/>
  <c r="F24" i="1" s="1"/>
  <c r="Q24" i="1"/>
  <c r="P25" i="1"/>
  <c r="A25" i="1" s="1"/>
  <c r="F25" i="1" s="1"/>
  <c r="Q25" i="1"/>
  <c r="P26" i="1"/>
  <c r="A26" i="1" s="1"/>
  <c r="F26" i="1" s="1"/>
  <c r="Q26" i="1"/>
  <c r="P27" i="1"/>
  <c r="A27" i="1" s="1"/>
  <c r="F27" i="1" s="1"/>
  <c r="Q27" i="1"/>
  <c r="P28" i="1"/>
  <c r="A28" i="1" s="1"/>
  <c r="F28" i="1" s="1"/>
  <c r="Q28" i="1"/>
  <c r="P29" i="1"/>
  <c r="A29" i="1" s="1"/>
  <c r="F29" i="1" s="1"/>
  <c r="Q29" i="1"/>
  <c r="P30" i="1"/>
  <c r="A30" i="1" s="1"/>
  <c r="Q30" i="1"/>
  <c r="P31" i="1"/>
  <c r="A31" i="1" s="1"/>
  <c r="Q31" i="1"/>
  <c r="P32" i="1"/>
  <c r="A32" i="1" s="1"/>
  <c r="F32" i="1" s="1"/>
  <c r="Q32" i="1"/>
  <c r="P33" i="1"/>
  <c r="A33" i="1" s="1"/>
  <c r="F33" i="1" s="1"/>
  <c r="Q33" i="1"/>
  <c r="P34" i="1"/>
  <c r="A34" i="1" s="1"/>
  <c r="F34" i="1" s="1"/>
  <c r="Q34" i="1"/>
  <c r="P35" i="1"/>
  <c r="A35" i="1" s="1"/>
  <c r="F35" i="1" s="1"/>
  <c r="Q35" i="1"/>
  <c r="P36" i="1"/>
  <c r="A36" i="1" s="1"/>
  <c r="F36" i="1" s="1"/>
  <c r="Q36" i="1"/>
  <c r="P37" i="1"/>
  <c r="A37" i="1" s="1"/>
  <c r="F37" i="1" s="1"/>
  <c r="Q37" i="1"/>
  <c r="P38" i="1"/>
  <c r="A38" i="1" s="1"/>
  <c r="F38" i="1" s="1"/>
  <c r="Q38" i="1"/>
  <c r="P39" i="1"/>
  <c r="A39" i="1" s="1"/>
  <c r="F39" i="1" s="1"/>
  <c r="Q39" i="1"/>
  <c r="P40" i="1"/>
  <c r="A40" i="1" s="1"/>
  <c r="F40" i="1" s="1"/>
  <c r="Q40" i="1"/>
  <c r="P41" i="1"/>
  <c r="A41" i="1" s="1"/>
  <c r="F41" i="1" s="1"/>
  <c r="Q41" i="1"/>
  <c r="P42" i="1"/>
  <c r="A42" i="1" s="1"/>
  <c r="F42" i="1" s="1"/>
  <c r="Q42" i="1"/>
  <c r="P43" i="1"/>
  <c r="A43" i="1" s="1"/>
  <c r="F43" i="1" s="1"/>
  <c r="Q43" i="1"/>
  <c r="P44" i="1"/>
  <c r="A44" i="1" s="1"/>
  <c r="F44" i="1" s="1"/>
  <c r="Q44" i="1"/>
  <c r="P45" i="1"/>
  <c r="A45" i="1" s="1"/>
  <c r="F45" i="1" s="1"/>
  <c r="Q45" i="1"/>
  <c r="P46" i="1"/>
  <c r="A46" i="1" s="1"/>
  <c r="Q46" i="1"/>
  <c r="Q7" i="1"/>
  <c r="P7" i="1"/>
  <c r="A7" i="1" s="1"/>
  <c r="F7" i="1" s="1"/>
  <c r="S6" i="1"/>
  <c r="R6" i="1"/>
  <c r="S5" i="1"/>
  <c r="R5" i="1"/>
  <c r="P6" i="1"/>
  <c r="A6" i="1" s="1"/>
  <c r="F6" i="1" s="1"/>
  <c r="P5" i="1"/>
  <c r="A5" i="1" s="1"/>
  <c r="F5" i="1" s="1"/>
  <c r="Q6" i="1"/>
  <c r="Q5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7" i="1"/>
  <c r="CR8" i="1"/>
  <c r="CR9" i="1"/>
  <c r="CR10" i="1"/>
  <c r="CR11" i="1"/>
  <c r="CR12" i="1"/>
  <c r="CR13" i="1"/>
  <c r="CR14" i="1"/>
  <c r="CR15" i="1"/>
  <c r="CR16" i="1"/>
  <c r="CR17" i="1"/>
  <c r="CR18" i="1"/>
  <c r="CR19" i="1"/>
  <c r="CR20" i="1"/>
  <c r="CR21" i="1"/>
  <c r="CR22" i="1"/>
  <c r="CR23" i="1"/>
  <c r="CR24" i="1"/>
  <c r="CR25" i="1"/>
  <c r="CR26" i="1"/>
  <c r="CR27" i="1"/>
  <c r="CR28" i="1"/>
  <c r="CR29" i="1"/>
  <c r="CR30" i="1"/>
  <c r="CR31" i="1"/>
  <c r="CR32" i="1"/>
  <c r="CR33" i="1"/>
  <c r="CR34" i="1"/>
  <c r="CR35" i="1"/>
  <c r="CR36" i="1"/>
  <c r="CR37" i="1"/>
  <c r="CR38" i="1"/>
  <c r="CR39" i="1"/>
  <c r="CR40" i="1"/>
  <c r="CR41" i="1"/>
  <c r="CR42" i="1"/>
  <c r="CR43" i="1"/>
  <c r="CR44" i="1"/>
  <c r="CR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7" i="1"/>
  <c r="CS8" i="1"/>
  <c r="CS9" i="1"/>
  <c r="CS10" i="1"/>
  <c r="CS11" i="1"/>
  <c r="CS12" i="1"/>
  <c r="CS13" i="1"/>
  <c r="CS14" i="1"/>
  <c r="CS15" i="1"/>
  <c r="CS16" i="1"/>
  <c r="CS17" i="1"/>
  <c r="CS18" i="1"/>
  <c r="CS19" i="1"/>
  <c r="CS20" i="1"/>
  <c r="CS21" i="1"/>
  <c r="CS22" i="1"/>
  <c r="CS23" i="1"/>
  <c r="CS24" i="1"/>
  <c r="CS25" i="1"/>
  <c r="CS26" i="1"/>
  <c r="CS27" i="1"/>
  <c r="CS28" i="1"/>
  <c r="CS29" i="1"/>
  <c r="CS30" i="1"/>
  <c r="CS31" i="1"/>
  <c r="CS32" i="1"/>
  <c r="CS33" i="1"/>
  <c r="CS34" i="1"/>
  <c r="CS35" i="1"/>
  <c r="CS36" i="1"/>
  <c r="CS37" i="1"/>
  <c r="CS38" i="1"/>
  <c r="CS39" i="1"/>
  <c r="CS40" i="1"/>
  <c r="CS41" i="1"/>
  <c r="CS42" i="1"/>
  <c r="CS43" i="1"/>
  <c r="CS44" i="1"/>
  <c r="CS7" i="1"/>
  <c r="AV35" i="1"/>
  <c r="AW35" i="1" s="1"/>
  <c r="AV36" i="1"/>
  <c r="AW36" i="1" s="1"/>
  <c r="AV37" i="1"/>
  <c r="AW37" i="1" s="1"/>
  <c r="AV38" i="1"/>
  <c r="AW38" i="1" s="1"/>
  <c r="AV39" i="1"/>
  <c r="AW39" i="1" s="1"/>
  <c r="AV40" i="1"/>
  <c r="AW40" i="1" s="1"/>
  <c r="AV41" i="1"/>
  <c r="AW41" i="1" s="1"/>
  <c r="AV42" i="1"/>
  <c r="AW42" i="1" s="1"/>
  <c r="AV33" i="1"/>
  <c r="AW33" i="1" s="1"/>
  <c r="BL5" i="1"/>
  <c r="BP10" i="1"/>
  <c r="BQ10" i="1" s="1"/>
  <c r="BP11" i="1"/>
  <c r="BQ11" i="1" s="1"/>
  <c r="BP12" i="1"/>
  <c r="BQ12" i="1" s="1"/>
  <c r="BP13" i="1"/>
  <c r="BQ13" i="1" s="1"/>
  <c r="BP14" i="1"/>
  <c r="BQ14" i="1" s="1"/>
  <c r="BP15" i="1"/>
  <c r="BQ15" i="1" s="1"/>
  <c r="BP16" i="1"/>
  <c r="BQ16" i="1" s="1"/>
  <c r="BP17" i="1"/>
  <c r="BQ17" i="1" s="1"/>
  <c r="BP18" i="1"/>
  <c r="BQ18" i="1" s="1"/>
  <c r="BP19" i="1"/>
  <c r="BQ19" i="1" s="1"/>
  <c r="BP20" i="1"/>
  <c r="BQ20" i="1" s="1"/>
  <c r="BP21" i="1"/>
  <c r="BQ21" i="1" s="1"/>
  <c r="BP22" i="1"/>
  <c r="BQ22" i="1" s="1"/>
  <c r="BP23" i="1"/>
  <c r="BQ23" i="1" s="1"/>
  <c r="BP24" i="1"/>
  <c r="BQ24" i="1" s="1"/>
  <c r="BP25" i="1"/>
  <c r="BQ25" i="1" s="1"/>
  <c r="BP26" i="1"/>
  <c r="BQ26" i="1" s="1"/>
  <c r="BP27" i="1"/>
  <c r="BQ27" i="1" s="1"/>
  <c r="BP28" i="1"/>
  <c r="BQ28" i="1" s="1"/>
  <c r="BP29" i="1"/>
  <c r="BQ29" i="1" s="1"/>
  <c r="BP30" i="1"/>
  <c r="BQ30" i="1" s="1"/>
  <c r="BP31" i="1"/>
  <c r="BQ31" i="1" s="1"/>
  <c r="BP32" i="1"/>
  <c r="BQ32" i="1" s="1"/>
  <c r="BP33" i="1"/>
  <c r="BQ33" i="1" s="1"/>
  <c r="BP34" i="1"/>
  <c r="BQ34" i="1" s="1"/>
  <c r="BP35" i="1"/>
  <c r="BQ35" i="1" s="1"/>
  <c r="BP36" i="1"/>
  <c r="BQ36" i="1" s="1"/>
  <c r="BP37" i="1"/>
  <c r="BQ37" i="1" s="1"/>
  <c r="BP38" i="1"/>
  <c r="BQ38" i="1" s="1"/>
  <c r="BP39" i="1"/>
  <c r="BQ39" i="1" s="1"/>
  <c r="BP40" i="1"/>
  <c r="BQ40" i="1" s="1"/>
  <c r="BP41" i="1"/>
  <c r="BQ41" i="1" s="1"/>
  <c r="BP42" i="1"/>
  <c r="BQ42" i="1" s="1"/>
  <c r="BP43" i="1"/>
  <c r="BQ43" i="1" s="1"/>
  <c r="BP44" i="1"/>
  <c r="BQ44" i="1" s="1"/>
  <c r="BP6" i="1"/>
  <c r="BQ6" i="1" s="1"/>
  <c r="BP7" i="1"/>
  <c r="BQ7" i="1" s="1"/>
  <c r="BP8" i="1"/>
  <c r="BQ8" i="1" s="1"/>
  <c r="BP9" i="1"/>
  <c r="BQ9" i="1" s="1"/>
  <c r="BP5" i="1"/>
  <c r="BQ5" i="1" s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CC41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5" i="1"/>
  <c r="T25" i="1" l="1"/>
  <c r="H25" i="1"/>
  <c r="W21" i="1"/>
  <c r="U24" i="1"/>
  <c r="CZ63" i="1"/>
  <c r="T63" i="1"/>
  <c r="H63" i="1"/>
  <c r="AM76" i="1"/>
  <c r="R73" i="2" s="1"/>
  <c r="AG76" i="1"/>
  <c r="C49" i="3"/>
  <c r="H49" i="3" s="1"/>
  <c r="AM52" i="1"/>
  <c r="R49" i="2" s="1"/>
  <c r="AG52" i="1"/>
  <c r="C33" i="3"/>
  <c r="H33" i="3" s="1"/>
  <c r="AM36" i="1"/>
  <c r="R33" i="2" s="1"/>
  <c r="AG36" i="1"/>
  <c r="C17" i="3"/>
  <c r="H17" i="3" s="1"/>
  <c r="AM20" i="1"/>
  <c r="R17" i="2" s="1"/>
  <c r="AG20" i="1"/>
  <c r="T16" i="1"/>
  <c r="H16" i="1"/>
  <c r="Y28" i="1"/>
  <c r="U33" i="1"/>
  <c r="C56" i="3"/>
  <c r="H56" i="3" s="1"/>
  <c r="AM59" i="1"/>
  <c r="R56" i="2" s="1"/>
  <c r="AG59" i="1"/>
  <c r="C40" i="3"/>
  <c r="H40" i="3" s="1"/>
  <c r="AM43" i="1"/>
  <c r="R40" i="2" s="1"/>
  <c r="AG43" i="1"/>
  <c r="C32" i="3"/>
  <c r="H32" i="3" s="1"/>
  <c r="AM35" i="1"/>
  <c r="R32" i="2" s="1"/>
  <c r="AG35" i="1"/>
  <c r="C24" i="3"/>
  <c r="H24" i="3" s="1"/>
  <c r="AM27" i="1"/>
  <c r="R24" i="2" s="1"/>
  <c r="AG27" i="1"/>
  <c r="C16" i="3"/>
  <c r="H16" i="3" s="1"/>
  <c r="AM19" i="1"/>
  <c r="R16" i="2" s="1"/>
  <c r="AG19" i="1"/>
  <c r="C8" i="3"/>
  <c r="H8" i="3" s="1"/>
  <c r="AM11" i="1"/>
  <c r="R8" i="2" s="1"/>
  <c r="AG11" i="1"/>
  <c r="T31" i="1"/>
  <c r="H31" i="1"/>
  <c r="T15" i="1"/>
  <c r="H15" i="1"/>
  <c r="CZ37" i="1"/>
  <c r="T37" i="1"/>
  <c r="H37" i="1"/>
  <c r="X26" i="1"/>
  <c r="U30" i="1"/>
  <c r="Z16" i="1"/>
  <c r="U22" i="1"/>
  <c r="Z8" i="1"/>
  <c r="U14" i="1"/>
  <c r="Y35" i="1"/>
  <c r="U40" i="1"/>
  <c r="W29" i="1"/>
  <c r="U32" i="1"/>
  <c r="CZ69" i="1"/>
  <c r="H69" i="1"/>
  <c r="CZ61" i="1"/>
  <c r="H61" i="1"/>
  <c r="CZ53" i="1"/>
  <c r="H53" i="1"/>
  <c r="W42" i="1"/>
  <c r="U45" i="1"/>
  <c r="AB42" i="1"/>
  <c r="AM74" i="1"/>
  <c r="R71" i="2" s="1"/>
  <c r="AG74" i="1"/>
  <c r="C63" i="3"/>
  <c r="H63" i="3" s="1"/>
  <c r="AM66" i="1"/>
  <c r="R63" i="2" s="1"/>
  <c r="AG66" i="1"/>
  <c r="C55" i="3"/>
  <c r="H55" i="3" s="1"/>
  <c r="AM58" i="1"/>
  <c r="R55" i="2" s="1"/>
  <c r="AG58" i="1"/>
  <c r="C47" i="3"/>
  <c r="H47" i="3" s="1"/>
  <c r="AM50" i="1"/>
  <c r="R47" i="2" s="1"/>
  <c r="AG50" i="1"/>
  <c r="C39" i="3"/>
  <c r="H39" i="3" s="1"/>
  <c r="AM42" i="1"/>
  <c r="R39" i="2" s="1"/>
  <c r="AG42" i="1"/>
  <c r="C31" i="3"/>
  <c r="H31" i="3" s="1"/>
  <c r="AM34" i="1"/>
  <c r="R31" i="2" s="1"/>
  <c r="AG34" i="1"/>
  <c r="C23" i="3"/>
  <c r="H23" i="3" s="1"/>
  <c r="AM26" i="1"/>
  <c r="R23" i="2" s="1"/>
  <c r="AG26" i="1"/>
  <c r="C15" i="3"/>
  <c r="H15" i="3" s="1"/>
  <c r="AM18" i="1"/>
  <c r="R15" i="2" s="1"/>
  <c r="AG18" i="1"/>
  <c r="C7" i="3"/>
  <c r="H7" i="3" s="1"/>
  <c r="AM10" i="1"/>
  <c r="R7" i="2" s="1"/>
  <c r="AG10" i="1"/>
  <c r="U6" i="1"/>
  <c r="AN6" i="1"/>
  <c r="U7" i="1"/>
  <c r="AN7" i="1"/>
  <c r="CZ71" i="1"/>
  <c r="T71" i="1"/>
  <c r="H71" i="1"/>
  <c r="C65" i="3"/>
  <c r="H65" i="3" s="1"/>
  <c r="AM68" i="1"/>
  <c r="R65" i="2" s="1"/>
  <c r="AG68" i="1"/>
  <c r="C41" i="3"/>
  <c r="H41" i="3" s="1"/>
  <c r="AM44" i="1"/>
  <c r="R41" i="2" s="1"/>
  <c r="AG44" i="1"/>
  <c r="C9" i="3"/>
  <c r="H9" i="3" s="1"/>
  <c r="AM12" i="1"/>
  <c r="R9" i="2" s="1"/>
  <c r="AG12" i="1"/>
  <c r="Z25" i="1"/>
  <c r="U31" i="1"/>
  <c r="C64" i="3"/>
  <c r="H64" i="3" s="1"/>
  <c r="AM67" i="1"/>
  <c r="R64" i="2" s="1"/>
  <c r="AG67" i="1"/>
  <c r="T23" i="1"/>
  <c r="H23" i="1"/>
  <c r="T45" i="1"/>
  <c r="H45" i="1"/>
  <c r="T30" i="1"/>
  <c r="H30" i="1"/>
  <c r="T22" i="1"/>
  <c r="H22" i="1"/>
  <c r="T14" i="1"/>
  <c r="H14" i="1"/>
  <c r="T44" i="1"/>
  <c r="H44" i="1"/>
  <c r="CZ36" i="1"/>
  <c r="T36" i="1"/>
  <c r="H36" i="1"/>
  <c r="Y24" i="1"/>
  <c r="U29" i="1"/>
  <c r="Y16" i="1"/>
  <c r="U21" i="1"/>
  <c r="U13" i="1"/>
  <c r="X9" i="1"/>
  <c r="X35" i="1"/>
  <c r="U39" i="1"/>
  <c r="CZ68" i="1"/>
  <c r="H68" i="1"/>
  <c r="CZ60" i="1"/>
  <c r="H60" i="1"/>
  <c r="CZ52" i="1"/>
  <c r="H52" i="1"/>
  <c r="C48" i="1"/>
  <c r="T48" i="1"/>
  <c r="H48" i="1"/>
  <c r="W41" i="1"/>
  <c r="U44" i="1"/>
  <c r="AM73" i="1"/>
  <c r="R70" i="2" s="1"/>
  <c r="AG73" i="1"/>
  <c r="C62" i="3"/>
  <c r="H62" i="3" s="1"/>
  <c r="AM65" i="1"/>
  <c r="R62" i="2" s="1"/>
  <c r="AG65" i="1"/>
  <c r="C54" i="3"/>
  <c r="H54" i="3" s="1"/>
  <c r="AM57" i="1"/>
  <c r="R54" i="2" s="1"/>
  <c r="AG57" i="1"/>
  <c r="C46" i="3"/>
  <c r="H46" i="3" s="1"/>
  <c r="AM49" i="1"/>
  <c r="R46" i="2" s="1"/>
  <c r="AG49" i="1"/>
  <c r="C38" i="3"/>
  <c r="H38" i="3" s="1"/>
  <c r="AM41" i="1"/>
  <c r="R38" i="2" s="1"/>
  <c r="AG41" i="1"/>
  <c r="C30" i="3"/>
  <c r="H30" i="3" s="1"/>
  <c r="AM33" i="1"/>
  <c r="R30" i="2" s="1"/>
  <c r="AG33" i="1"/>
  <c r="C22" i="3"/>
  <c r="H22" i="3" s="1"/>
  <c r="AM25" i="1"/>
  <c r="R22" i="2" s="1"/>
  <c r="AG25" i="1"/>
  <c r="C14" i="3"/>
  <c r="H14" i="3" s="1"/>
  <c r="AM17" i="1"/>
  <c r="R14" i="2" s="1"/>
  <c r="AG17" i="1"/>
  <c r="C6" i="3"/>
  <c r="H6" i="3" s="1"/>
  <c r="AM9" i="1"/>
  <c r="R6" i="2" s="1"/>
  <c r="AG9" i="1"/>
  <c r="CZ39" i="1"/>
  <c r="T39" i="1"/>
  <c r="H39" i="1"/>
  <c r="T8" i="1"/>
  <c r="H8" i="1"/>
  <c r="T29" i="1"/>
  <c r="H29" i="1"/>
  <c r="T21" i="1"/>
  <c r="H21" i="1"/>
  <c r="T13" i="1"/>
  <c r="H13" i="1"/>
  <c r="T43" i="1"/>
  <c r="H43" i="1"/>
  <c r="CZ35" i="1"/>
  <c r="T35" i="1"/>
  <c r="H35" i="1"/>
  <c r="W25" i="1"/>
  <c r="U28" i="1"/>
  <c r="W17" i="1"/>
  <c r="U20" i="1"/>
  <c r="Y33" i="1"/>
  <c r="U38" i="1"/>
  <c r="CZ67" i="1"/>
  <c r="H67" i="1"/>
  <c r="CZ59" i="1"/>
  <c r="H59" i="1"/>
  <c r="CZ51" i="1"/>
  <c r="H51" i="1"/>
  <c r="W8" i="1"/>
  <c r="U11" i="1"/>
  <c r="CZ47" i="1"/>
  <c r="T47" i="1"/>
  <c r="H47" i="1"/>
  <c r="U43" i="1"/>
  <c r="AM72" i="1"/>
  <c r="R69" i="2" s="1"/>
  <c r="AG72" i="1"/>
  <c r="C61" i="3"/>
  <c r="H61" i="3" s="1"/>
  <c r="AM64" i="1"/>
  <c r="R61" i="2" s="1"/>
  <c r="AG64" i="1"/>
  <c r="C53" i="3"/>
  <c r="H53" i="3" s="1"/>
  <c r="AM56" i="1"/>
  <c r="R53" i="2" s="1"/>
  <c r="AG56" i="1"/>
  <c r="C45" i="3"/>
  <c r="H45" i="3" s="1"/>
  <c r="AM48" i="1"/>
  <c r="R45" i="2" s="1"/>
  <c r="AG48" i="1"/>
  <c r="C37" i="3"/>
  <c r="H37" i="3" s="1"/>
  <c r="AM40" i="1"/>
  <c r="R37" i="2" s="1"/>
  <c r="AG40" i="1"/>
  <c r="C29" i="3"/>
  <c r="H29" i="3" s="1"/>
  <c r="AM32" i="1"/>
  <c r="R29" i="2" s="1"/>
  <c r="AG32" i="1"/>
  <c r="C21" i="3"/>
  <c r="H21" i="3" s="1"/>
  <c r="AM24" i="1"/>
  <c r="R21" i="2" s="1"/>
  <c r="AG24" i="1"/>
  <c r="C13" i="3"/>
  <c r="H13" i="3" s="1"/>
  <c r="AM16" i="1"/>
  <c r="R13" i="2" s="1"/>
  <c r="AG16" i="1"/>
  <c r="C5" i="3"/>
  <c r="H5" i="3" s="1"/>
  <c r="AM8" i="1"/>
  <c r="R5" i="2" s="1"/>
  <c r="AG8" i="1"/>
  <c r="C48" i="3"/>
  <c r="H48" i="3" s="1"/>
  <c r="AM51" i="1"/>
  <c r="R48" i="2" s="1"/>
  <c r="AG51" i="1"/>
  <c r="T5" i="1"/>
  <c r="H5" i="1"/>
  <c r="T28" i="1"/>
  <c r="H28" i="1"/>
  <c r="T20" i="1"/>
  <c r="H20" i="1"/>
  <c r="T12" i="1"/>
  <c r="H12" i="1"/>
  <c r="CZ42" i="1"/>
  <c r="T42" i="1"/>
  <c r="H42" i="1"/>
  <c r="CZ34" i="1"/>
  <c r="T34" i="1"/>
  <c r="H34" i="1"/>
  <c r="Y22" i="1"/>
  <c r="U27" i="1"/>
  <c r="Y14" i="1"/>
  <c r="U19" i="1"/>
  <c r="X6" i="1"/>
  <c r="U10" i="1"/>
  <c r="W34" i="1"/>
  <c r="U37" i="1"/>
  <c r="CZ66" i="1"/>
  <c r="T66" i="1"/>
  <c r="H66" i="1"/>
  <c r="CZ58" i="1"/>
  <c r="H58" i="1"/>
  <c r="T46" i="1"/>
  <c r="H46" i="1"/>
  <c r="W44" i="1"/>
  <c r="U47" i="1"/>
  <c r="C68" i="3"/>
  <c r="H68" i="3" s="1"/>
  <c r="AM71" i="1"/>
  <c r="R68" i="2" s="1"/>
  <c r="AG71" i="1"/>
  <c r="C60" i="3"/>
  <c r="H60" i="3" s="1"/>
  <c r="AM63" i="1"/>
  <c r="R60" i="2" s="1"/>
  <c r="AG63" i="1"/>
  <c r="C52" i="3"/>
  <c r="H52" i="3" s="1"/>
  <c r="AM55" i="1"/>
  <c r="R52" i="2" s="1"/>
  <c r="AG55" i="1"/>
  <c r="C44" i="3"/>
  <c r="H44" i="3" s="1"/>
  <c r="AM47" i="1"/>
  <c r="R44" i="2" s="1"/>
  <c r="AG47" i="1"/>
  <c r="C36" i="3"/>
  <c r="H36" i="3" s="1"/>
  <c r="AM39" i="1"/>
  <c r="R36" i="2" s="1"/>
  <c r="AG39" i="1"/>
  <c r="C28" i="3"/>
  <c r="H28" i="3" s="1"/>
  <c r="AM31" i="1"/>
  <c r="R28" i="2" s="1"/>
  <c r="AG31" i="1"/>
  <c r="C20" i="3"/>
  <c r="H20" i="3" s="1"/>
  <c r="AM23" i="1"/>
  <c r="R20" i="2" s="1"/>
  <c r="AG23" i="1"/>
  <c r="C12" i="3"/>
  <c r="H12" i="3" s="1"/>
  <c r="AM15" i="1"/>
  <c r="R12" i="2" s="1"/>
  <c r="AG15" i="1"/>
  <c r="C4" i="3"/>
  <c r="H4" i="3" s="1"/>
  <c r="AM7" i="1"/>
  <c r="R4" i="2" s="1"/>
  <c r="AG7" i="1"/>
  <c r="T9" i="1"/>
  <c r="H9" i="1"/>
  <c r="Z28" i="1"/>
  <c r="U34" i="1"/>
  <c r="CZ55" i="1"/>
  <c r="H55" i="1"/>
  <c r="C25" i="3"/>
  <c r="H25" i="3" s="1"/>
  <c r="AM28" i="1"/>
  <c r="R25" i="2" s="1"/>
  <c r="AG28" i="1"/>
  <c r="T24" i="1"/>
  <c r="H24" i="1"/>
  <c r="Z17" i="1"/>
  <c r="U23" i="1"/>
  <c r="W38" i="1"/>
  <c r="U41" i="1"/>
  <c r="CZ62" i="1"/>
  <c r="H62" i="1"/>
  <c r="U5" i="1"/>
  <c r="AN5" i="1"/>
  <c r="T27" i="1"/>
  <c r="H27" i="1"/>
  <c r="T19" i="1"/>
  <c r="H19" i="1"/>
  <c r="T11" i="1"/>
  <c r="H11" i="1"/>
  <c r="CZ41" i="1"/>
  <c r="T41" i="1"/>
  <c r="H41" i="1"/>
  <c r="CZ33" i="1"/>
  <c r="T33" i="1"/>
  <c r="H33" i="1"/>
  <c r="X22" i="1"/>
  <c r="U26" i="1"/>
  <c r="Z12" i="1"/>
  <c r="U18" i="1"/>
  <c r="X5" i="1"/>
  <c r="U9" i="1"/>
  <c r="W6" i="1"/>
  <c r="Y31" i="1"/>
  <c r="U36" i="1"/>
  <c r="CZ65" i="1"/>
  <c r="H65" i="1"/>
  <c r="CZ57" i="1"/>
  <c r="T57" i="1"/>
  <c r="H57" i="1"/>
  <c r="U57" i="1"/>
  <c r="Y37" i="1"/>
  <c r="U42" i="1"/>
  <c r="CZ50" i="1"/>
  <c r="T50" i="1"/>
  <c r="H50" i="1"/>
  <c r="U50" i="1"/>
  <c r="C67" i="3"/>
  <c r="H67" i="3" s="1"/>
  <c r="AM70" i="1"/>
  <c r="R67" i="2" s="1"/>
  <c r="AG70" i="1"/>
  <c r="C59" i="3"/>
  <c r="H59" i="3" s="1"/>
  <c r="AM62" i="1"/>
  <c r="R59" i="2" s="1"/>
  <c r="AG62" i="1"/>
  <c r="C51" i="3"/>
  <c r="H51" i="3" s="1"/>
  <c r="AM54" i="1"/>
  <c r="R51" i="2" s="1"/>
  <c r="AG54" i="1"/>
  <c r="C43" i="3"/>
  <c r="H43" i="3" s="1"/>
  <c r="AM46" i="1"/>
  <c r="R43" i="2" s="1"/>
  <c r="AG46" i="1"/>
  <c r="C35" i="3"/>
  <c r="H35" i="3" s="1"/>
  <c r="AM38" i="1"/>
  <c r="R35" i="2" s="1"/>
  <c r="AG38" i="1"/>
  <c r="C27" i="3"/>
  <c r="H27" i="3" s="1"/>
  <c r="AM30" i="1"/>
  <c r="R27" i="2" s="1"/>
  <c r="AG30" i="1"/>
  <c r="C19" i="3"/>
  <c r="H19" i="3" s="1"/>
  <c r="AM22" i="1"/>
  <c r="R19" i="2" s="1"/>
  <c r="AG22" i="1"/>
  <c r="C11" i="3"/>
  <c r="H11" i="3" s="1"/>
  <c r="AM14" i="1"/>
  <c r="R11" i="2" s="1"/>
  <c r="AG14" i="1"/>
  <c r="C3" i="3"/>
  <c r="H3" i="3" s="1"/>
  <c r="AM6" i="1"/>
  <c r="R3" i="2" s="1"/>
  <c r="AG6" i="1"/>
  <c r="U12" i="1"/>
  <c r="T17" i="1"/>
  <c r="H17" i="1"/>
  <c r="X12" i="1"/>
  <c r="U16" i="1"/>
  <c r="AB45" i="1"/>
  <c r="U48" i="1"/>
  <c r="C57" i="3"/>
  <c r="H57" i="3" s="1"/>
  <c r="AM60" i="1"/>
  <c r="R57" i="2" s="1"/>
  <c r="AG60" i="1"/>
  <c r="T7" i="1"/>
  <c r="H7" i="1"/>
  <c r="CZ38" i="1"/>
  <c r="T38" i="1"/>
  <c r="H38" i="1"/>
  <c r="Z9" i="1"/>
  <c r="U15" i="1"/>
  <c r="CZ70" i="1"/>
  <c r="T70" i="1"/>
  <c r="H70" i="1"/>
  <c r="CZ54" i="1"/>
  <c r="H54" i="1"/>
  <c r="W43" i="1"/>
  <c r="U46" i="1"/>
  <c r="AM75" i="1"/>
  <c r="R72" i="2" s="1"/>
  <c r="AG75" i="1"/>
  <c r="T6" i="1"/>
  <c r="H6" i="1"/>
  <c r="T26" i="1"/>
  <c r="H26" i="1"/>
  <c r="T18" i="1"/>
  <c r="H18" i="1"/>
  <c r="T10" i="1"/>
  <c r="H10" i="1"/>
  <c r="CZ40" i="1"/>
  <c r="T40" i="1"/>
  <c r="H40" i="1"/>
  <c r="T32" i="1"/>
  <c r="H32" i="1"/>
  <c r="Y20" i="1"/>
  <c r="U25" i="1"/>
  <c r="Y12" i="1"/>
  <c r="U17" i="1"/>
  <c r="U8" i="1"/>
  <c r="AN8" i="1"/>
  <c r="W5" i="1"/>
  <c r="X31" i="1"/>
  <c r="U35" i="1"/>
  <c r="CZ64" i="1"/>
  <c r="H64" i="1"/>
  <c r="CZ56" i="1"/>
  <c r="H56" i="1"/>
  <c r="AD44" i="1"/>
  <c r="U49" i="1"/>
  <c r="C49" i="1"/>
  <c r="T49" i="1"/>
  <c r="H49" i="1"/>
  <c r="Z65" i="1"/>
  <c r="U71" i="1"/>
  <c r="V71" i="1"/>
  <c r="C66" i="3"/>
  <c r="H66" i="3" s="1"/>
  <c r="AM69" i="1"/>
  <c r="R66" i="2" s="1"/>
  <c r="AG69" i="1"/>
  <c r="C58" i="3"/>
  <c r="H58" i="3" s="1"/>
  <c r="AM61" i="1"/>
  <c r="R58" i="2" s="1"/>
  <c r="AG61" i="1"/>
  <c r="C50" i="3"/>
  <c r="H50" i="3" s="1"/>
  <c r="AM53" i="1"/>
  <c r="R50" i="2" s="1"/>
  <c r="AG53" i="1"/>
  <c r="C42" i="3"/>
  <c r="H42" i="3" s="1"/>
  <c r="AM45" i="1"/>
  <c r="R42" i="2" s="1"/>
  <c r="AG45" i="1"/>
  <c r="C34" i="3"/>
  <c r="H34" i="3" s="1"/>
  <c r="AM37" i="1"/>
  <c r="R34" i="2" s="1"/>
  <c r="AG37" i="1"/>
  <c r="C26" i="3"/>
  <c r="H26" i="3" s="1"/>
  <c r="AM29" i="1"/>
  <c r="R26" i="2" s="1"/>
  <c r="AG29" i="1"/>
  <c r="C18" i="3"/>
  <c r="H18" i="3" s="1"/>
  <c r="AM21" i="1"/>
  <c r="R18" i="2" s="1"/>
  <c r="AG21" i="1"/>
  <c r="C10" i="3"/>
  <c r="H10" i="3" s="1"/>
  <c r="AM13" i="1"/>
  <c r="R10" i="2" s="1"/>
  <c r="AG13" i="1"/>
  <c r="L15" i="2"/>
  <c r="M15" i="2" s="1"/>
  <c r="M14" i="2"/>
  <c r="H73" i="1"/>
  <c r="T73" i="1"/>
  <c r="U72" i="1"/>
  <c r="H72" i="1"/>
  <c r="H76" i="1"/>
  <c r="T76" i="1"/>
  <c r="H75" i="1"/>
  <c r="H74" i="1"/>
  <c r="E56" i="1"/>
  <c r="E71" i="1"/>
  <c r="E55" i="1"/>
  <c r="E70" i="1"/>
  <c r="E54" i="1"/>
  <c r="E64" i="1"/>
  <c r="E62" i="1"/>
  <c r="Z38" i="1"/>
  <c r="E69" i="1"/>
  <c r="E53" i="1"/>
  <c r="E68" i="1"/>
  <c r="E52" i="1"/>
  <c r="E67" i="1"/>
  <c r="E51" i="1"/>
  <c r="E66" i="1"/>
  <c r="E65" i="1"/>
  <c r="E63" i="1"/>
  <c r="E61" i="1"/>
  <c r="E60" i="1"/>
  <c r="W75" i="1"/>
  <c r="E59" i="1"/>
  <c r="W68" i="1"/>
  <c r="E57" i="1"/>
  <c r="E50" i="1"/>
  <c r="AD76" i="1"/>
  <c r="AD74" i="1"/>
  <c r="Y42" i="1"/>
  <c r="Y43" i="1"/>
  <c r="AE43" i="1"/>
  <c r="W74" i="1"/>
  <c r="DP59" i="1"/>
  <c r="X74" i="1"/>
  <c r="Z72" i="1"/>
  <c r="AC44" i="1"/>
  <c r="DP52" i="1"/>
  <c r="DP64" i="1"/>
  <c r="Y41" i="1"/>
  <c r="AB44" i="1"/>
  <c r="AD75" i="1"/>
  <c r="X42" i="1"/>
  <c r="X45" i="1"/>
  <c r="AC43" i="1"/>
  <c r="AE42" i="1"/>
  <c r="AB76" i="1"/>
  <c r="Z42" i="1"/>
  <c r="X44" i="1"/>
  <c r="AB43" i="1"/>
  <c r="AB47" i="1"/>
  <c r="X43" i="1"/>
  <c r="AD42" i="1"/>
  <c r="AC46" i="1"/>
  <c r="X33" i="1"/>
  <c r="AC42" i="1"/>
  <c r="AD45" i="1"/>
  <c r="W46" i="1"/>
  <c r="X67" i="1"/>
  <c r="S65" i="1"/>
  <c r="T65" i="1" s="1"/>
  <c r="W45" i="1"/>
  <c r="AD43" i="1"/>
  <c r="Z75" i="1"/>
  <c r="AC76" i="1"/>
  <c r="Z43" i="1"/>
  <c r="Y66" i="1"/>
  <c r="AC75" i="1"/>
  <c r="Z71" i="1"/>
  <c r="AE74" i="1"/>
  <c r="AB46" i="1"/>
  <c r="AC45" i="1"/>
  <c r="DP65" i="1"/>
  <c r="Y44" i="1"/>
  <c r="DP54" i="1"/>
  <c r="DP70" i="1"/>
  <c r="DP63" i="1"/>
  <c r="W35" i="1"/>
  <c r="BI75" i="1"/>
  <c r="BI76" i="1"/>
  <c r="S76" i="1" s="1"/>
  <c r="V76" i="1" s="1"/>
  <c r="DP68" i="1"/>
  <c r="DP61" i="1"/>
  <c r="DP74" i="1"/>
  <c r="DP58" i="1"/>
  <c r="DP69" i="1"/>
  <c r="S64" i="1"/>
  <c r="DP62" i="1"/>
  <c r="DP57" i="1"/>
  <c r="DP56" i="1"/>
  <c r="S63" i="1"/>
  <c r="DP55" i="1"/>
  <c r="AY59" i="1"/>
  <c r="AY58" i="1"/>
  <c r="S74" i="1"/>
  <c r="DP51" i="1"/>
  <c r="DP67" i="1"/>
  <c r="DP66" i="1"/>
  <c r="DP50" i="1"/>
  <c r="X41" i="1"/>
  <c r="Z18" i="1"/>
  <c r="Y11" i="1"/>
  <c r="Z5" i="1"/>
  <c r="X37" i="1"/>
  <c r="S70" i="1"/>
  <c r="Z34" i="1"/>
  <c r="X16" i="1"/>
  <c r="Z13" i="1"/>
  <c r="W12" i="1"/>
  <c r="X11" i="1"/>
  <c r="Z30" i="1"/>
  <c r="W28" i="1"/>
  <c r="X27" i="1"/>
  <c r="Y26" i="1"/>
  <c r="X20" i="1"/>
  <c r="Z19" i="1"/>
  <c r="Y19" i="1"/>
  <c r="DP73" i="1"/>
  <c r="DP72" i="1"/>
  <c r="DP71" i="1"/>
  <c r="Z29" i="1"/>
  <c r="X28" i="1"/>
  <c r="Z40" i="1"/>
  <c r="Z27" i="1"/>
  <c r="Y40" i="1"/>
  <c r="Y13" i="1"/>
  <c r="Z39" i="1"/>
  <c r="Y25" i="1"/>
  <c r="Y34" i="1"/>
  <c r="Z24" i="1"/>
  <c r="W11" i="1"/>
  <c r="Z33" i="1"/>
  <c r="X24" i="1"/>
  <c r="Y10" i="1"/>
  <c r="Y23" i="1"/>
  <c r="X10" i="1"/>
  <c r="Y30" i="1"/>
  <c r="W33" i="1"/>
  <c r="Z21" i="1"/>
  <c r="Y9" i="1"/>
  <c r="Z32" i="1"/>
  <c r="Y21" i="1"/>
  <c r="Z7" i="1"/>
  <c r="X32" i="1"/>
  <c r="Z20" i="1"/>
  <c r="X7" i="1"/>
  <c r="S73" i="1"/>
  <c r="V73" i="1" s="1"/>
  <c r="W37" i="1"/>
  <c r="W24" i="1"/>
  <c r="W20" i="1"/>
  <c r="W16" i="1"/>
  <c r="Z11" i="1"/>
  <c r="Y7" i="1"/>
  <c r="Z36" i="1"/>
  <c r="Z23" i="1"/>
  <c r="Z15" i="1"/>
  <c r="Y5" i="1"/>
  <c r="Y36" i="1"/>
  <c r="Y32" i="1"/>
  <c r="Y27" i="1"/>
  <c r="Y15" i="1"/>
  <c r="W7" i="1"/>
  <c r="X40" i="1"/>
  <c r="X36" i="1"/>
  <c r="X23" i="1"/>
  <c r="X19" i="1"/>
  <c r="X15" i="1"/>
  <c r="Z6" i="1"/>
  <c r="W40" i="1"/>
  <c r="W36" i="1"/>
  <c r="W32" i="1"/>
  <c r="W27" i="1"/>
  <c r="W23" i="1"/>
  <c r="W19" i="1"/>
  <c r="W15" i="1"/>
  <c r="Z10" i="1"/>
  <c r="Y6" i="1"/>
  <c r="Y8" i="1"/>
  <c r="AA8" i="1" s="1"/>
  <c r="W31" i="1"/>
  <c r="Z35" i="1"/>
  <c r="Z26" i="1"/>
  <c r="Z22" i="1"/>
  <c r="Z14" i="1"/>
  <c r="W13" i="1"/>
  <c r="Y39" i="1"/>
  <c r="Y18" i="1"/>
  <c r="X39" i="1"/>
  <c r="X30" i="1"/>
  <c r="X18" i="1"/>
  <c r="X14" i="1"/>
  <c r="W10" i="1"/>
  <c r="Z31" i="1"/>
  <c r="W39" i="1"/>
  <c r="W30" i="1"/>
  <c r="W26" i="1"/>
  <c r="W22" i="1"/>
  <c r="W18" i="1"/>
  <c r="W14" i="1"/>
  <c r="Y38" i="1"/>
  <c r="Y29" i="1"/>
  <c r="Y17" i="1"/>
  <c r="X38" i="1"/>
  <c r="X34" i="1"/>
  <c r="X29" i="1"/>
  <c r="X25" i="1"/>
  <c r="X21" i="1"/>
  <c r="X17" i="1"/>
  <c r="X13" i="1"/>
  <c r="W9" i="1"/>
  <c r="S72" i="1"/>
  <c r="V72" i="1" s="1"/>
  <c r="BT40" i="1"/>
  <c r="BT24" i="1"/>
  <c r="S69" i="1"/>
  <c r="T69" i="1" s="1"/>
  <c r="AY60" i="1"/>
  <c r="AY55" i="1"/>
  <c r="AY53" i="1"/>
  <c r="AY54" i="1"/>
  <c r="AX41" i="1"/>
  <c r="AY41" i="1" s="1"/>
  <c r="AX40" i="1"/>
  <c r="AY40" i="1" s="1"/>
  <c r="AX33" i="1"/>
  <c r="AY33" i="1" s="1"/>
  <c r="AX39" i="1"/>
  <c r="AY39" i="1" s="1"/>
  <c r="AX36" i="1"/>
  <c r="AY36" i="1" s="1"/>
  <c r="AX35" i="1"/>
  <c r="AY35" i="1" s="1"/>
  <c r="S68" i="1"/>
  <c r="T68" i="1" s="1"/>
  <c r="S66" i="1"/>
  <c r="BS34" i="1"/>
  <c r="BS18" i="1"/>
  <c r="BT42" i="1"/>
  <c r="BT26" i="1"/>
  <c r="AX38" i="1"/>
  <c r="AY38" i="1" s="1"/>
  <c r="AX37" i="1"/>
  <c r="AY37" i="1" s="1"/>
  <c r="AY57" i="1"/>
  <c r="AY56" i="1"/>
  <c r="AX34" i="1"/>
  <c r="AY34" i="1" s="1"/>
  <c r="S67" i="1"/>
  <c r="AY51" i="1"/>
  <c r="BS21" i="1"/>
  <c r="BT13" i="1"/>
  <c r="BT28" i="1"/>
  <c r="BS37" i="1"/>
  <c r="BT5" i="1"/>
  <c r="BT29" i="1"/>
  <c r="BS36" i="1"/>
  <c r="BS20" i="1"/>
  <c r="BT44" i="1"/>
  <c r="BT12" i="1"/>
  <c r="AX42" i="1"/>
  <c r="AY42" i="1" s="1"/>
  <c r="BT10" i="1"/>
  <c r="BT41" i="1"/>
  <c r="BS33" i="1"/>
  <c r="BS32" i="1"/>
  <c r="BS16" i="1"/>
  <c r="BT8" i="1"/>
  <c r="BS31" i="1"/>
  <c r="BS15" i="1"/>
  <c r="BT39" i="1"/>
  <c r="BT23" i="1"/>
  <c r="BT7" i="1"/>
  <c r="BT9" i="1"/>
  <c r="BS17" i="1"/>
  <c r="BT25" i="1"/>
  <c r="BU15" i="1"/>
  <c r="BU31" i="1"/>
  <c r="BU44" i="1"/>
  <c r="BU28" i="1"/>
  <c r="BU12" i="1"/>
  <c r="BS43" i="1"/>
  <c r="BS27" i="1"/>
  <c r="BS11" i="1"/>
  <c r="BT35" i="1"/>
  <c r="BT19" i="1"/>
  <c r="BS10" i="1"/>
  <c r="BS26" i="1"/>
  <c r="BS42" i="1"/>
  <c r="BT15" i="1"/>
  <c r="BU36" i="1"/>
  <c r="BU20" i="1"/>
  <c r="BU33" i="1"/>
  <c r="BU17" i="1"/>
  <c r="BU32" i="1"/>
  <c r="BU16" i="1"/>
  <c r="BT31" i="1"/>
  <c r="BS5" i="1"/>
  <c r="BT37" i="1"/>
  <c r="BU29" i="1"/>
  <c r="BS29" i="1"/>
  <c r="BS13" i="1"/>
  <c r="BT21" i="1"/>
  <c r="BU5" i="1"/>
  <c r="BU13" i="1"/>
  <c r="BS28" i="1"/>
  <c r="BT36" i="1"/>
  <c r="BT20" i="1"/>
  <c r="BU27" i="1"/>
  <c r="BU11" i="1"/>
  <c r="BT34" i="1"/>
  <c r="BT18" i="1"/>
  <c r="BU42" i="1"/>
  <c r="BU26" i="1"/>
  <c r="BU10" i="1"/>
  <c r="BT17" i="1"/>
  <c r="BS9" i="1"/>
  <c r="BU9" i="1"/>
  <c r="BS40" i="1"/>
  <c r="BS24" i="1"/>
  <c r="BS8" i="1"/>
  <c r="BT32" i="1"/>
  <c r="BT16" i="1"/>
  <c r="BU40" i="1"/>
  <c r="BU24" i="1"/>
  <c r="BU8" i="1"/>
  <c r="BS25" i="1"/>
  <c r="BU25" i="1"/>
  <c r="BS39" i="1"/>
  <c r="BS23" i="1"/>
  <c r="BS7" i="1"/>
  <c r="BU39" i="1"/>
  <c r="BU23" i="1"/>
  <c r="BU7" i="1"/>
  <c r="BU43" i="1"/>
  <c r="BS41" i="1"/>
  <c r="BT33" i="1"/>
  <c r="BU41" i="1"/>
  <c r="BS38" i="1"/>
  <c r="BS22" i="1"/>
  <c r="BS6" i="1"/>
  <c r="BS30" i="1"/>
  <c r="BS14" i="1"/>
  <c r="BU38" i="1"/>
  <c r="BU22" i="1"/>
  <c r="BU6" i="1"/>
  <c r="BU37" i="1"/>
  <c r="BU21" i="1"/>
  <c r="BS44" i="1"/>
  <c r="BS12" i="1"/>
  <c r="BS35" i="1"/>
  <c r="BS19" i="1"/>
  <c r="BT43" i="1"/>
  <c r="BT27" i="1"/>
  <c r="BT11" i="1"/>
  <c r="BU35" i="1"/>
  <c r="BU19" i="1"/>
  <c r="BU34" i="1"/>
  <c r="BU18" i="1"/>
  <c r="BU30" i="1"/>
  <c r="BU14" i="1"/>
  <c r="BT30" i="1"/>
  <c r="BT14" i="1"/>
  <c r="BT38" i="1"/>
  <c r="BT22" i="1"/>
  <c r="BT6" i="1"/>
  <c r="W71" i="1" l="1"/>
  <c r="V74" i="1"/>
  <c r="U64" i="1"/>
  <c r="V64" i="1"/>
  <c r="E3" i="4"/>
  <c r="E3" i="3"/>
  <c r="E24" i="4"/>
  <c r="E24" i="3"/>
  <c r="E52" i="4"/>
  <c r="E52" i="3"/>
  <c r="E2" i="4"/>
  <c r="E2" i="3"/>
  <c r="E40" i="4"/>
  <c r="E40" i="3"/>
  <c r="E5" i="3"/>
  <c r="E5" i="4"/>
  <c r="E41" i="3"/>
  <c r="E41" i="4"/>
  <c r="E42" i="4"/>
  <c r="E42" i="3"/>
  <c r="E38" i="4"/>
  <c r="E38" i="3"/>
  <c r="E45" i="4"/>
  <c r="E45" i="3"/>
  <c r="E58" i="4"/>
  <c r="E58" i="3"/>
  <c r="E34" i="4"/>
  <c r="E34" i="3"/>
  <c r="T64" i="1"/>
  <c r="E7" i="4"/>
  <c r="E7" i="3"/>
  <c r="E14" i="3"/>
  <c r="E14" i="4"/>
  <c r="E36" i="4"/>
  <c r="E36" i="3"/>
  <c r="E65" i="4"/>
  <c r="E65" i="3"/>
  <c r="U73" i="1"/>
  <c r="E21" i="3"/>
  <c r="E21" i="4"/>
  <c r="E61" i="3"/>
  <c r="E61" i="4"/>
  <c r="E47" i="3"/>
  <c r="E47" i="4"/>
  <c r="E63" i="3"/>
  <c r="E63" i="4"/>
  <c r="E44" i="4"/>
  <c r="E44" i="3"/>
  <c r="AA12" i="1"/>
  <c r="E62" i="4"/>
  <c r="E62" i="3"/>
  <c r="U67" i="1"/>
  <c r="V67" i="1"/>
  <c r="U63" i="1"/>
  <c r="V63" i="1"/>
  <c r="E15" i="4"/>
  <c r="E15" i="3"/>
  <c r="E8" i="4"/>
  <c r="E8" i="3"/>
  <c r="E59" i="3"/>
  <c r="E59" i="4"/>
  <c r="E43" i="3"/>
  <c r="E43" i="4"/>
  <c r="E31" i="3"/>
  <c r="E31" i="4"/>
  <c r="E17" i="3"/>
  <c r="E17" i="4"/>
  <c r="E64" i="4"/>
  <c r="E64" i="3"/>
  <c r="E18" i="3"/>
  <c r="E18" i="4"/>
  <c r="E49" i="4"/>
  <c r="E49" i="3"/>
  <c r="E19" i="4"/>
  <c r="E19" i="3"/>
  <c r="E66" i="4"/>
  <c r="E66" i="3"/>
  <c r="E12" i="3"/>
  <c r="E12" i="4"/>
  <c r="E13" i="3"/>
  <c r="E13" i="4"/>
  <c r="E46" i="4"/>
  <c r="E46" i="3"/>
  <c r="E4" i="4"/>
  <c r="E4" i="3"/>
  <c r="E11" i="4"/>
  <c r="E11" i="3"/>
  <c r="E68" i="4"/>
  <c r="E68" i="3"/>
  <c r="AE67" i="1"/>
  <c r="AC69" i="1"/>
  <c r="AB70" i="1"/>
  <c r="AD68" i="1"/>
  <c r="AD67" i="1"/>
  <c r="AB69" i="1"/>
  <c r="AE66" i="1"/>
  <c r="AC68" i="1"/>
  <c r="T74" i="1"/>
  <c r="U76" i="1"/>
  <c r="E29" i="4"/>
  <c r="E29" i="3"/>
  <c r="E6" i="3"/>
  <c r="E6" i="4"/>
  <c r="T67" i="1"/>
  <c r="E32" i="4"/>
  <c r="E32" i="3"/>
  <c r="E33" i="3"/>
  <c r="E33" i="4"/>
  <c r="AP7" i="1"/>
  <c r="AR7" i="1" s="1"/>
  <c r="E60" i="4"/>
  <c r="E60" i="3"/>
  <c r="U69" i="1"/>
  <c r="V69" i="1"/>
  <c r="AP5" i="1"/>
  <c r="AR5" i="1" s="1"/>
  <c r="E9" i="3"/>
  <c r="E9" i="4"/>
  <c r="E20" i="3"/>
  <c r="E20" i="4"/>
  <c r="U66" i="1"/>
  <c r="V66" i="1"/>
  <c r="U70" i="1"/>
  <c r="V70" i="1"/>
  <c r="AD71" i="1"/>
  <c r="AE70" i="1"/>
  <c r="AC72" i="1"/>
  <c r="AB73" i="1"/>
  <c r="T72" i="1"/>
  <c r="AC67" i="1"/>
  <c r="AE65" i="1"/>
  <c r="AD66" i="1"/>
  <c r="AB68" i="1"/>
  <c r="E53" i="4"/>
  <c r="E53" i="3"/>
  <c r="E23" i="4"/>
  <c r="E23" i="3"/>
  <c r="E51" i="3"/>
  <c r="E51" i="4"/>
  <c r="E35" i="3"/>
  <c r="E35" i="4"/>
  <c r="E30" i="4"/>
  <c r="E30" i="3"/>
  <c r="E16" i="4"/>
  <c r="E16" i="3"/>
  <c r="E55" i="3"/>
  <c r="E55" i="4"/>
  <c r="E25" i="4"/>
  <c r="E25" i="3"/>
  <c r="E48" i="4"/>
  <c r="E48" i="3"/>
  <c r="E26" i="4"/>
  <c r="E26" i="3"/>
  <c r="E27" i="4"/>
  <c r="E27" i="3"/>
  <c r="E50" i="4"/>
  <c r="E50" i="3"/>
  <c r="E28" i="4"/>
  <c r="E28" i="3"/>
  <c r="E22" i="3"/>
  <c r="E22" i="4"/>
  <c r="E67" i="4"/>
  <c r="E67" i="3"/>
  <c r="E56" i="4"/>
  <c r="E56" i="3"/>
  <c r="E10" i="3"/>
  <c r="E10" i="4"/>
  <c r="U68" i="1"/>
  <c r="V68" i="1"/>
  <c r="U65" i="1"/>
  <c r="V65" i="1"/>
  <c r="U74" i="1"/>
  <c r="AP8" i="1"/>
  <c r="AR8" i="1" s="1"/>
  <c r="E37" i="4"/>
  <c r="E37" i="3"/>
  <c r="E54" i="4"/>
  <c r="E54" i="3"/>
  <c r="E39" i="3"/>
  <c r="E39" i="4"/>
  <c r="Z70" i="1"/>
  <c r="E57" i="4"/>
  <c r="E57" i="3"/>
  <c r="AP6" i="1"/>
  <c r="AR6" i="1"/>
  <c r="AA44" i="1"/>
  <c r="AH44" i="1" s="1"/>
  <c r="AH8" i="1"/>
  <c r="AI8" i="1"/>
  <c r="AJ8" i="1"/>
  <c r="I8" i="1"/>
  <c r="AH12" i="1"/>
  <c r="AJ12" i="1"/>
  <c r="AI12" i="1"/>
  <c r="I12" i="1"/>
  <c r="AY50" i="1"/>
  <c r="S52" i="1"/>
  <c r="AY52" i="1"/>
  <c r="E12" i="1"/>
  <c r="AF12" i="1"/>
  <c r="E8" i="1"/>
  <c r="AF8" i="1"/>
  <c r="AA5" i="1"/>
  <c r="AI5" i="1" s="1"/>
  <c r="AF44" i="1"/>
  <c r="Z68" i="1"/>
  <c r="Y69" i="1"/>
  <c r="X70" i="1"/>
  <c r="Y63" i="1"/>
  <c r="X64" i="1"/>
  <c r="W65" i="1"/>
  <c r="Z62" i="1"/>
  <c r="Y62" i="1"/>
  <c r="X63" i="1"/>
  <c r="W64" i="1"/>
  <c r="Z61" i="1"/>
  <c r="W73" i="1"/>
  <c r="X72" i="1"/>
  <c r="Y71" i="1"/>
  <c r="AF42" i="1"/>
  <c r="AF43" i="1"/>
  <c r="X59" i="1"/>
  <c r="W60" i="1"/>
  <c r="Z57" i="1"/>
  <c r="Y58" i="1"/>
  <c r="Y65" i="1"/>
  <c r="X66" i="1"/>
  <c r="W67" i="1"/>
  <c r="Z64" i="1"/>
  <c r="Y64" i="1"/>
  <c r="X65" i="1"/>
  <c r="W66" i="1"/>
  <c r="Z63" i="1"/>
  <c r="DP76" i="1"/>
  <c r="X61" i="1"/>
  <c r="W62" i="1"/>
  <c r="Z59" i="1"/>
  <c r="Y60" i="1"/>
  <c r="X60" i="1"/>
  <c r="W61" i="1"/>
  <c r="Z58" i="1"/>
  <c r="Y59" i="1"/>
  <c r="Y61" i="1"/>
  <c r="X62" i="1"/>
  <c r="W63" i="1"/>
  <c r="Z60" i="1"/>
  <c r="Y68" i="1"/>
  <c r="X69" i="1"/>
  <c r="Z67" i="1"/>
  <c r="W70" i="1"/>
  <c r="Z66" i="1"/>
  <c r="Y67" i="1"/>
  <c r="X68" i="1"/>
  <c r="W69" i="1"/>
  <c r="DP75" i="1"/>
  <c r="S75" i="1"/>
  <c r="AA16" i="1"/>
  <c r="AA37" i="1"/>
  <c r="AA31" i="1"/>
  <c r="AA33" i="1"/>
  <c r="AA28" i="1"/>
  <c r="AA34" i="1"/>
  <c r="AA38" i="1"/>
  <c r="AA11" i="1"/>
  <c r="AA26" i="1"/>
  <c r="AA35" i="1"/>
  <c r="AA29" i="1"/>
  <c r="AA36" i="1"/>
  <c r="AA14" i="1"/>
  <c r="AA30" i="1"/>
  <c r="AA20" i="1"/>
  <c r="AA9" i="1"/>
  <c r="AA24" i="1"/>
  <c r="AA32" i="1"/>
  <c r="AA17" i="1"/>
  <c r="AA21" i="1"/>
  <c r="AA6" i="1"/>
  <c r="AA7" i="1"/>
  <c r="AA25" i="1"/>
  <c r="AA39" i="1"/>
  <c r="S62" i="1"/>
  <c r="S59" i="1"/>
  <c r="S54" i="1"/>
  <c r="AA10" i="1"/>
  <c r="AA15" i="1"/>
  <c r="S61" i="1"/>
  <c r="AA19" i="1"/>
  <c r="S53" i="1"/>
  <c r="AA23" i="1"/>
  <c r="S55" i="1"/>
  <c r="AA27" i="1"/>
  <c r="S56" i="1"/>
  <c r="S60" i="1"/>
  <c r="S51" i="1"/>
  <c r="AA18" i="1"/>
  <c r="AA13" i="1"/>
  <c r="AA40" i="1"/>
  <c r="S58" i="1"/>
  <c r="AA22" i="1"/>
  <c r="U59" i="1" l="1"/>
  <c r="V59" i="1"/>
  <c r="Z53" i="1"/>
  <c r="T59" i="1"/>
  <c r="I48" i="3"/>
  <c r="K48" i="3" s="1"/>
  <c r="AC59" i="1"/>
  <c r="AD58" i="1"/>
  <c r="AB60" i="1"/>
  <c r="AE57" i="1"/>
  <c r="U62" i="1"/>
  <c r="V62" i="1"/>
  <c r="T62" i="1"/>
  <c r="I12" i="3"/>
  <c r="K12" i="3" s="1"/>
  <c r="I43" i="3"/>
  <c r="K43" i="3" s="1"/>
  <c r="X71" i="1"/>
  <c r="V75" i="1"/>
  <c r="U75" i="1"/>
  <c r="T75" i="1"/>
  <c r="I39" i="3"/>
  <c r="K39" i="3" s="1"/>
  <c r="I56" i="3"/>
  <c r="K56" i="3" s="1"/>
  <c r="I50" i="3"/>
  <c r="K50" i="3" s="1"/>
  <c r="I25" i="3"/>
  <c r="K25" i="3" s="1"/>
  <c r="I9" i="3"/>
  <c r="K9" i="3" s="1"/>
  <c r="I29" i="3"/>
  <c r="K29" i="3" s="1"/>
  <c r="I4" i="3"/>
  <c r="K4" i="3" s="1"/>
  <c r="I66" i="3"/>
  <c r="K66" i="3" s="1"/>
  <c r="I64" i="3"/>
  <c r="K64" i="3" s="1"/>
  <c r="AB64" i="1"/>
  <c r="AE61" i="1"/>
  <c r="AD62" i="1"/>
  <c r="AC63" i="1"/>
  <c r="I63" i="3"/>
  <c r="K63" i="3" s="1"/>
  <c r="I65" i="3"/>
  <c r="K65" i="3" s="1"/>
  <c r="AD65" i="1"/>
  <c r="AC66" i="1"/>
  <c r="AE64" i="1"/>
  <c r="AB67" i="1"/>
  <c r="AF67" i="1" s="1"/>
  <c r="I59" i="3"/>
  <c r="K59" i="3" s="1"/>
  <c r="I34" i="3"/>
  <c r="K34" i="3" s="1"/>
  <c r="I42" i="3"/>
  <c r="K42" i="3" s="1"/>
  <c r="Q1" i="3"/>
  <c r="AD59" i="1"/>
  <c r="AE58" i="1"/>
  <c r="AB61" i="1"/>
  <c r="AC60" i="1"/>
  <c r="U55" i="1"/>
  <c r="V55" i="1"/>
  <c r="T55" i="1"/>
  <c r="AJ61" i="1"/>
  <c r="I5" i="3"/>
  <c r="K5" i="3" s="1"/>
  <c r="I10" i="3"/>
  <c r="K10" i="3" s="1"/>
  <c r="I6" i="3"/>
  <c r="K6" i="3" s="1"/>
  <c r="I38" i="3"/>
  <c r="K38" i="3" s="1"/>
  <c r="U53" i="1"/>
  <c r="V53" i="1"/>
  <c r="T53" i="1"/>
  <c r="AH61" i="1"/>
  <c r="I54" i="3"/>
  <c r="K54" i="3" s="1"/>
  <c r="I35" i="3"/>
  <c r="K35" i="3" s="1"/>
  <c r="I67" i="3"/>
  <c r="K67" i="3" s="1"/>
  <c r="I27" i="3"/>
  <c r="K27" i="3" s="1"/>
  <c r="I33" i="3"/>
  <c r="K33" i="3" s="1"/>
  <c r="I46" i="3"/>
  <c r="K46" i="3" s="1"/>
  <c r="I19" i="3"/>
  <c r="K19" i="3" s="1"/>
  <c r="I8" i="3"/>
  <c r="K8" i="3" s="1"/>
  <c r="I62" i="3"/>
  <c r="K62" i="3" s="1"/>
  <c r="I47" i="3"/>
  <c r="K47" i="3" s="1"/>
  <c r="I36" i="3"/>
  <c r="K36" i="3" s="1"/>
  <c r="U58" i="1"/>
  <c r="V58" i="1"/>
  <c r="X54" i="1"/>
  <c r="T58" i="1"/>
  <c r="I53" i="3"/>
  <c r="K53" i="3" s="1"/>
  <c r="I11" i="3"/>
  <c r="K11" i="3" s="1"/>
  <c r="I18" i="3"/>
  <c r="K18" i="3" s="1"/>
  <c r="AA71" i="1"/>
  <c r="AJ71" i="1" s="1"/>
  <c r="AJ72" i="1" s="1"/>
  <c r="AJ73" i="1" s="1"/>
  <c r="AJ74" i="1" s="1"/>
  <c r="AJ75" i="1" s="1"/>
  <c r="AJ76" i="1" s="1"/>
  <c r="AJ77" i="1" s="1"/>
  <c r="AD60" i="1"/>
  <c r="AE59" i="1"/>
  <c r="AB62" i="1"/>
  <c r="AC61" i="1"/>
  <c r="U51" i="1"/>
  <c r="Z45" i="1"/>
  <c r="V51" i="1"/>
  <c r="T51" i="1"/>
  <c r="U61" i="1"/>
  <c r="V61" i="1"/>
  <c r="T61" i="1"/>
  <c r="AH69" i="1"/>
  <c r="AI60" i="1"/>
  <c r="U60" i="1"/>
  <c r="V60" i="1"/>
  <c r="T60" i="1"/>
  <c r="AJ64" i="1"/>
  <c r="AH60" i="1"/>
  <c r="I37" i="3"/>
  <c r="K37" i="3" s="1"/>
  <c r="I55" i="3"/>
  <c r="K55" i="3" s="1"/>
  <c r="I51" i="3"/>
  <c r="K51" i="3" s="1"/>
  <c r="AE60" i="1"/>
  <c r="AC62" i="1"/>
  <c r="AD61" i="1"/>
  <c r="AB63" i="1"/>
  <c r="AE63" i="1"/>
  <c r="AB66" i="1"/>
  <c r="AF66" i="1" s="1"/>
  <c r="AD64" i="1"/>
  <c r="AC65" i="1"/>
  <c r="I32" i="3"/>
  <c r="K32" i="3" s="1"/>
  <c r="I17" i="3"/>
  <c r="K17" i="3" s="1"/>
  <c r="I58" i="3"/>
  <c r="K58" i="3" s="1"/>
  <c r="I52" i="3"/>
  <c r="K52" i="3" s="1"/>
  <c r="AE68" i="1"/>
  <c r="AF68" i="1" s="1"/>
  <c r="DA68" i="1" s="1"/>
  <c r="AB71" i="1"/>
  <c r="AD69" i="1"/>
  <c r="AC70" i="1"/>
  <c r="I28" i="3"/>
  <c r="K28" i="3" s="1"/>
  <c r="I20" i="3"/>
  <c r="K20" i="3" s="1"/>
  <c r="I7" i="3"/>
  <c r="K7" i="3" s="1"/>
  <c r="I40" i="3"/>
  <c r="K40" i="3" s="1"/>
  <c r="AJ62" i="1"/>
  <c r="AS3" i="1"/>
  <c r="U56" i="1"/>
  <c r="Y51" i="1"/>
  <c r="V56" i="1"/>
  <c r="Z50" i="1"/>
  <c r="T56" i="1"/>
  <c r="AJ63" i="1"/>
  <c r="X48" i="1"/>
  <c r="U52" i="1"/>
  <c r="V52" i="1"/>
  <c r="T52" i="1"/>
  <c r="I57" i="3"/>
  <c r="K57" i="3" s="1"/>
  <c r="AD63" i="1"/>
  <c r="AC64" i="1"/>
  <c r="AE62" i="1"/>
  <c r="AB65" i="1"/>
  <c r="AF65" i="1" s="1"/>
  <c r="DA65" i="1" s="1"/>
  <c r="I26" i="3"/>
  <c r="K26" i="3" s="1"/>
  <c r="I16" i="3"/>
  <c r="K16" i="3" s="1"/>
  <c r="I23" i="3"/>
  <c r="K23" i="3" s="1"/>
  <c r="I68" i="3"/>
  <c r="K68" i="3" s="1"/>
  <c r="I49" i="3"/>
  <c r="K49" i="3" s="1"/>
  <c r="I15" i="3"/>
  <c r="K15" i="3" s="1"/>
  <c r="I61" i="3"/>
  <c r="K61" i="3" s="1"/>
  <c r="I41" i="3"/>
  <c r="K41" i="3" s="1"/>
  <c r="I30" i="3"/>
  <c r="K30" i="3" s="1"/>
  <c r="I21" i="3"/>
  <c r="K21" i="3" s="1"/>
  <c r="K3" i="3"/>
  <c r="U54" i="1"/>
  <c r="W51" i="1"/>
  <c r="V54" i="1"/>
  <c r="T54" i="1"/>
  <c r="AI62" i="1"/>
  <c r="I22" i="3"/>
  <c r="K22" i="3" s="1"/>
  <c r="I60" i="3"/>
  <c r="K60" i="3" s="1"/>
  <c r="I13" i="3"/>
  <c r="K13" i="3" s="1"/>
  <c r="I31" i="3"/>
  <c r="K31" i="3" s="1"/>
  <c r="I44" i="3"/>
  <c r="K44" i="3" s="1"/>
  <c r="I14" i="3"/>
  <c r="K14" i="3" s="1"/>
  <c r="I45" i="3"/>
  <c r="K45" i="3" s="1"/>
  <c r="I24" i="3"/>
  <c r="K24" i="3" s="1"/>
  <c r="I44" i="1"/>
  <c r="AI44" i="1"/>
  <c r="AJ44" i="1"/>
  <c r="AI71" i="1"/>
  <c r="AI72" i="1" s="1"/>
  <c r="AI73" i="1" s="1"/>
  <c r="AI74" i="1" s="1"/>
  <c r="AI75" i="1" s="1"/>
  <c r="AI76" i="1" s="1"/>
  <c r="AI77" i="1" s="1"/>
  <c r="AH71" i="1"/>
  <c r="AH72" i="1" s="1"/>
  <c r="AH73" i="1" s="1"/>
  <c r="AH74" i="1" s="1"/>
  <c r="AH75" i="1" s="1"/>
  <c r="AH76" i="1" s="1"/>
  <c r="AH77" i="1" s="1"/>
  <c r="I71" i="1"/>
  <c r="J71" i="1" s="1"/>
  <c r="J8" i="1"/>
  <c r="AH11" i="1"/>
  <c r="AI11" i="1"/>
  <c r="AJ11" i="1"/>
  <c r="I11" i="1"/>
  <c r="AH21" i="1"/>
  <c r="AI21" i="1"/>
  <c r="AJ21" i="1"/>
  <c r="I21" i="1"/>
  <c r="AJ5" i="1"/>
  <c r="AH5" i="1"/>
  <c r="AF5" i="1"/>
  <c r="I5" i="1"/>
  <c r="AF39" i="1"/>
  <c r="DA39" i="1" s="1"/>
  <c r="AJ39" i="1"/>
  <c r="AH39" i="1"/>
  <c r="AI39" i="1"/>
  <c r="I39" i="1"/>
  <c r="J39" i="1" s="1"/>
  <c r="AI18" i="1"/>
  <c r="AJ18" i="1"/>
  <c r="AH18" i="1"/>
  <c r="I18" i="1"/>
  <c r="AH27" i="1"/>
  <c r="AI27" i="1"/>
  <c r="AJ27" i="1"/>
  <c r="I27" i="1"/>
  <c r="AH24" i="1"/>
  <c r="AI24" i="1"/>
  <c r="AJ24" i="1"/>
  <c r="I24" i="1"/>
  <c r="AH13" i="1"/>
  <c r="AI13" i="1"/>
  <c r="AJ13" i="1"/>
  <c r="I13" i="1"/>
  <c r="AH6" i="1"/>
  <c r="AI6" i="1"/>
  <c r="AJ6" i="1"/>
  <c r="I6" i="1"/>
  <c r="AF33" i="1"/>
  <c r="DA33" i="1" s="1"/>
  <c r="AH33" i="1"/>
  <c r="AI33" i="1"/>
  <c r="AJ33" i="1"/>
  <c r="I33" i="1"/>
  <c r="J33" i="1" s="1"/>
  <c r="AH31" i="1"/>
  <c r="AI31" i="1"/>
  <c r="AJ31" i="1"/>
  <c r="I31" i="1"/>
  <c r="AF37" i="1"/>
  <c r="AH37" i="1"/>
  <c r="AI37" i="1"/>
  <c r="AJ37" i="1"/>
  <c r="I37" i="1"/>
  <c r="AH19" i="1"/>
  <c r="AI19" i="1"/>
  <c r="AJ19" i="1"/>
  <c r="I19" i="1"/>
  <c r="AF40" i="1"/>
  <c r="DA40" i="1" s="1"/>
  <c r="AH40" i="1"/>
  <c r="AI40" i="1"/>
  <c r="AJ40" i="1"/>
  <c r="I40" i="1"/>
  <c r="J40" i="1" s="1"/>
  <c r="AF38" i="1"/>
  <c r="DA38" i="1" s="1"/>
  <c r="AJ38" i="1"/>
  <c r="AH38" i="1"/>
  <c r="AI38" i="1"/>
  <c r="I38" i="1"/>
  <c r="J38" i="1" s="1"/>
  <c r="AF34" i="1"/>
  <c r="AI34" i="1"/>
  <c r="AJ34" i="1"/>
  <c r="AH34" i="1"/>
  <c r="I34" i="1"/>
  <c r="J34" i="1" s="1"/>
  <c r="AH16" i="1"/>
  <c r="AI16" i="1"/>
  <c r="AJ16" i="1"/>
  <c r="I16" i="1"/>
  <c r="AJ9" i="1"/>
  <c r="AH9" i="1"/>
  <c r="AI9" i="1"/>
  <c r="I9" i="1"/>
  <c r="AJ20" i="1"/>
  <c r="AH20" i="1"/>
  <c r="AI20" i="1"/>
  <c r="I20" i="1"/>
  <c r="AH10" i="1"/>
  <c r="AI10" i="1"/>
  <c r="AJ10" i="1"/>
  <c r="I10" i="1"/>
  <c r="AF35" i="1"/>
  <c r="DA35" i="1" s="1"/>
  <c r="AH35" i="1"/>
  <c r="AI35" i="1"/>
  <c r="AJ35" i="1"/>
  <c r="I35" i="1"/>
  <c r="J35" i="1" s="1"/>
  <c r="AH26" i="1"/>
  <c r="AI26" i="1"/>
  <c r="AJ26" i="1"/>
  <c r="I26" i="1"/>
  <c r="AJ25" i="1"/>
  <c r="AH25" i="1"/>
  <c r="AI25" i="1"/>
  <c r="I25" i="1"/>
  <c r="AJ7" i="1"/>
  <c r="AH7" i="1"/>
  <c r="AI7" i="1"/>
  <c r="I7" i="1"/>
  <c r="AJ28" i="1"/>
  <c r="AH28" i="1"/>
  <c r="AI28" i="1"/>
  <c r="I28" i="1"/>
  <c r="AI17" i="1"/>
  <c r="AH17" i="1"/>
  <c r="AJ17" i="1"/>
  <c r="I17" i="1"/>
  <c r="AH32" i="1"/>
  <c r="AI32" i="1"/>
  <c r="AJ32" i="1"/>
  <c r="I32" i="1"/>
  <c r="AJ23" i="1"/>
  <c r="AH23" i="1"/>
  <c r="AI23" i="1"/>
  <c r="I23" i="1"/>
  <c r="J12" i="1"/>
  <c r="AH30" i="1"/>
  <c r="AI30" i="1"/>
  <c r="AJ30" i="1"/>
  <c r="I30" i="1"/>
  <c r="AH15" i="1"/>
  <c r="AI15" i="1"/>
  <c r="AJ15" i="1"/>
  <c r="I15" i="1"/>
  <c r="AH14" i="1"/>
  <c r="AI14" i="1"/>
  <c r="AJ14" i="1"/>
  <c r="I14" i="1"/>
  <c r="AF36" i="1"/>
  <c r="DA36" i="1" s="1"/>
  <c r="AJ36" i="1"/>
  <c r="AH36" i="1"/>
  <c r="AI36" i="1"/>
  <c r="I36" i="1"/>
  <c r="J36" i="1" s="1"/>
  <c r="AH22" i="1"/>
  <c r="AI22" i="1"/>
  <c r="AJ22" i="1"/>
  <c r="I22" i="1"/>
  <c r="AH29" i="1"/>
  <c r="AI29" i="1"/>
  <c r="AJ29" i="1"/>
  <c r="I29" i="1"/>
  <c r="DA37" i="1"/>
  <c r="J37" i="1"/>
  <c r="DA34" i="1"/>
  <c r="DA42" i="1"/>
  <c r="E27" i="1"/>
  <c r="AF27" i="1"/>
  <c r="E6" i="1"/>
  <c r="AF6" i="1"/>
  <c r="E9" i="1"/>
  <c r="AF9" i="1"/>
  <c r="Z46" i="1"/>
  <c r="E15" i="1"/>
  <c r="AF15" i="1"/>
  <c r="J15" i="1" s="1"/>
  <c r="E14" i="1"/>
  <c r="AF14" i="1"/>
  <c r="DA66" i="1"/>
  <c r="E16" i="1"/>
  <c r="AF16" i="1"/>
  <c r="E10" i="1"/>
  <c r="AF10" i="1"/>
  <c r="E21" i="1"/>
  <c r="AF21" i="1"/>
  <c r="E31" i="1"/>
  <c r="AF31" i="1"/>
  <c r="E28" i="1"/>
  <c r="AF28" i="1"/>
  <c r="E32" i="1"/>
  <c r="AF32" i="1"/>
  <c r="E24" i="1"/>
  <c r="AF24" i="1"/>
  <c r="E19" i="1"/>
  <c r="AF19" i="1"/>
  <c r="E20" i="1"/>
  <c r="AF20" i="1"/>
  <c r="Y47" i="1"/>
  <c r="E22" i="1"/>
  <c r="AF22" i="1"/>
  <c r="E13" i="1"/>
  <c r="AF13" i="1"/>
  <c r="E18" i="1"/>
  <c r="AF18" i="1"/>
  <c r="DA67" i="1"/>
  <c r="E17" i="1"/>
  <c r="AF17" i="1"/>
  <c r="J17" i="1" s="1"/>
  <c r="E5" i="1"/>
  <c r="E23" i="1"/>
  <c r="AF23" i="1"/>
  <c r="W49" i="1"/>
  <c r="E30" i="1"/>
  <c r="AF30" i="1"/>
  <c r="E29" i="1"/>
  <c r="AF29" i="1"/>
  <c r="E26" i="1"/>
  <c r="AF26" i="1"/>
  <c r="E11" i="1"/>
  <c r="AF11" i="1"/>
  <c r="E25" i="1"/>
  <c r="AF25" i="1"/>
  <c r="AA66" i="1"/>
  <c r="AI66" i="1" s="1"/>
  <c r="E7" i="1"/>
  <c r="AF7" i="1"/>
  <c r="E37" i="1"/>
  <c r="E35" i="1"/>
  <c r="E33" i="1"/>
  <c r="E39" i="1"/>
  <c r="E38" i="1"/>
  <c r="E34" i="1"/>
  <c r="E36" i="1"/>
  <c r="E40" i="1"/>
  <c r="Y49" i="1"/>
  <c r="X50" i="1"/>
  <c r="Z48" i="1"/>
  <c r="Y70" i="1"/>
  <c r="AA70" i="1" s="1"/>
  <c r="W72" i="1"/>
  <c r="Z69" i="1"/>
  <c r="AA69" i="1" s="1"/>
  <c r="X49" i="1"/>
  <c r="Y48" i="1"/>
  <c r="W50" i="1"/>
  <c r="Z47" i="1"/>
  <c r="W56" i="1"/>
  <c r="Y54" i="1"/>
  <c r="X55" i="1"/>
  <c r="Z49" i="1"/>
  <c r="W52" i="1"/>
  <c r="Y50" i="1"/>
  <c r="X51" i="1"/>
  <c r="W55" i="1"/>
  <c r="Z52" i="1"/>
  <c r="Y53" i="1"/>
  <c r="X52" i="1"/>
  <c r="W53" i="1"/>
  <c r="W59" i="1"/>
  <c r="Z56" i="1"/>
  <c r="Y57" i="1"/>
  <c r="X58" i="1"/>
  <c r="W58" i="1"/>
  <c r="Z55" i="1"/>
  <c r="Y56" i="1"/>
  <c r="X57" i="1"/>
  <c r="Y46" i="1"/>
  <c r="W48" i="1"/>
  <c r="X47" i="1"/>
  <c r="Y45" i="1"/>
  <c r="W47" i="1"/>
  <c r="X46" i="1"/>
  <c r="W57" i="1"/>
  <c r="Z54" i="1"/>
  <c r="X56" i="1"/>
  <c r="Y55" i="1"/>
  <c r="AA68" i="1"/>
  <c r="AI68" i="1" s="1"/>
  <c r="AA67" i="1"/>
  <c r="AA61" i="1"/>
  <c r="AA63" i="1"/>
  <c r="AI63" i="1" s="1"/>
  <c r="AA62" i="1"/>
  <c r="AA64" i="1"/>
  <c r="AA65" i="1"/>
  <c r="AH65" i="1" s="1"/>
  <c r="AA60" i="1"/>
  <c r="AJ60" i="1" s="1"/>
  <c r="F35" i="3" l="1"/>
  <c r="F35" i="4"/>
  <c r="F31" i="3"/>
  <c r="F31" i="4"/>
  <c r="AF69" i="1"/>
  <c r="DA69" i="1" s="1"/>
  <c r="I67" i="1"/>
  <c r="J67" i="1" s="1"/>
  <c r="AI67" i="1"/>
  <c r="AJ65" i="1"/>
  <c r="AF62" i="1"/>
  <c r="DA62" i="1" s="1"/>
  <c r="AD57" i="1"/>
  <c r="AC58" i="1"/>
  <c r="AB59" i="1"/>
  <c r="AF59" i="1" s="1"/>
  <c r="DA59" i="1" s="1"/>
  <c r="AE56" i="1"/>
  <c r="AI56" i="1"/>
  <c r="F32" i="4"/>
  <c r="F32" i="3"/>
  <c r="AH63" i="1"/>
  <c r="AE55" i="1"/>
  <c r="AB58" i="1"/>
  <c r="AF58" i="1" s="1"/>
  <c r="DA58" i="1" s="1"/>
  <c r="AD56" i="1"/>
  <c r="AC57" i="1"/>
  <c r="AH55" i="1"/>
  <c r="BD1" i="1"/>
  <c r="I68" i="1"/>
  <c r="J68" i="1" s="1"/>
  <c r="AH68" i="1"/>
  <c r="I65" i="1"/>
  <c r="J65" i="1" s="1"/>
  <c r="AA59" i="1"/>
  <c r="AH59" i="1"/>
  <c r="I64" i="1"/>
  <c r="J64" i="1" s="1"/>
  <c r="I69" i="1"/>
  <c r="J69" i="1" s="1"/>
  <c r="F12" i="4"/>
  <c r="F12" i="3"/>
  <c r="F30" i="3"/>
  <c r="F30" i="4"/>
  <c r="AF63" i="1"/>
  <c r="DA63" i="1" s="1"/>
  <c r="AJ68" i="1"/>
  <c r="AB50" i="1"/>
  <c r="AE47" i="1"/>
  <c r="AC49" i="1"/>
  <c r="AD48" i="1"/>
  <c r="AC55" i="1"/>
  <c r="AE53" i="1"/>
  <c r="AD54" i="1"/>
  <c r="AB56" i="1"/>
  <c r="F68" i="4"/>
  <c r="F68" i="3"/>
  <c r="F34" i="3"/>
  <c r="F34" i="4"/>
  <c r="F36" i="4"/>
  <c r="F36" i="3"/>
  <c r="AD55" i="1"/>
  <c r="AE54" i="1"/>
  <c r="AC56" i="1"/>
  <c r="AB57" i="1"/>
  <c r="AF57" i="1" s="1"/>
  <c r="DA57" i="1" s="1"/>
  <c r="AF61" i="1"/>
  <c r="DA61" i="1" s="1"/>
  <c r="AF64" i="1"/>
  <c r="DA64" i="1" s="1"/>
  <c r="AF60" i="1"/>
  <c r="DA60" i="1" s="1"/>
  <c r="AC50" i="1"/>
  <c r="AB51" i="1"/>
  <c r="AE48" i="1"/>
  <c r="AD49" i="1"/>
  <c r="AC71" i="1"/>
  <c r="AE69" i="1"/>
  <c r="AD70" i="1"/>
  <c r="AF70" i="1" s="1"/>
  <c r="DA70" i="1" s="1"/>
  <c r="AB72" i="1"/>
  <c r="AI55" i="1"/>
  <c r="F9" i="4"/>
  <c r="F9" i="3"/>
  <c r="F5" i="4"/>
  <c r="F5" i="3"/>
  <c r="AH67" i="1"/>
  <c r="AJ67" i="1"/>
  <c r="AJ69" i="1"/>
  <c r="AE50" i="1"/>
  <c r="AD51" i="1"/>
  <c r="AB53" i="1"/>
  <c r="AC52" i="1"/>
  <c r="AF71" i="1"/>
  <c r="DA71" i="1" s="1"/>
  <c r="AE45" i="1"/>
  <c r="AF45" i="1" s="1"/>
  <c r="AC47" i="1"/>
  <c r="AF47" i="1" s="1"/>
  <c r="DA47" i="1" s="1"/>
  <c r="AB48" i="1"/>
  <c r="AF48" i="1" s="1"/>
  <c r="AD46" i="1"/>
  <c r="AI69" i="1"/>
  <c r="AI54" i="1"/>
  <c r="I60" i="1"/>
  <c r="J60" i="1" s="1"/>
  <c r="F37" i="3"/>
  <c r="F37" i="4"/>
  <c r="AC51" i="1"/>
  <c r="AD50" i="1"/>
  <c r="AB52" i="1"/>
  <c r="AE49" i="1"/>
  <c r="I62" i="1"/>
  <c r="J62" i="1" s="1"/>
  <c r="AJ56" i="1"/>
  <c r="I66" i="1"/>
  <c r="J66" i="1" s="1"/>
  <c r="AJ66" i="1"/>
  <c r="F33" i="4"/>
  <c r="F33" i="3"/>
  <c r="I63" i="1"/>
  <c r="J63" i="1" s="1"/>
  <c r="I61" i="1"/>
  <c r="J61" i="1" s="1"/>
  <c r="AA58" i="1"/>
  <c r="AI58" i="1" s="1"/>
  <c r="F14" i="3"/>
  <c r="F14" i="4"/>
  <c r="AH62" i="1"/>
  <c r="AH66" i="1"/>
  <c r="AI61" i="1"/>
  <c r="AE46" i="1"/>
  <c r="AC48" i="1"/>
  <c r="AD47" i="1"/>
  <c r="AB49" i="1"/>
  <c r="AI64" i="1"/>
  <c r="AI65" i="1"/>
  <c r="AE52" i="1"/>
  <c r="AD53" i="1"/>
  <c r="AC54" i="1"/>
  <c r="AB55" i="1"/>
  <c r="AH64" i="1"/>
  <c r="J29" i="1"/>
  <c r="J13" i="1"/>
  <c r="J10" i="1"/>
  <c r="J26" i="1"/>
  <c r="J18" i="1"/>
  <c r="J32" i="1"/>
  <c r="J27" i="1"/>
  <c r="J11" i="1"/>
  <c r="J22" i="1"/>
  <c r="J9" i="1"/>
  <c r="J21" i="1"/>
  <c r="J24" i="1"/>
  <c r="J6" i="1"/>
  <c r="J14" i="1"/>
  <c r="J7" i="1"/>
  <c r="J28" i="1"/>
  <c r="J30" i="1"/>
  <c r="J23" i="1"/>
  <c r="J20" i="1"/>
  <c r="J31" i="1"/>
  <c r="AJ70" i="1"/>
  <c r="AH70" i="1"/>
  <c r="AI70" i="1"/>
  <c r="I70" i="1"/>
  <c r="J70" i="1" s="1"/>
  <c r="J25" i="1"/>
  <c r="J19" i="1"/>
  <c r="J16" i="1"/>
  <c r="AA49" i="1"/>
  <c r="AA47" i="1"/>
  <c r="AA48" i="1"/>
  <c r="AA54" i="1"/>
  <c r="AA51" i="1"/>
  <c r="AA50" i="1"/>
  <c r="AA46" i="1"/>
  <c r="AA45" i="1"/>
  <c r="AA57" i="1"/>
  <c r="AA52" i="1"/>
  <c r="AA53" i="1"/>
  <c r="AA55" i="1"/>
  <c r="AJ55" i="1" s="1"/>
  <c r="AA56" i="1"/>
  <c r="AA43" i="1"/>
  <c r="Z41" i="1"/>
  <c r="AA41" i="1" s="1"/>
  <c r="AA42" i="1"/>
  <c r="AW47" i="1"/>
  <c r="AX47" i="1"/>
  <c r="AY47" i="1" s="1"/>
  <c r="F64" i="4" l="1"/>
  <c r="F64" i="3"/>
  <c r="F66" i="3"/>
  <c r="F66" i="4"/>
  <c r="F63" i="3"/>
  <c r="F63" i="4"/>
  <c r="F59" i="3"/>
  <c r="F59" i="4"/>
  <c r="F65" i="3"/>
  <c r="F65" i="4"/>
  <c r="F57" i="4"/>
  <c r="F57" i="3"/>
  <c r="F61" i="4"/>
  <c r="F61" i="3"/>
  <c r="F58" i="3"/>
  <c r="F58" i="4"/>
  <c r="F60" i="4"/>
  <c r="F60" i="3"/>
  <c r="F62" i="3"/>
  <c r="F62" i="4"/>
  <c r="F15" i="4"/>
  <c r="F15" i="3"/>
  <c r="L30" i="3"/>
  <c r="G30" i="3"/>
  <c r="F28" i="4"/>
  <c r="F28" i="3"/>
  <c r="I57" i="1"/>
  <c r="J57" i="1" s="1"/>
  <c r="L68" i="3"/>
  <c r="G68" i="3"/>
  <c r="J59" i="1"/>
  <c r="I59" i="1"/>
  <c r="AJ59" i="1"/>
  <c r="AI59" i="1"/>
  <c r="F18" i="3"/>
  <c r="F18" i="4"/>
  <c r="F10" i="3"/>
  <c r="F10" i="4"/>
  <c r="F2" i="4"/>
  <c r="F2" i="3"/>
  <c r="G2" i="3" s="1"/>
  <c r="F22" i="3"/>
  <c r="F22" i="4"/>
  <c r="F27" i="3"/>
  <c r="F27" i="4"/>
  <c r="F19" i="4"/>
  <c r="F19" i="3"/>
  <c r="F26" i="3"/>
  <c r="F26" i="4"/>
  <c r="AF49" i="1"/>
  <c r="AF56" i="1"/>
  <c r="DA56" i="1" s="1"/>
  <c r="F3" i="4"/>
  <c r="F3" i="3"/>
  <c r="AF51" i="1"/>
  <c r="DA51" i="1" s="1"/>
  <c r="F23" i="4"/>
  <c r="F23" i="3"/>
  <c r="L12" i="3"/>
  <c r="G12" i="3"/>
  <c r="F17" i="3"/>
  <c r="F17" i="4"/>
  <c r="F6" i="3"/>
  <c r="F6" i="4"/>
  <c r="F67" i="3"/>
  <c r="F67" i="4"/>
  <c r="AF53" i="1"/>
  <c r="DA53" i="1" s="1"/>
  <c r="L36" i="3"/>
  <c r="G36" i="3"/>
  <c r="L31" i="3"/>
  <c r="G31" i="3"/>
  <c r="F13" i="3"/>
  <c r="F13" i="4"/>
  <c r="L37" i="3"/>
  <c r="G37" i="3"/>
  <c r="F16" i="3"/>
  <c r="F16" i="4"/>
  <c r="L5" i="3"/>
  <c r="G5" i="3"/>
  <c r="AF50" i="1"/>
  <c r="DA50" i="1" s="1"/>
  <c r="I56" i="1"/>
  <c r="J56" i="1" s="1"/>
  <c r="F25" i="4"/>
  <c r="F25" i="3"/>
  <c r="L14" i="3"/>
  <c r="G14" i="3"/>
  <c r="L9" i="3"/>
  <c r="G9" i="3"/>
  <c r="AJ57" i="1"/>
  <c r="J55" i="1"/>
  <c r="I55" i="1"/>
  <c r="F4" i="4"/>
  <c r="F4" i="3"/>
  <c r="F24" i="4"/>
  <c r="F24" i="3"/>
  <c r="AF55" i="1"/>
  <c r="DA55" i="1" s="1"/>
  <c r="AH56" i="1"/>
  <c r="AF52" i="1"/>
  <c r="DA52" i="1" s="1"/>
  <c r="J58" i="1"/>
  <c r="I58" i="1"/>
  <c r="AJ58" i="1"/>
  <c r="L34" i="3"/>
  <c r="G34" i="3"/>
  <c r="F21" i="4"/>
  <c r="F21" i="3"/>
  <c r="AH57" i="1"/>
  <c r="F7" i="4"/>
  <c r="F7" i="3"/>
  <c r="F20" i="4"/>
  <c r="F20" i="3"/>
  <c r="F8" i="4"/>
  <c r="F8" i="3"/>
  <c r="L33" i="3"/>
  <c r="G33" i="3"/>
  <c r="AI57" i="1"/>
  <c r="I54" i="1"/>
  <c r="J54" i="1" s="1"/>
  <c r="AH54" i="1"/>
  <c r="F11" i="4"/>
  <c r="F11" i="3"/>
  <c r="F29" i="4"/>
  <c r="F29" i="3"/>
  <c r="AF54" i="1"/>
  <c r="DA54" i="1" s="1"/>
  <c r="AH58" i="1"/>
  <c r="AF46" i="1"/>
  <c r="AJ54" i="1"/>
  <c r="L32" i="3"/>
  <c r="G32" i="3"/>
  <c r="L35" i="3"/>
  <c r="G35" i="3"/>
  <c r="AI53" i="1"/>
  <c r="AJ53" i="1"/>
  <c r="I53" i="1"/>
  <c r="J53" i="1" s="1"/>
  <c r="AI51" i="1"/>
  <c r="AJ51" i="1"/>
  <c r="AH51" i="1"/>
  <c r="I51" i="1"/>
  <c r="J51" i="1" s="1"/>
  <c r="AI52" i="1"/>
  <c r="AJ52" i="1"/>
  <c r="I52" i="1"/>
  <c r="J52" i="1" s="1"/>
  <c r="AH52" i="1"/>
  <c r="AH53" i="1"/>
  <c r="AH48" i="1"/>
  <c r="AI48" i="1"/>
  <c r="AJ48" i="1"/>
  <c r="I48" i="1"/>
  <c r="J48" i="1" s="1"/>
  <c r="AF41" i="1"/>
  <c r="DA41" i="1" s="1"/>
  <c r="AJ41" i="1"/>
  <c r="AH41" i="1"/>
  <c r="AI41" i="1"/>
  <c r="I41" i="1"/>
  <c r="J41" i="1" s="1"/>
  <c r="AH45" i="1"/>
  <c r="AI45" i="1"/>
  <c r="AJ45" i="1"/>
  <c r="I45" i="1"/>
  <c r="J45" i="1" s="1"/>
  <c r="AH46" i="1"/>
  <c r="AI46" i="1"/>
  <c r="AJ46" i="1"/>
  <c r="I46" i="1"/>
  <c r="J46" i="1" s="1"/>
  <c r="AI49" i="1"/>
  <c r="AH49" i="1"/>
  <c r="AJ49" i="1"/>
  <c r="I49" i="1"/>
  <c r="J49" i="1" s="1"/>
  <c r="AI42" i="1"/>
  <c r="AH42" i="1"/>
  <c r="AJ42" i="1"/>
  <c r="I42" i="1"/>
  <c r="J42" i="1" s="1"/>
  <c r="AI50" i="1"/>
  <c r="AJ50" i="1"/>
  <c r="AH50" i="1"/>
  <c r="I50" i="1"/>
  <c r="J50" i="1" s="1"/>
  <c r="AH47" i="1"/>
  <c r="AI47" i="1"/>
  <c r="AJ47" i="1"/>
  <c r="I47" i="1"/>
  <c r="J47" i="1" s="1"/>
  <c r="D43" i="1"/>
  <c r="E43" i="1" s="1"/>
  <c r="AH43" i="1"/>
  <c r="AI43" i="1"/>
  <c r="AJ43" i="1"/>
  <c r="I43" i="1"/>
  <c r="J43" i="1" s="1"/>
  <c r="D45" i="1"/>
  <c r="E45" i="1" s="1"/>
  <c r="D46" i="1"/>
  <c r="E46" i="1" s="1"/>
  <c r="E48" i="1"/>
  <c r="E47" i="1"/>
  <c r="E49" i="1"/>
  <c r="E41" i="1"/>
  <c r="E42" i="1"/>
  <c r="F51" i="3" l="1"/>
  <c r="F51" i="4"/>
  <c r="F53" i="4"/>
  <c r="F53" i="3"/>
  <c r="F54" i="3"/>
  <c r="F54" i="4"/>
  <c r="L29" i="3"/>
  <c r="G29" i="3"/>
  <c r="F47" i="3"/>
  <c r="F47" i="4"/>
  <c r="F46" i="3"/>
  <c r="F46" i="4"/>
  <c r="F42" i="3"/>
  <c r="F42" i="4"/>
  <c r="F55" i="3"/>
  <c r="F55" i="4"/>
  <c r="L23" i="3"/>
  <c r="G23" i="3"/>
  <c r="L59" i="3"/>
  <c r="G59" i="3"/>
  <c r="L19" i="3"/>
  <c r="G19" i="3"/>
  <c r="L11" i="3"/>
  <c r="G11" i="3"/>
  <c r="L8" i="3"/>
  <c r="G8" i="3"/>
  <c r="L13" i="3"/>
  <c r="G13" i="3"/>
  <c r="L10" i="3"/>
  <c r="G10" i="3"/>
  <c r="L63" i="3"/>
  <c r="G63" i="3"/>
  <c r="F39" i="3"/>
  <c r="F39" i="4"/>
  <c r="L24" i="3"/>
  <c r="G24" i="3"/>
  <c r="L6" i="3"/>
  <c r="G6" i="3"/>
  <c r="G3" i="3"/>
  <c r="L57" i="3"/>
  <c r="G57" i="3"/>
  <c r="F45" i="4"/>
  <c r="F45" i="3"/>
  <c r="F52" i="4"/>
  <c r="F52" i="3"/>
  <c r="F48" i="4"/>
  <c r="F48" i="3"/>
  <c r="F43" i="3"/>
  <c r="F43" i="4"/>
  <c r="L20" i="3"/>
  <c r="G20" i="3"/>
  <c r="L27" i="3"/>
  <c r="G27" i="3"/>
  <c r="L18" i="3"/>
  <c r="G18" i="3"/>
  <c r="L62" i="3"/>
  <c r="G62" i="3"/>
  <c r="L66" i="3"/>
  <c r="G66" i="3"/>
  <c r="F56" i="4"/>
  <c r="F56" i="3"/>
  <c r="L21" i="3"/>
  <c r="G21" i="3"/>
  <c r="L67" i="3"/>
  <c r="G67" i="3"/>
  <c r="L15" i="3"/>
  <c r="G15" i="3"/>
  <c r="F50" i="3"/>
  <c r="F50" i="4"/>
  <c r="L4" i="3"/>
  <c r="G4" i="3"/>
  <c r="L17" i="3"/>
  <c r="G17" i="3"/>
  <c r="L28" i="3"/>
  <c r="G28" i="3"/>
  <c r="L60" i="3"/>
  <c r="G60" i="3"/>
  <c r="L64" i="3"/>
  <c r="G64" i="3"/>
  <c r="L26" i="3"/>
  <c r="G26" i="3"/>
  <c r="L58" i="3"/>
  <c r="G58" i="3"/>
  <c r="L61" i="3"/>
  <c r="G61" i="3"/>
  <c r="F44" i="4"/>
  <c r="F44" i="3"/>
  <c r="F38" i="3"/>
  <c r="F38" i="4"/>
  <c r="F40" i="4"/>
  <c r="F40" i="3"/>
  <c r="F49" i="4"/>
  <c r="F49" i="3"/>
  <c r="L7" i="3"/>
  <c r="G7" i="3"/>
  <c r="L25" i="3"/>
  <c r="G25" i="3"/>
  <c r="L16" i="3"/>
  <c r="G16" i="3"/>
  <c r="L22" i="3"/>
  <c r="G22" i="3"/>
  <c r="L65" i="3"/>
  <c r="G65" i="3"/>
  <c r="B2" i="1"/>
  <c r="J44" i="1"/>
  <c r="D44" i="1"/>
  <c r="L40" i="3" l="1"/>
  <c r="G40" i="3"/>
  <c r="L42" i="3"/>
  <c r="G42" i="3"/>
  <c r="L54" i="3"/>
  <c r="G54" i="3"/>
  <c r="L52" i="3"/>
  <c r="G52" i="3"/>
  <c r="L53" i="3"/>
  <c r="G53" i="3"/>
  <c r="L49" i="3"/>
  <c r="G49" i="3"/>
  <c r="L56" i="3"/>
  <c r="G56" i="3"/>
  <c r="L38" i="3"/>
  <c r="G38" i="3"/>
  <c r="L43" i="3"/>
  <c r="G43" i="3"/>
  <c r="L39" i="3"/>
  <c r="G39" i="3"/>
  <c r="L46" i="3"/>
  <c r="G46" i="3"/>
  <c r="AL8" i="1"/>
  <c r="AL7" i="1"/>
  <c r="AL5" i="1"/>
  <c r="AL6" i="1"/>
  <c r="L50" i="3"/>
  <c r="G50" i="3"/>
  <c r="L55" i="3"/>
  <c r="G55" i="3"/>
  <c r="L45" i="3"/>
  <c r="G45" i="3"/>
  <c r="B1" i="1"/>
  <c r="K46" i="1" s="1"/>
  <c r="F41" i="4"/>
  <c r="F41" i="3"/>
  <c r="L44" i="3"/>
  <c r="G44" i="3"/>
  <c r="L48" i="3"/>
  <c r="G48" i="3"/>
  <c r="L47" i="3"/>
  <c r="G47" i="3"/>
  <c r="L51" i="3"/>
  <c r="G51" i="3"/>
  <c r="E44" i="1"/>
  <c r="K25" i="1" l="1"/>
  <c r="K53" i="1"/>
  <c r="K16" i="1"/>
  <c r="K68" i="1"/>
  <c r="K19" i="1"/>
  <c r="K36" i="1"/>
  <c r="K52" i="1"/>
  <c r="K45" i="1"/>
  <c r="K72" i="1"/>
  <c r="K21" i="1"/>
  <c r="K33" i="1"/>
  <c r="K31" i="1"/>
  <c r="K13" i="1"/>
  <c r="K65" i="1"/>
  <c r="K37" i="1"/>
  <c r="K35" i="1"/>
  <c r="K12" i="1"/>
  <c r="K8" i="1"/>
  <c r="AQ8" i="1" s="1"/>
  <c r="K43" i="1"/>
  <c r="K50" i="1"/>
  <c r="K11" i="1"/>
  <c r="K49" i="1"/>
  <c r="K6" i="1"/>
  <c r="K63" i="1"/>
  <c r="K41" i="1"/>
  <c r="K14" i="1"/>
  <c r="K34" i="1"/>
  <c r="K71" i="1"/>
  <c r="K5" i="1"/>
  <c r="AQ5" i="1" s="1"/>
  <c r="K76" i="1"/>
  <c r="K61" i="1"/>
  <c r="K67" i="1"/>
  <c r="D1" i="1"/>
  <c r="K42" i="1"/>
  <c r="K44" i="1"/>
  <c r="K30" i="1"/>
  <c r="K39" i="1"/>
  <c r="K40" i="1"/>
  <c r="K29" i="1"/>
  <c r="K74" i="1"/>
  <c r="K60" i="1"/>
  <c r="K51" i="1"/>
  <c r="D2" i="1"/>
  <c r="K47" i="1"/>
  <c r="K7" i="1"/>
  <c r="AQ7" i="1" s="1"/>
  <c r="AN10" i="1" s="1"/>
  <c r="K20" i="1"/>
  <c r="K26" i="1"/>
  <c r="K15" i="1"/>
  <c r="K9" i="1"/>
  <c r="K73" i="1"/>
  <c r="K75" i="1"/>
  <c r="K66" i="1"/>
  <c r="L41" i="3"/>
  <c r="G41" i="3"/>
  <c r="Q2" i="3"/>
  <c r="Q3" i="3" s="1"/>
  <c r="K27" i="1"/>
  <c r="K64" i="1"/>
  <c r="K57" i="1"/>
  <c r="K58" i="1"/>
  <c r="AQ6" i="1"/>
  <c r="K28" i="1"/>
  <c r="K70" i="1"/>
  <c r="K32" i="1"/>
  <c r="K38" i="1"/>
  <c r="K17" i="1"/>
  <c r="K62" i="1"/>
  <c r="K56" i="1"/>
  <c r="K54" i="1"/>
  <c r="K48" i="1"/>
  <c r="K23" i="1"/>
  <c r="K10" i="1"/>
  <c r="K22" i="1"/>
  <c r="K24" i="1"/>
  <c r="K18" i="1"/>
  <c r="K59" i="1"/>
  <c r="K55" i="1"/>
  <c r="K69" i="1"/>
  <c r="AN9" i="1"/>
  <c r="F1" i="1"/>
  <c r="F2" i="1" s="1"/>
  <c r="AN11" i="1" l="1"/>
  <c r="AO10" i="1"/>
  <c r="AP10" i="1" s="1"/>
  <c r="AO9" i="1"/>
  <c r="AP9" i="1" s="1"/>
  <c r="AO11" i="1"/>
  <c r="AP11" i="1" l="1"/>
  <c r="AQ11" i="1" s="1"/>
  <c r="AQ9" i="1"/>
  <c r="AN12" i="1" s="1"/>
  <c r="AL9" i="1"/>
  <c r="AQ10" i="1"/>
  <c r="AN13" i="1" s="1"/>
  <c r="AL10" i="1"/>
  <c r="AO12" i="1"/>
  <c r="AP12" i="1" s="1"/>
  <c r="AR9" i="1"/>
  <c r="AR10" i="1"/>
  <c r="AL11" i="1" l="1"/>
  <c r="AR11" i="1"/>
  <c r="AN14" i="1"/>
  <c r="AQ12" i="1"/>
  <c r="AN15" i="1" s="1"/>
  <c r="AO15" i="1" s="1"/>
  <c r="AP15" i="1" s="1"/>
  <c r="AQ15" i="1" s="1"/>
  <c r="AL12" i="1"/>
  <c r="AO14" i="1"/>
  <c r="AO13" i="1"/>
  <c r="AP13" i="1" s="1"/>
  <c r="AL13" i="1" s="1"/>
  <c r="AR12" i="1"/>
  <c r="AP14" i="1" l="1"/>
  <c r="AL14" i="1" s="1"/>
  <c r="AQ13" i="1"/>
  <c r="AR13" i="1"/>
  <c r="AR15" i="1"/>
  <c r="AR14" i="1" l="1"/>
  <c r="AQ14" i="1"/>
  <c r="AN18" i="1"/>
  <c r="AN16" i="1"/>
  <c r="AN17" i="1"/>
  <c r="AO17" i="1" l="1"/>
  <c r="AP17" i="1" s="1"/>
  <c r="AO16" i="1"/>
  <c r="AP16" i="1" s="1"/>
  <c r="AO18" i="1"/>
  <c r="AP18" i="1" l="1"/>
  <c r="AQ18" i="1" s="1"/>
  <c r="AQ16" i="1"/>
  <c r="AN19" i="1" s="1"/>
  <c r="AR16" i="1"/>
  <c r="AQ17" i="1"/>
  <c r="AR17" i="1"/>
  <c r="AR18" i="1" l="1"/>
  <c r="AO19" i="1"/>
  <c r="AP19" i="1" s="1"/>
  <c r="AQ19" i="1" s="1"/>
  <c r="AN22" i="1" s="1"/>
  <c r="AN20" i="1"/>
  <c r="AN21" i="1"/>
  <c r="AO20" i="1" l="1"/>
  <c r="AP20" i="1" s="1"/>
  <c r="AQ20" i="1" s="1"/>
  <c r="AN23" i="1" s="1"/>
  <c r="AO21" i="1"/>
  <c r="AP21" i="1" s="1"/>
  <c r="AQ21" i="1" s="1"/>
  <c r="AO22" i="1"/>
  <c r="AP22" i="1" s="1"/>
  <c r="AR19" i="1"/>
  <c r="AO23" i="1" l="1"/>
  <c r="AR20" i="1"/>
  <c r="AN24" i="1"/>
  <c r="AQ22" i="1"/>
  <c r="AN25" i="1" s="1"/>
  <c r="AR22" i="1"/>
  <c r="AR21" i="1"/>
  <c r="AO25" i="1" l="1"/>
  <c r="AP25" i="1" s="1"/>
  <c r="AO24" i="1"/>
  <c r="AP24" i="1" s="1"/>
  <c r="AQ24" i="1" s="1"/>
  <c r="AP23" i="1"/>
  <c r="AQ23" i="1" l="1"/>
  <c r="AN26" i="1" s="1"/>
  <c r="AR23" i="1"/>
  <c r="AR24" i="1"/>
  <c r="AQ25" i="1"/>
  <c r="AR25" i="1"/>
  <c r="AN28" i="1" l="1"/>
  <c r="AO28" i="1" s="1"/>
  <c r="AO26" i="1"/>
  <c r="AN27" i="1"/>
  <c r="AP28" i="1" l="1"/>
  <c r="AQ28" i="1" s="1"/>
  <c r="AO27" i="1"/>
  <c r="AP27" i="1" s="1"/>
  <c r="AP26" i="1"/>
  <c r="AR28" i="1" l="1"/>
  <c r="AQ26" i="1"/>
  <c r="AN29" i="1" s="1"/>
  <c r="AR26" i="1"/>
  <c r="AQ27" i="1"/>
  <c r="AR27" i="1"/>
  <c r="AN30" i="1" l="1"/>
  <c r="AN31" i="1"/>
  <c r="AO29" i="1"/>
  <c r="AP29" i="1" s="1"/>
  <c r="AR29" i="1" l="1"/>
  <c r="AQ29" i="1"/>
  <c r="AN32" i="1" s="1"/>
  <c r="AO31" i="1"/>
  <c r="AP31" i="1" s="1"/>
  <c r="AQ31" i="1" s="1"/>
  <c r="AO30" i="1"/>
  <c r="AP30" i="1" s="1"/>
  <c r="AQ30" i="1" l="1"/>
  <c r="AN33" i="1" s="1"/>
  <c r="AO33" i="1" s="1"/>
  <c r="AR30" i="1"/>
  <c r="AR31" i="1"/>
  <c r="AO32" i="1"/>
  <c r="AP32" i="1" s="1"/>
  <c r="AN34" i="1" l="1"/>
  <c r="AQ32" i="1"/>
  <c r="AN35" i="1" s="1"/>
  <c r="AR32" i="1"/>
  <c r="AP33" i="1"/>
  <c r="AO34" i="1"/>
  <c r="AP34" i="1" l="1"/>
  <c r="AQ33" i="1"/>
  <c r="AN36" i="1" s="1"/>
  <c r="AR33" i="1"/>
  <c r="AO35" i="1"/>
  <c r="AP35" i="1" l="1"/>
  <c r="AO36" i="1"/>
  <c r="AQ34" i="1"/>
  <c r="AN37" i="1" s="1"/>
  <c r="AR34" i="1"/>
  <c r="AO37" i="1" l="1"/>
  <c r="AP37" i="1" s="1"/>
  <c r="AP36" i="1"/>
  <c r="AQ35" i="1"/>
  <c r="AN38" i="1" s="1"/>
  <c r="AO38" i="1" s="1"/>
  <c r="AR35" i="1"/>
  <c r="AQ37" i="1" l="1"/>
  <c r="AR37" i="1"/>
  <c r="AP38" i="1"/>
  <c r="AQ38" i="1" s="1"/>
  <c r="AQ36" i="1"/>
  <c r="AN39" i="1" s="1"/>
  <c r="AR36" i="1"/>
  <c r="AR38" i="1" l="1"/>
  <c r="AN40" i="1"/>
  <c r="AO40" i="1" s="1"/>
  <c r="AO39" i="1"/>
  <c r="AN41" i="1"/>
  <c r="AO41" i="1" s="1"/>
  <c r="AP40" i="1" l="1"/>
  <c r="AQ40" i="1" s="1"/>
  <c r="AP41" i="1"/>
  <c r="AQ41" i="1" s="1"/>
  <c r="AP39" i="1"/>
  <c r="AR41" i="1" l="1"/>
  <c r="AR40" i="1"/>
  <c r="AQ39" i="1"/>
  <c r="AN44" i="1" s="1"/>
  <c r="AR39" i="1"/>
  <c r="AO44" i="1" l="1"/>
  <c r="AP44" i="1" s="1"/>
  <c r="AN42" i="1"/>
  <c r="AO42" i="1" s="1"/>
  <c r="AN43" i="1"/>
  <c r="AQ44" i="1" l="1"/>
  <c r="AR44" i="1"/>
  <c r="AO43" i="1"/>
  <c r="AP43" i="1" s="1"/>
  <c r="AQ43" i="1" s="1"/>
  <c r="AP42" i="1"/>
  <c r="AQ42" i="1" s="1"/>
  <c r="AN45" i="1" s="1"/>
  <c r="AO45" i="1" s="1"/>
  <c r="AR43" i="1" l="1"/>
  <c r="AR42" i="1"/>
  <c r="AN47" i="1"/>
  <c r="AO47" i="1" s="1"/>
  <c r="AP45" i="1"/>
  <c r="AQ45" i="1" s="1"/>
  <c r="AN48" i="1" s="1"/>
  <c r="AN46" i="1"/>
  <c r="AO46" i="1" s="1"/>
  <c r="AR45" i="1" l="1"/>
  <c r="AP46" i="1"/>
  <c r="AQ46" i="1" s="1"/>
  <c r="AN49" i="1" s="1"/>
  <c r="AO49" i="1" s="1"/>
  <c r="AO48" i="1"/>
  <c r="AP47" i="1"/>
  <c r="AQ47" i="1" s="1"/>
  <c r="AN50" i="1" l="1"/>
  <c r="AO50" i="1" s="1"/>
  <c r="AR46" i="1"/>
  <c r="AR47" i="1"/>
  <c r="AP48" i="1"/>
  <c r="AP49" i="1"/>
  <c r="AQ49" i="1" s="1"/>
  <c r="AP50" i="1" l="1"/>
  <c r="AQ50" i="1" s="1"/>
  <c r="AR49" i="1"/>
  <c r="AQ48" i="1"/>
  <c r="AN51" i="1" s="1"/>
  <c r="AO51" i="1" s="1"/>
  <c r="AR48" i="1"/>
  <c r="AN53" i="1" l="1"/>
  <c r="AO53" i="1" s="1"/>
  <c r="AR50" i="1"/>
  <c r="AN52" i="1"/>
  <c r="AO52" i="1" s="1"/>
  <c r="AP51" i="1"/>
  <c r="AQ51" i="1" s="1"/>
  <c r="AN54" i="1" s="1"/>
  <c r="AO54" i="1" s="1"/>
  <c r="AP53" i="1" l="1"/>
  <c r="AQ53" i="1" s="1"/>
  <c r="AR53" i="1"/>
  <c r="AP54" i="1"/>
  <c r="AQ54" i="1" s="1"/>
  <c r="AR51" i="1"/>
  <c r="AP52" i="1"/>
  <c r="AQ52" i="1" s="1"/>
  <c r="AN55" i="1" s="1"/>
  <c r="AO55" i="1" s="1"/>
  <c r="AR52" i="1" l="1"/>
  <c r="AR54" i="1"/>
  <c r="AN56" i="1"/>
  <c r="AO56" i="1" s="1"/>
  <c r="AP55" i="1"/>
  <c r="AQ55" i="1" s="1"/>
  <c r="AN58" i="1" s="1"/>
  <c r="AO58" i="1" s="1"/>
  <c r="AN57" i="1"/>
  <c r="AR55" i="1" l="1"/>
  <c r="AO57" i="1"/>
  <c r="AP58" i="1"/>
  <c r="AQ58" i="1" s="1"/>
  <c r="AP56" i="1"/>
  <c r="AQ56" i="1" s="1"/>
  <c r="AN59" i="1" s="1"/>
  <c r="AO59" i="1" s="1"/>
  <c r="AR56" i="1" l="1"/>
  <c r="AP59" i="1"/>
  <c r="AQ59" i="1" s="1"/>
  <c r="AR59" i="1"/>
  <c r="AR58" i="1"/>
  <c r="AP57" i="1"/>
  <c r="AQ57" i="1" l="1"/>
  <c r="AN62" i="1" s="1"/>
  <c r="AR57" i="1"/>
  <c r="AO62" i="1" l="1"/>
  <c r="AN60" i="1"/>
  <c r="AO60" i="1" s="1"/>
  <c r="AN61" i="1"/>
  <c r="AO61" i="1" s="1"/>
  <c r="AP61" i="1" l="1"/>
  <c r="AQ61" i="1" s="1"/>
  <c r="AP60" i="1"/>
  <c r="AQ60" i="1" s="1"/>
  <c r="AN63" i="1" s="1"/>
  <c r="AO63" i="1" s="1"/>
  <c r="AP62" i="1"/>
  <c r="AR60" i="1" l="1"/>
  <c r="AR61" i="1"/>
  <c r="AP63" i="1"/>
  <c r="AQ63" i="1" s="1"/>
  <c r="AR63" i="1"/>
  <c r="AQ62" i="1"/>
  <c r="AN65" i="1" s="1"/>
  <c r="AO65" i="1" s="1"/>
  <c r="AR62" i="1"/>
  <c r="AN64" i="1"/>
  <c r="AO64" i="1" s="1"/>
  <c r="AP64" i="1" l="1"/>
  <c r="AQ64" i="1" s="1"/>
  <c r="AN67" i="1" s="1"/>
  <c r="AO67" i="1" s="1"/>
  <c r="AP65" i="1"/>
  <c r="AQ65" i="1" s="1"/>
  <c r="AN66" i="1"/>
  <c r="AO66" i="1" s="1"/>
  <c r="AN68" i="1" l="1"/>
  <c r="AO68" i="1" s="1"/>
  <c r="AP68" i="1" s="1"/>
  <c r="AQ68" i="1" s="1"/>
  <c r="AR64" i="1"/>
  <c r="AR65" i="1"/>
  <c r="AP66" i="1"/>
  <c r="AQ66" i="1" s="1"/>
  <c r="AN69" i="1" s="1"/>
  <c r="AO69" i="1" s="1"/>
  <c r="AP67" i="1"/>
  <c r="AQ67" i="1" s="1"/>
  <c r="AN70" i="1" l="1"/>
  <c r="AR66" i="1"/>
  <c r="AR67" i="1"/>
  <c r="AR68" i="1"/>
  <c r="AO70" i="1"/>
  <c r="AN71" i="1"/>
  <c r="AO71" i="1" s="1"/>
  <c r="AP69" i="1"/>
  <c r="AQ69" i="1" s="1"/>
  <c r="AN72" i="1" s="1"/>
  <c r="AO72" i="1" s="1"/>
  <c r="AP72" i="1" l="1"/>
  <c r="AQ72" i="1" s="1"/>
  <c r="AR69" i="1"/>
  <c r="AP71" i="1"/>
  <c r="AQ71" i="1" s="1"/>
  <c r="AP70" i="1"/>
  <c r="AR72" i="1" l="1"/>
  <c r="AR71" i="1"/>
  <c r="AQ70" i="1"/>
  <c r="AN73" i="1" s="1"/>
  <c r="AR70" i="1"/>
  <c r="AN75" i="1" l="1"/>
  <c r="AO75" i="1" s="1"/>
  <c r="AN74" i="1"/>
  <c r="AO74" i="1"/>
  <c r="AO73" i="1"/>
  <c r="AP75" i="1" l="1"/>
  <c r="AQ75" i="1" s="1"/>
  <c r="AR75" i="1"/>
  <c r="AP73" i="1"/>
  <c r="AP74" i="1"/>
  <c r="AQ74" i="1" l="1"/>
  <c r="AR74" i="1"/>
  <c r="AQ73" i="1"/>
  <c r="AN76" i="1" s="1"/>
  <c r="AR73" i="1"/>
  <c r="AO76" i="1" l="1"/>
  <c r="AP76" i="1" l="1"/>
  <c r="AQ76" i="1" l="1"/>
  <c r="AR76" i="1"/>
  <c r="BD2" i="1" s="1"/>
  <c r="BF1" i="1" s="1"/>
  <c r="BF2" i="1" s="1"/>
  <c r="BA1" i="1" l="1"/>
  <c r="BA2" i="1" s="1"/>
  <c r="AQ3" i="1"/>
  <c r="AV6" i="1" l="1"/>
  <c r="AZ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McAllister, Murdoch</author>
    <author>Walters, Carl</author>
  </authors>
  <commentList>
    <comment ref="Z1" authorId="0" shapeId="0" xr:uid="{146A67C4-456F-4F27-A9A1-F3A02AEF9FC4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 - average from Albion test fishery for years 2003-2021</t>
        </r>
      </text>
    </comment>
    <comment ref="H2" authorId="0" shapeId="0" xr:uid="{AB90378D-BF72-4551-9C40-4C03C14AC0E1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spawners and recruits in column G and H should be the best ones to take forward for your multifactor analysis</t>
        </r>
      </text>
    </comment>
    <comment ref="CW32" authorId="0" shapeId="0" xr:uid="{BE425884-A954-4215-A392-7C591B60C95C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Sent by Haley in July 2025</t>
        </r>
      </text>
    </comment>
    <comment ref="BR33" authorId="0" shapeId="0" xr:uid="{F0B1F042-AB4E-4291-9699-DD3385A2C192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From Brittany files
Full southern BC
HRs higher than those for Fraser Chum stock</t>
        </r>
      </text>
    </comment>
    <comment ref="BI45" authorId="0" shapeId="0" xr:uid="{7D22DCA5-04A5-4E0D-8409-A2A3D0BB8596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Taken from southern BC and US chum harvest rates -- values are larger than those for Fraser Chum only</t>
        </r>
      </text>
    </comment>
    <comment ref="AA50" authorId="0" shapeId="0" xr:uid="{3104AA4F-C04B-433A-A6B0-DCF4C100EFE3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age 3-6  composition at age in each year for 2003-2022</t>
        </r>
      </text>
    </comment>
    <comment ref="AF50" authorId="0" shapeId="0" xr:uid="{4C73545B-CB00-4D83-AD95-47F5FBFCAE25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Uses average age composition age 3-6 all years</t>
        </r>
      </text>
    </comment>
    <comment ref="DF56" authorId="0" shapeId="0" xr:uid="{BD036F63-FC91-4CBB-87FA-83D23F1A0D38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Provided by Brittany</t>
        </r>
      </text>
    </comment>
    <comment ref="BI75" authorId="0" shapeId="0" xr:uid="{76B0FFA3-A8F6-429D-9053-7B429F686B4D}">
      <text>
        <r>
          <rPr>
            <b/>
            <sz val="9"/>
            <color indexed="81"/>
            <rFont val="Tahoma"/>
            <family val="2"/>
          </rPr>
          <t>McAllister, Murdoch:</t>
        </r>
        <r>
          <rPr>
            <sz val="9"/>
            <color indexed="81"/>
            <rFont val="Tahoma"/>
            <family val="2"/>
          </rPr>
          <t xml:space="preserve">
Filled based on average of past three years with data
</t>
        </r>
      </text>
    </comment>
    <comment ref="AU80" authorId="1" shapeId="0" xr:uid="{4B20CD95-60F5-4997-A596-33760303F22E}">
      <text>
        <r>
          <rPr>
            <b/>
            <sz val="9"/>
            <color indexed="81"/>
            <rFont val="Tahoma"/>
            <family val="2"/>
          </rPr>
          <t>Walters, Carl:</t>
        </r>
        <r>
          <rPr>
            <sz val="9"/>
            <color indexed="81"/>
            <rFont val="Tahoma"/>
            <family val="2"/>
          </rPr>
          <t xml:space="preserve">
numbers in yellow from Brittany 1/10/2025
</t>
        </r>
      </text>
    </comment>
  </commentList>
</comments>
</file>

<file path=xl/sharedStrings.xml><?xml version="1.0" encoding="utf-8"?>
<sst xmlns="http://schemas.openxmlformats.org/spreadsheetml/2006/main" count="499" uniqueCount="198">
  <si>
    <t>N/A</t>
  </si>
  <si>
    <t>Year</t>
  </si>
  <si>
    <t>Strait</t>
  </si>
  <si>
    <t>Harvest</t>
  </si>
  <si>
    <t>Stock</t>
  </si>
  <si>
    <t>Johnstone</t>
  </si>
  <si>
    <t>Georgia.</t>
  </si>
  <si>
    <t>West</t>
  </si>
  <si>
    <t>U.S.</t>
  </si>
  <si>
    <t>Total</t>
  </si>
  <si>
    <t>Strait (a)</t>
  </si>
  <si>
    <t>Coast (b)</t>
  </si>
  <si>
    <t xml:space="preserve"> </t>
  </si>
  <si>
    <t>7&amp;7A</t>
  </si>
  <si>
    <t>All Fraser</t>
  </si>
  <si>
    <t>Harvest (c)</t>
  </si>
  <si>
    <t xml:space="preserve"> Rate</t>
  </si>
  <si>
    <t>Gross (d)</t>
  </si>
  <si>
    <t>Escapement</t>
  </si>
  <si>
    <t xml:space="preserve">Total </t>
  </si>
  <si>
    <t>4B,5,6C</t>
  </si>
  <si>
    <t>St. HR</t>
  </si>
  <si>
    <t xml:space="preserve">West Coast </t>
  </si>
  <si>
    <t>HR</t>
  </si>
  <si>
    <t>Fraser R HR</t>
  </si>
  <si>
    <t>Spawners</t>
  </si>
  <si>
    <t>Returns</t>
  </si>
  <si>
    <t>Harvest Rate d2</t>
  </si>
  <si>
    <t>Harvest Rate d1</t>
  </si>
  <si>
    <t>broodyear</t>
  </si>
  <si>
    <t>spawners</t>
  </si>
  <si>
    <t>hr</t>
  </si>
  <si>
    <t>catch</t>
  </si>
  <si>
    <t>total catch</t>
  </si>
  <si>
    <t>Fraser R</t>
  </si>
  <si>
    <t>Total HR</t>
  </si>
  <si>
    <t>Approx.</t>
  </si>
  <si>
    <t>Total Returns</t>
  </si>
  <si>
    <t>Areas 11 to 13</t>
  </si>
  <si>
    <t>Area 14</t>
  </si>
  <si>
    <t>Areas 20 &amp; 21</t>
  </si>
  <si>
    <t>Areas 7 &amp; 7a</t>
  </si>
  <si>
    <t>Areas 4b, 5, 6c</t>
  </si>
  <si>
    <t>Fraser</t>
  </si>
  <si>
    <t>Gross Escapement</t>
  </si>
  <si>
    <t>Total exploitation rate</t>
  </si>
  <si>
    <t>%dif tot returns</t>
  </si>
  <si>
    <t>%dif gross escape</t>
  </si>
  <si>
    <t>Gross Esc+catch</t>
  </si>
  <si>
    <t>total return</t>
  </si>
  <si>
    <t>%dif with Grant</t>
  </si>
  <si>
    <t>Source</t>
  </si>
  <si>
    <t>Cass</t>
  </si>
  <si>
    <t>Brittany</t>
  </si>
  <si>
    <t xml:space="preserve">Source </t>
  </si>
  <si>
    <t>Grant</t>
  </si>
  <si>
    <t>Grant vs. Cass</t>
  </si>
  <si>
    <t>recruits</t>
  </si>
  <si>
    <t>Age 3</t>
  </si>
  <si>
    <t>Age 4</t>
  </si>
  <si>
    <t>Age 5</t>
  </si>
  <si>
    <t>Age 6</t>
  </si>
  <si>
    <t>Recruits</t>
  </si>
  <si>
    <t>%dif Spa</t>
  </si>
  <si>
    <t>%dif Rec</t>
  </si>
  <si>
    <t>Harvest Rate</t>
  </si>
  <si>
    <t>recruits produced at age from Brood Year</t>
  </si>
  <si>
    <t>total Run</t>
  </si>
  <si>
    <t>harvest rate</t>
  </si>
  <si>
    <t>%dif spawn</t>
  </si>
  <si>
    <t>%dif hr</t>
  </si>
  <si>
    <t>Haley's Best S/R</t>
  </si>
  <si>
    <t>Brood year</t>
  </si>
  <si>
    <t>Haley</t>
  </si>
  <si>
    <t>total Stock, hr from Grant then Brittany</t>
  </si>
  <si>
    <t>Improved recruits starting 1990</t>
  </si>
  <si>
    <t>Cass, Grant, Digitized, Haley's S/R</t>
  </si>
  <si>
    <t>tot stock digitized from DFO 2023</t>
  </si>
  <si>
    <t>Digitized from DFO 2023 slide set</t>
  </si>
  <si>
    <t>ln(R/S)(H)</t>
  </si>
  <si>
    <t>ln(R/S)(D)</t>
  </si>
  <si>
    <t>Spawners (D)</t>
  </si>
  <si>
    <t>Murdoch</t>
  </si>
  <si>
    <t>Brittany tot. stock</t>
  </si>
  <si>
    <t>Using age prop. by yr from 1996-2017</t>
  </si>
  <si>
    <t>Haley's Recruits with some infill from mkm</t>
  </si>
  <si>
    <t>Best S-R data</t>
  </si>
  <si>
    <t>wt</t>
  </si>
  <si>
    <t>aa</t>
  </si>
  <si>
    <t>bb</t>
  </si>
  <si>
    <t>smsy</t>
  </si>
  <si>
    <t>umsy</t>
  </si>
  <si>
    <t>Nmsy</t>
  </si>
  <si>
    <t>msy</t>
  </si>
  <si>
    <t>Recruits sum age</t>
  </si>
  <si>
    <t>rp4</t>
  </si>
  <si>
    <t>rp5</t>
  </si>
  <si>
    <t>rp3</t>
  </si>
  <si>
    <t>brood year</t>
  </si>
  <si>
    <t>year</t>
  </si>
  <si>
    <t>retroU</t>
  </si>
  <si>
    <t>retroY</t>
  </si>
  <si>
    <t>historical Y</t>
  </si>
  <si>
    <t>retro run</t>
  </si>
  <si>
    <t>retro U</t>
  </si>
  <si>
    <t>retro spawners</t>
  </si>
  <si>
    <t>retro Recruits</t>
  </si>
  <si>
    <t>retro Yield</t>
  </si>
  <si>
    <t>Ut method</t>
  </si>
  <si>
    <t>switch between historical and policy-based Ut values:</t>
  </si>
  <si>
    <t>retrtospective model in columns AJ-AO</t>
  </si>
  <si>
    <t>1=historical,2=retroU,3=linear hcr</t>
  </si>
  <si>
    <t>cslope</t>
  </si>
  <si>
    <t>nlim</t>
  </si>
  <si>
    <t>linear hcr pars</t>
  </si>
  <si>
    <t>retroUtil</t>
  </si>
  <si>
    <t>Policy</t>
  </si>
  <si>
    <t>Yield</t>
  </si>
  <si>
    <t>Utility</t>
  </si>
  <si>
    <t>code</t>
  </si>
  <si>
    <t>Historical</t>
  </si>
  <si>
    <t>hist</t>
  </si>
  <si>
    <t>constant U at Umsy</t>
  </si>
  <si>
    <t>maxY</t>
  </si>
  <si>
    <t>Maximum yield</t>
  </si>
  <si>
    <t>Maximum utility</t>
  </si>
  <si>
    <t>maxU</t>
  </si>
  <si>
    <t>Historical U</t>
  </si>
  <si>
    <t>max</t>
  </si>
  <si>
    <t>relative values</t>
  </si>
  <si>
    <t>Historial Ut</t>
  </si>
  <si>
    <t>loss</t>
  </si>
  <si>
    <t>assuming average price/kg near $2.00 and 6kg/fish</t>
  </si>
  <si>
    <t>retro rec alt formula</t>
  </si>
  <si>
    <t>Historical Catch</t>
  </si>
  <si>
    <t>retro C 1990+</t>
  </si>
  <si>
    <t>recent loss</t>
  </si>
  <si>
    <t>C 1997-2022</t>
  </si>
  <si>
    <t xml:space="preserve">loss of 11 million fish from the catch since the late 1990s </t>
  </si>
  <si>
    <t>has led to a loss in income to fishermen of 11 x 12=$132 million</t>
  </si>
  <si>
    <t>income loss</t>
  </si>
  <si>
    <t>SSL numbers</t>
  </si>
  <si>
    <t>ssl M 2017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</si>
  <si>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</si>
  <si>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</si>
  <si>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</si>
  <si>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</si>
  <si>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</si>
  <si>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</si>
  <si>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</si>
  <si>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</si>
  <si>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</si>
  <si>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</si>
  <si>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</si>
  <si>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</si>
  <si>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</si>
  <si>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</si>
  <si>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</si>
  <si>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</si>
  <si>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</si>
  <si>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</si>
  <si>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</si>
  <si>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</si>
  <si>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</si>
  <si>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</si>
  <si>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</si>
  <si>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density effect</t>
  </si>
  <si>
    <t>from orig</t>
  </si>
  <si>
    <t>data tab</t>
  </si>
  <si>
    <t>max predn</t>
  </si>
  <si>
    <t>bounds for max ssl effect</t>
  </si>
  <si>
    <t>unfished So</t>
  </si>
  <si>
    <t>lnRS</t>
  </si>
  <si>
    <t>Harrison chinook</t>
  </si>
  <si>
    <t>Harrison chin spawners</t>
  </si>
  <si>
    <t>x1,x2 corr:</t>
  </si>
  <si>
    <t>by</t>
  </si>
  <si>
    <t>Mdensity</t>
  </si>
  <si>
    <t>Mssl</t>
  </si>
  <si>
    <t>Mssl+density</t>
  </si>
  <si>
    <t>Wt</t>
  </si>
  <si>
    <t>var(wt)</t>
  </si>
  <si>
    <t>sd w</t>
  </si>
  <si>
    <t>baranov equation</t>
  </si>
  <si>
    <t>Q=R*MP/Z*(1-exp(-Z))</t>
  </si>
  <si>
    <t>MP</t>
  </si>
  <si>
    <t>Z</t>
  </si>
  <si>
    <t>Q</t>
  </si>
  <si>
    <t>Q/SSL</t>
  </si>
  <si>
    <t>implies Q</t>
  </si>
  <si>
    <t>chum/ssl/yr coastwide</t>
  </si>
  <si>
    <t>kg</t>
  </si>
  <si>
    <t>sslq/yr</t>
  </si>
  <si>
    <t>chumq/totq</t>
  </si>
  <si>
    <t>Fraser averages 6% of coastwide total catches (see npafc 2024 chum spreadsheet)</t>
  </si>
  <si>
    <t>Q/recruitment</t>
  </si>
  <si>
    <t>over 3 yrs?</t>
  </si>
  <si>
    <t>of total ssl diet if distributed over 3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</si>
</sst>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#,##0.000"/>
    <numFmt numFmtId="166" formatCode="0.0000%"/>
    <numFmt numFmtId="167" formatCode="_(* #,##0_);_(* \(#,##0\);_(* &quot;-&quot;??_);_(@_)"/>
    <numFmt numFmtId="168" formatCode="0.0000"/>
    <numFmt numFmtId="169" formatCode="0.0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2">
    <xf numFmtId="0" fontId="0" fillId="0" borderId="0" xfId="0"/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3" fontId="0" fillId="2" borderId="0" xfId="0" applyNumberFormat="1" applyFill="1"/>
    <xf numFmtId="0" fontId="0" fillId="3" borderId="0" xfId="0" applyFill="1"/>
    <xf numFmtId="3" fontId="0" fillId="3" borderId="0" xfId="0" applyNumberFormat="1" applyFill="1"/>
    <xf numFmtId="0" fontId="0" fillId="3" borderId="0" xfId="0" applyFill="1" applyAlignment="1">
      <alignment wrapText="1"/>
    </xf>
    <xf numFmtId="3" fontId="0" fillId="3" borderId="0" xfId="0" applyNumberFormat="1" applyFill="1" applyAlignment="1">
      <alignment horizontal="center"/>
    </xf>
    <xf numFmtId="0" fontId="0" fillId="2" borderId="0" xfId="0" applyFill="1"/>
    <xf numFmtId="3" fontId="0" fillId="2" borderId="0" xfId="0" applyNumberFormat="1" applyFill="1" applyAlignment="1">
      <alignment horizontal="center"/>
    </xf>
    <xf numFmtId="0" fontId="0" fillId="4" borderId="0" xfId="0" applyFill="1"/>
    <xf numFmtId="10" fontId="0" fillId="0" borderId="0" xfId="0" applyNumberFormat="1"/>
    <xf numFmtId="0" fontId="0" fillId="5" borderId="0" xfId="0" applyFill="1" applyAlignment="1">
      <alignment wrapText="1"/>
    </xf>
    <xf numFmtId="3" fontId="0" fillId="5" borderId="0" xfId="0" applyNumberFormat="1" applyFill="1"/>
    <xf numFmtId="0" fontId="0" fillId="0" borderId="1" xfId="0" applyBorder="1"/>
    <xf numFmtId="0" fontId="0" fillId="0" borderId="2" xfId="0" applyBorder="1"/>
    <xf numFmtId="0" fontId="0" fillId="6" borderId="0" xfId="0" applyFill="1"/>
    <xf numFmtId="2" fontId="0" fillId="0" borderId="0" xfId="0" applyNumberFormat="1"/>
    <xf numFmtId="9" fontId="0" fillId="7" borderId="0" xfId="0" applyNumberFormat="1" applyFill="1" applyAlignment="1">
      <alignment horizontal="center"/>
    </xf>
    <xf numFmtId="9" fontId="0" fillId="8" borderId="0" xfId="0" applyNumberFormat="1" applyFill="1"/>
    <xf numFmtId="3" fontId="0" fillId="8" borderId="0" xfId="0" applyNumberFormat="1" applyFill="1"/>
    <xf numFmtId="0" fontId="0" fillId="8" borderId="0" xfId="0" applyFill="1" applyAlignment="1">
      <alignment wrapText="1"/>
    </xf>
    <xf numFmtId="3" fontId="0" fillId="9" borderId="0" xfId="0" applyNumberFormat="1" applyFill="1"/>
    <xf numFmtId="3" fontId="0" fillId="10" borderId="0" xfId="0" applyNumberFormat="1" applyFill="1"/>
    <xf numFmtId="0" fontId="0" fillId="9" borderId="0" xfId="0" applyFill="1" applyAlignment="1">
      <alignment wrapText="1"/>
    </xf>
    <xf numFmtId="9" fontId="0" fillId="9" borderId="0" xfId="0" applyNumberFormat="1" applyFill="1"/>
    <xf numFmtId="3" fontId="0" fillId="11" borderId="0" xfId="0" applyNumberFormat="1" applyFill="1"/>
    <xf numFmtId="3" fontId="0" fillId="12" borderId="0" xfId="0" applyNumberFormat="1" applyFill="1"/>
    <xf numFmtId="0" fontId="0" fillId="12" borderId="0" xfId="0" applyFill="1"/>
    <xf numFmtId="9" fontId="0" fillId="0" borderId="0" xfId="0" applyNumberFormat="1" applyFill="1" applyAlignment="1">
      <alignment horizontal="center"/>
    </xf>
    <xf numFmtId="3" fontId="0" fillId="13" borderId="0" xfId="0" applyNumberFormat="1" applyFill="1"/>
    <xf numFmtId="3" fontId="0" fillId="14" borderId="0" xfId="0" applyNumberFormat="1" applyFill="1"/>
    <xf numFmtId="9" fontId="0" fillId="15" borderId="0" xfId="0" applyNumberFormat="1" applyFill="1"/>
    <xf numFmtId="3" fontId="4" fillId="9" borderId="0" xfId="0" applyNumberFormat="1" applyFont="1" applyFill="1" applyAlignment="1">
      <alignment wrapText="1"/>
    </xf>
    <xf numFmtId="3" fontId="0" fillId="16" borderId="0" xfId="0" applyNumberFormat="1" applyFill="1"/>
    <xf numFmtId="166" fontId="0" fillId="0" borderId="0" xfId="0" applyNumberFormat="1"/>
    <xf numFmtId="0" fontId="5" fillId="7" borderId="0" xfId="0" applyFont="1" applyFill="1"/>
    <xf numFmtId="167" fontId="0" fillId="0" borderId="0" xfId="1" applyNumberFormat="1" applyFont="1"/>
    <xf numFmtId="0" fontId="0" fillId="17" borderId="0" xfId="0" applyFill="1"/>
    <xf numFmtId="3" fontId="0" fillId="17" borderId="0" xfId="0" applyNumberFormat="1" applyFill="1"/>
    <xf numFmtId="2" fontId="0" fillId="17" borderId="0" xfId="0" applyNumberFormat="1" applyFill="1"/>
    <xf numFmtId="9" fontId="0" fillId="17" borderId="0" xfId="0" applyNumberFormat="1" applyFill="1"/>
    <xf numFmtId="3" fontId="0" fillId="17" borderId="0" xfId="0" applyNumberFormat="1" applyFill="1" applyAlignment="1">
      <alignment horizontal="center"/>
    </xf>
    <xf numFmtId="9" fontId="0" fillId="17" borderId="0" xfId="0" applyNumberFormat="1" applyFill="1" applyAlignment="1">
      <alignment horizontal="center"/>
    </xf>
    <xf numFmtId="164" fontId="0" fillId="17" borderId="0" xfId="0" applyNumberFormat="1" applyFill="1"/>
    <xf numFmtId="164" fontId="0" fillId="17" borderId="0" xfId="0" applyNumberFormat="1" applyFill="1" applyAlignment="1">
      <alignment horizontal="center"/>
    </xf>
    <xf numFmtId="165" fontId="0" fillId="17" borderId="0" xfId="0" applyNumberFormat="1" applyFill="1"/>
    <xf numFmtId="4" fontId="0" fillId="2" borderId="0" xfId="0" applyNumberFormat="1" applyFill="1"/>
    <xf numFmtId="165" fontId="0" fillId="14" borderId="0" xfId="0" applyNumberFormat="1" applyFill="1"/>
    <xf numFmtId="167" fontId="0" fillId="2" borderId="0" xfId="1" applyNumberFormat="1" applyFont="1" applyFill="1"/>
    <xf numFmtId="1" fontId="0" fillId="0" borderId="0" xfId="0" applyNumberFormat="1"/>
    <xf numFmtId="4" fontId="0" fillId="17" borderId="0" xfId="0" applyNumberFormat="1" applyFill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0" fontId="4" fillId="0" borderId="0" xfId="0" applyNumberFormat="1" applyFont="1"/>
    <xf numFmtId="1" fontId="4" fillId="0" borderId="0" xfId="0" applyNumberFormat="1" applyFont="1"/>
    <xf numFmtId="167" fontId="4" fillId="0" borderId="0" xfId="1" applyNumberFormat="1" applyFont="1"/>
    <xf numFmtId="11" fontId="0" fillId="0" borderId="0" xfId="0" applyNumberFormat="1"/>
    <xf numFmtId="1" fontId="0" fillId="2" borderId="0" xfId="1" applyNumberFormat="1" applyFont="1" applyFill="1"/>
    <xf numFmtId="167" fontId="0" fillId="14" borderId="0" xfId="1" applyNumberFormat="1" applyFont="1" applyFill="1"/>
    <xf numFmtId="0" fontId="0" fillId="9" borderId="0" xfId="0" applyFill="1"/>
    <xf numFmtId="167" fontId="0" fillId="9" borderId="0" xfId="0" applyNumberFormat="1" applyFill="1"/>
    <xf numFmtId="0" fontId="0" fillId="0" borderId="0" xfId="0" applyFill="1" applyBorder="1" applyAlignment="1"/>
    <xf numFmtId="0" fontId="0" fillId="0" borderId="3" xfId="0" applyFill="1" applyBorder="1" applyAlignment="1"/>
    <xf numFmtId="0" fontId="7" fillId="0" borderId="4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Continuous"/>
    </xf>
    <xf numFmtId="168" fontId="0" fillId="0" borderId="0" xfId="0" applyNumberFormat="1"/>
    <xf numFmtId="2" fontId="0" fillId="9" borderId="0" xfId="0" applyNumberFormat="1" applyFill="1"/>
    <xf numFmtId="169" fontId="0" fillId="0" borderId="0" xfId="0" applyNumberFormat="1"/>
    <xf numFmtId="1" fontId="0" fillId="9" borderId="0" xfId="0" applyNumberFormat="1" applyFill="1"/>
    <xf numFmtId="10" fontId="0" fillId="9" borderId="0" xfId="0" applyNumberFormat="1" applyFill="1"/>
    <xf numFmtId="0" fontId="0" fillId="18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data'!$CC$33</c:f>
              <c:strCache>
                <c:ptCount val="1"/>
                <c:pt idx="0">
                  <c:v>Harvest Rate d1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484951881014873"/>
                  <c:y val="-0.134147346165062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data'!$BZ$34:$BZ$44</c:f>
              <c:numCache>
                <c:formatCode>0%</c:formatCode>
                <c:ptCount val="11"/>
                <c:pt idx="0">
                  <c:v>0.45833580738579</c:v>
                </c:pt>
                <c:pt idx="1">
                  <c:v>0.124793814208583</c:v>
                </c:pt>
                <c:pt idx="2">
                  <c:v>0.50525946493688301</c:v>
                </c:pt>
                <c:pt idx="3">
                  <c:v>0.20373352742299999</c:v>
                </c:pt>
                <c:pt idx="4">
                  <c:v>0.153826237319623</c:v>
                </c:pt>
                <c:pt idx="5">
                  <c:v>0.36857466450709098</c:v>
                </c:pt>
                <c:pt idx="6">
                  <c:v>0.44855807959285898</c:v>
                </c:pt>
                <c:pt idx="7">
                  <c:v>0.32658383025843302</c:v>
                </c:pt>
                <c:pt idx="8">
                  <c:v>0.52253790849725801</c:v>
                </c:pt>
                <c:pt idx="9">
                  <c:v>0.44405996158125</c:v>
                </c:pt>
                <c:pt idx="10">
                  <c:v>0.51953507179094105</c:v>
                </c:pt>
              </c:numCache>
            </c:numRef>
          </c:xVal>
          <c:yVal>
            <c:numRef>
              <c:f>'Orig data'!$CC$34:$CC$44</c:f>
              <c:numCache>
                <c:formatCode>0%</c:formatCode>
                <c:ptCount val="11"/>
                <c:pt idx="0">
                  <c:v>0.65576754920370983</c:v>
                </c:pt>
                <c:pt idx="1">
                  <c:v>0.11445948557306022</c:v>
                </c:pt>
                <c:pt idx="2">
                  <c:v>0.54314834502799636</c:v>
                </c:pt>
                <c:pt idx="3">
                  <c:v>0.19331264808507742</c:v>
                </c:pt>
                <c:pt idx="4">
                  <c:v>0.10833970117624923</c:v>
                </c:pt>
                <c:pt idx="5">
                  <c:v>0.34507221483556932</c:v>
                </c:pt>
                <c:pt idx="6">
                  <c:v>0.42739415504349887</c:v>
                </c:pt>
                <c:pt idx="7">
                  <c:v>0.24118629053035784</c:v>
                </c:pt>
                <c:pt idx="8">
                  <c:v>0.58402226866261886</c:v>
                </c:pt>
                <c:pt idx="9">
                  <c:v>0.43093335288510887</c:v>
                </c:pt>
                <c:pt idx="10">
                  <c:v>0.49435485716516503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B-41E5-8592-2EE16904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1870399"/>
        <c:axId val="1541854175"/>
      </c:scatterChart>
      <c:valAx>
        <c:axId val="15418703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54175"/>
        <c:crosses val="autoZero"/>
        <c:crossBetween val="midCat"/>
      </c:valAx>
      <c:valAx>
        <c:axId val="15418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1870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Using</a:t>
            </a:r>
            <a:r>
              <a:rPr lang="en-US" baseline="0"/>
              <a:t> </a:t>
            </a:r>
            <a:r>
              <a:rPr lang="en-US" sz="1400" b="0" i="0" u="none" strike="noStrike" baseline="0">
                <a:effectLst/>
              </a:rPr>
              <a:t>Using age  3 to 6 comp by year where possible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1065932101189"/>
                  <c:y val="-0.311765116860576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data'!$H$5:$H$71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34-4B38-AAFA-C641EBAAE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Haley's</a:t>
            </a:r>
            <a:r>
              <a:rPr lang="en-US" baseline="0"/>
              <a:t> vs. Murdoch's reconstruction of Fraser Chum salmon recruits, Haley's using average over years, Murdoch using age comp by year where available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Haley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data'!$N$50:$N$71</c:f>
              <c:numCache>
                <c:formatCode>#,##0</c:formatCode>
                <c:ptCount val="22"/>
                <c:pt idx="0">
                  <c:v>1431408</c:v>
                </c:pt>
                <c:pt idx="1">
                  <c:v>2858328</c:v>
                </c:pt>
                <c:pt idx="2">
                  <c:v>2785129</c:v>
                </c:pt>
                <c:pt idx="3">
                  <c:v>2232718</c:v>
                </c:pt>
                <c:pt idx="4">
                  <c:v>2988615</c:v>
                </c:pt>
                <c:pt idx="5">
                  <c:v>2160110</c:v>
                </c:pt>
                <c:pt idx="6">
                  <c:v>2425524</c:v>
                </c:pt>
                <c:pt idx="7">
                  <c:v>1619282</c:v>
                </c:pt>
                <c:pt idx="8">
                  <c:v>1231521</c:v>
                </c:pt>
                <c:pt idx="9">
                  <c:v>884912</c:v>
                </c:pt>
                <c:pt idx="10">
                  <c:v>744365</c:v>
                </c:pt>
                <c:pt idx="11">
                  <c:v>1296356</c:v>
                </c:pt>
                <c:pt idx="12">
                  <c:v>1641562</c:v>
                </c:pt>
                <c:pt idx="13">
                  <c:v>1613902</c:v>
                </c:pt>
                <c:pt idx="14">
                  <c:v>1521759</c:v>
                </c:pt>
                <c:pt idx="15">
                  <c:v>1567636</c:v>
                </c:pt>
                <c:pt idx="16">
                  <c:v>2530282</c:v>
                </c:pt>
                <c:pt idx="17">
                  <c:v>1408307</c:v>
                </c:pt>
                <c:pt idx="18">
                  <c:v>810777</c:v>
                </c:pt>
                <c:pt idx="19">
                  <c:v>438554</c:v>
                </c:pt>
                <c:pt idx="20">
                  <c:v>597944</c:v>
                </c:pt>
                <c:pt idx="21">
                  <c:v>599216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BA-42D9-8DB3-5FAB09C09203}"/>
            </c:ext>
          </c:extLst>
        </c:ser>
        <c:ser>
          <c:idx val="1"/>
          <c:order val="1"/>
          <c:tx>
            <c:v>Murdoch rec-age prop by year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data'!$AA$50:$AA$71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2557187.9481640672</c:v>
                </c:pt>
                <c:pt idx="2">
                  <c:v>2766941.9917605631</c:v>
                </c:pt>
                <c:pt idx="3">
                  <c:v>3598370.8542432808</c:v>
                </c:pt>
                <c:pt idx="4">
                  <c:v>2282485.9433021657</c:v>
                </c:pt>
                <c:pt idx="5">
                  <c:v>1868662.078775011</c:v>
                </c:pt>
                <c:pt idx="6">
                  <c:v>2826467.1680969703</c:v>
                </c:pt>
                <c:pt idx="7">
                  <c:v>1321874.9421960777</c:v>
                </c:pt>
                <c:pt idx="8">
                  <c:v>1274857.4320357505</c:v>
                </c:pt>
                <c:pt idx="9">
                  <c:v>826792.95575855998</c:v>
                </c:pt>
                <c:pt idx="10">
                  <c:v>653276.45190826431</c:v>
                </c:pt>
                <c:pt idx="11">
                  <c:v>1919087.3845169125</c:v>
                </c:pt>
                <c:pt idx="12">
                  <c:v>1341575.4990023808</c:v>
                </c:pt>
                <c:pt idx="13">
                  <c:v>1605367.0756795239</c:v>
                </c:pt>
                <c:pt idx="14">
                  <c:v>1596985.3916231559</c:v>
                </c:pt>
                <c:pt idx="15">
                  <c:v>1137157.6669372031</c:v>
                </c:pt>
                <c:pt idx="16">
                  <c:v>3027578.7899983842</c:v>
                </c:pt>
                <c:pt idx="17">
                  <c:v>805154.93228744587</c:v>
                </c:pt>
                <c:pt idx="18">
                  <c:v>920933.05007688294</c:v>
                </c:pt>
                <c:pt idx="19">
                  <c:v>390127.06417119328</c:v>
                </c:pt>
                <c:pt idx="20">
                  <c:v>718625.96095230442</c:v>
                </c:pt>
                <c:pt idx="21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BA-42D9-8DB3-5FAB09C09203}"/>
            </c:ext>
          </c:extLst>
        </c:ser>
        <c:ser>
          <c:idx val="2"/>
          <c:order val="2"/>
          <c:tx>
            <c:v>Murdoch-rec-avg prop age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data'!$B$50:$B$71</c:f>
              <c:numCache>
                <c:formatCode>General</c:formatCode>
                <c:ptCount val="22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</c:numCache>
            </c:numRef>
          </c:xVal>
          <c:yVal>
            <c:numRef>
              <c:f>'Orig data'!$AF$50:$AF$71</c:f>
              <c:numCache>
                <c:formatCode>#,##0</c:formatCode>
                <c:ptCount val="22"/>
                <c:pt idx="0">
                  <c:v>1757511.260493631</c:v>
                </c:pt>
                <c:pt idx="1">
                  <c:v>2554271.8341883146</c:v>
                </c:pt>
                <c:pt idx="2">
                  <c:v>2840623.3648399371</c:v>
                </c:pt>
                <c:pt idx="3">
                  <c:v>2349634.7179008862</c:v>
                </c:pt>
                <c:pt idx="4">
                  <c:v>2794036.2996058362</c:v>
                </c:pt>
                <c:pt idx="5">
                  <c:v>2356827.5891186544</c:v>
                </c:pt>
                <c:pt idx="6">
                  <c:v>2289766.4455317724</c:v>
                </c:pt>
                <c:pt idx="7">
                  <c:v>1757875.5223556529</c:v>
                </c:pt>
                <c:pt idx="8">
                  <c:v>1235646.4607024293</c:v>
                </c:pt>
                <c:pt idx="9">
                  <c:v>925908.6338148301</c:v>
                </c:pt>
                <c:pt idx="10">
                  <c:v>784210.96442154807</c:v>
                </c:pt>
                <c:pt idx="11">
                  <c:v>1221277.7752115645</c:v>
                </c:pt>
                <c:pt idx="12">
                  <c:v>1607620.1279397779</c:v>
                </c:pt>
                <c:pt idx="13">
                  <c:v>1622177.3619797428</c:v>
                </c:pt>
                <c:pt idx="14">
                  <c:v>1530382.4378112433</c:v>
                </c:pt>
                <c:pt idx="15">
                  <c:v>1618469.2768496138</c:v>
                </c:pt>
                <c:pt idx="16">
                  <c:v>2309966.7913137632</c:v>
                </c:pt>
                <c:pt idx="17">
                  <c:v>1605801.5690952772</c:v>
                </c:pt>
                <c:pt idx="18">
                  <c:v>827990.8067999999</c:v>
                </c:pt>
                <c:pt idx="19">
                  <c:v>499968.91089999996</c:v>
                </c:pt>
                <c:pt idx="20">
                  <c:v>555208.52599999995</c:v>
                </c:pt>
                <c:pt idx="21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BA-42D9-8DB3-5FAB09C0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42528"/>
        <c:axId val="588944192"/>
      </c:scatterChart>
      <c:valAx>
        <c:axId val="588942528"/>
        <c:scaling>
          <c:orientation val="minMax"/>
          <c:min val="199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4192"/>
        <c:crosses val="autoZero"/>
        <c:crossBetween val="midCat"/>
      </c:valAx>
      <c:valAx>
        <c:axId val="58894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42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Brittany's vs. digitized using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data'!$AA$44:$AA$71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2557187.9481640672</c:v>
                </c:pt>
                <c:pt idx="8">
                  <c:v>2766941.9917605631</c:v>
                </c:pt>
                <c:pt idx="9">
                  <c:v>3598370.8542432808</c:v>
                </c:pt>
                <c:pt idx="10">
                  <c:v>2282485.9433021657</c:v>
                </c:pt>
                <c:pt idx="11">
                  <c:v>1868662.078775011</c:v>
                </c:pt>
                <c:pt idx="12">
                  <c:v>2826467.1680969703</c:v>
                </c:pt>
                <c:pt idx="13">
                  <c:v>1321874.9421960777</c:v>
                </c:pt>
                <c:pt idx="14">
                  <c:v>1274857.4320357505</c:v>
                </c:pt>
                <c:pt idx="15">
                  <c:v>826792.95575855998</c:v>
                </c:pt>
                <c:pt idx="16">
                  <c:v>653276.45190826431</c:v>
                </c:pt>
                <c:pt idx="17">
                  <c:v>1919087.3845169125</c:v>
                </c:pt>
                <c:pt idx="18">
                  <c:v>1341575.4990023808</c:v>
                </c:pt>
                <c:pt idx="19">
                  <c:v>1605367.0756795239</c:v>
                </c:pt>
                <c:pt idx="20">
                  <c:v>1596985.3916231559</c:v>
                </c:pt>
                <c:pt idx="21">
                  <c:v>1137157.6669372031</c:v>
                </c:pt>
                <c:pt idx="22">
                  <c:v>3027578.7899983842</c:v>
                </c:pt>
                <c:pt idx="23">
                  <c:v>805154.93228744587</c:v>
                </c:pt>
                <c:pt idx="24">
                  <c:v>920933.05007688294</c:v>
                </c:pt>
                <c:pt idx="25">
                  <c:v>390127.06417119328</c:v>
                </c:pt>
                <c:pt idx="26">
                  <c:v>718625.96095230442</c:v>
                </c:pt>
                <c:pt idx="27">
                  <c:v>465319.3902733142</c:v>
                </c:pt>
              </c:numCache>
            </c:numRef>
          </c:xVal>
          <c:yVal>
            <c:numRef>
              <c:f>'Orig data'!$AF$44:$AF$71</c:f>
              <c:numCache>
                <c:formatCode>#,##0</c:formatCode>
                <c:ptCount val="28"/>
                <c:pt idx="0">
                  <c:v>2004615.8</c:v>
                </c:pt>
                <c:pt idx="1">
                  <c:v>1920095.2946191225</c:v>
                </c:pt>
                <c:pt idx="2">
                  <c:v>1415807.9091659964</c:v>
                </c:pt>
                <c:pt idx="3">
                  <c:v>1461959.9522844465</c:v>
                </c:pt>
                <c:pt idx="4">
                  <c:v>3090405.3720841995</c:v>
                </c:pt>
                <c:pt idx="5">
                  <c:v>3153242.8250972875</c:v>
                </c:pt>
                <c:pt idx="6">
                  <c:v>1757511.260493631</c:v>
                </c:pt>
                <c:pt idx="7">
                  <c:v>2554271.8341883146</c:v>
                </c:pt>
                <c:pt idx="8">
                  <c:v>2840623.3648399371</c:v>
                </c:pt>
                <c:pt idx="9">
                  <c:v>2349634.7179008862</c:v>
                </c:pt>
                <c:pt idx="10">
                  <c:v>2794036.2996058362</c:v>
                </c:pt>
                <c:pt idx="11">
                  <c:v>2356827.5891186544</c:v>
                </c:pt>
                <c:pt idx="12">
                  <c:v>2289766.4455317724</c:v>
                </c:pt>
                <c:pt idx="13">
                  <c:v>1757875.5223556529</c:v>
                </c:pt>
                <c:pt idx="14">
                  <c:v>1235646.4607024293</c:v>
                </c:pt>
                <c:pt idx="15">
                  <c:v>925908.6338148301</c:v>
                </c:pt>
                <c:pt idx="16">
                  <c:v>784210.96442154807</c:v>
                </c:pt>
                <c:pt idx="17">
                  <c:v>1221277.7752115645</c:v>
                </c:pt>
                <c:pt idx="18">
                  <c:v>1607620.1279397779</c:v>
                </c:pt>
                <c:pt idx="19">
                  <c:v>1622177.3619797428</c:v>
                </c:pt>
                <c:pt idx="20">
                  <c:v>1530382.4378112433</c:v>
                </c:pt>
                <c:pt idx="21">
                  <c:v>1618469.2768496138</c:v>
                </c:pt>
                <c:pt idx="22">
                  <c:v>2309966.7913137632</c:v>
                </c:pt>
                <c:pt idx="23">
                  <c:v>1605801.5690952772</c:v>
                </c:pt>
                <c:pt idx="24">
                  <c:v>827990.8067999999</c:v>
                </c:pt>
                <c:pt idx="25">
                  <c:v>499968.91089999996</c:v>
                </c:pt>
                <c:pt idx="26">
                  <c:v>555208.52599999995</c:v>
                </c:pt>
                <c:pt idx="27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AE-4835-AC1B-675E34DD6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both using Albion test fishery average age comps from 2003-2022, Haley using only ages 3-5, Murdoch using ages 3-6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data'!$AF$5:$AF$71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2554271.8341883146</c:v>
                </c:pt>
                <c:pt idx="47">
                  <c:v>2840623.3648399371</c:v>
                </c:pt>
                <c:pt idx="48">
                  <c:v>2349634.7179008862</c:v>
                </c:pt>
                <c:pt idx="49">
                  <c:v>2794036.2996058362</c:v>
                </c:pt>
                <c:pt idx="50">
                  <c:v>2356827.5891186544</c:v>
                </c:pt>
                <c:pt idx="51">
                  <c:v>2289766.4455317724</c:v>
                </c:pt>
                <c:pt idx="52">
                  <c:v>1757875.5223556529</c:v>
                </c:pt>
                <c:pt idx="53">
                  <c:v>1235646.4607024293</c:v>
                </c:pt>
                <c:pt idx="54">
                  <c:v>925908.6338148301</c:v>
                </c:pt>
                <c:pt idx="55">
                  <c:v>784210.96442154807</c:v>
                </c:pt>
                <c:pt idx="56">
                  <c:v>1221277.7752115645</c:v>
                </c:pt>
                <c:pt idx="57">
                  <c:v>1607620.1279397779</c:v>
                </c:pt>
                <c:pt idx="58">
                  <c:v>1622177.3619797428</c:v>
                </c:pt>
                <c:pt idx="59">
                  <c:v>1530382.4378112433</c:v>
                </c:pt>
                <c:pt idx="60">
                  <c:v>1618469.2768496138</c:v>
                </c:pt>
                <c:pt idx="61">
                  <c:v>2309966.7913137632</c:v>
                </c:pt>
                <c:pt idx="62">
                  <c:v>1605801.5690952772</c:v>
                </c:pt>
                <c:pt idx="63">
                  <c:v>827990.8067999999</c:v>
                </c:pt>
                <c:pt idx="64">
                  <c:v>499968.91089999996</c:v>
                </c:pt>
                <c:pt idx="65">
                  <c:v>555208.52599999995</c:v>
                </c:pt>
                <c:pt idx="66">
                  <c:v>634365.36699999997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0-41DA-AD86-EE06C0FEB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</a:t>
            </a:r>
            <a:r>
              <a:rPr lang="en-US" baseline="0"/>
              <a:t> recruits from Haley's vs. Murdoch's using average vs annual Albion test fishery age comps from 2003-2022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data'!$D$5:$D$71</c:f>
              <c:numCache>
                <c:formatCode>#,##0</c:formatCode>
                <c:ptCount val="67"/>
                <c:pt idx="0">
                  <c:v>498986</c:v>
                </c:pt>
                <c:pt idx="1">
                  <c:v>283055</c:v>
                </c:pt>
                <c:pt idx="2">
                  <c:v>312122</c:v>
                </c:pt>
                <c:pt idx="3">
                  <c:v>504589</c:v>
                </c:pt>
                <c:pt idx="4">
                  <c:v>592568</c:v>
                </c:pt>
                <c:pt idx="5">
                  <c:v>518932</c:v>
                </c:pt>
                <c:pt idx="6">
                  <c:v>353281</c:v>
                </c:pt>
                <c:pt idx="7">
                  <c:v>302174</c:v>
                </c:pt>
                <c:pt idx="8">
                  <c:v>361837</c:v>
                </c:pt>
                <c:pt idx="9">
                  <c:v>416907</c:v>
                </c:pt>
                <c:pt idx="10">
                  <c:v>288161</c:v>
                </c:pt>
                <c:pt idx="11">
                  <c:v>423280</c:v>
                </c:pt>
                <c:pt idx="12">
                  <c:v>430785</c:v>
                </c:pt>
                <c:pt idx="13">
                  <c:v>1165723</c:v>
                </c:pt>
                <c:pt idx="14">
                  <c:v>851349</c:v>
                </c:pt>
                <c:pt idx="15">
                  <c:v>719419</c:v>
                </c:pt>
                <c:pt idx="16">
                  <c:v>526762</c:v>
                </c:pt>
                <c:pt idx="17">
                  <c:v>1219850</c:v>
                </c:pt>
                <c:pt idx="18">
                  <c:v>1312868</c:v>
                </c:pt>
                <c:pt idx="19">
                  <c:v>832641</c:v>
                </c:pt>
                <c:pt idx="20">
                  <c:v>589068</c:v>
                </c:pt>
                <c:pt idx="21">
                  <c:v>965520</c:v>
                </c:pt>
                <c:pt idx="22">
                  <c:v>826929</c:v>
                </c:pt>
                <c:pt idx="23">
                  <c:v>1107885</c:v>
                </c:pt>
                <c:pt idx="24">
                  <c:v>527760</c:v>
                </c:pt>
                <c:pt idx="25">
                  <c:v>761292</c:v>
                </c:pt>
                <c:pt idx="26">
                  <c:v>583647</c:v>
                </c:pt>
                <c:pt idx="27">
                  <c:v>635560</c:v>
                </c:pt>
                <c:pt idx="28">
                  <c:v>510199</c:v>
                </c:pt>
                <c:pt idx="29">
                  <c:v>655505</c:v>
                </c:pt>
                <c:pt idx="30">
                  <c:v>1492293</c:v>
                </c:pt>
                <c:pt idx="31">
                  <c:v>1416221</c:v>
                </c:pt>
                <c:pt idx="32">
                  <c:v>795564</c:v>
                </c:pt>
                <c:pt idx="33">
                  <c:v>1061099</c:v>
                </c:pt>
                <c:pt idx="34">
                  <c:v>1010518</c:v>
                </c:pt>
                <c:pt idx="35">
                  <c:v>1322564</c:v>
                </c:pt>
                <c:pt idx="36">
                  <c:v>1116839</c:v>
                </c:pt>
                <c:pt idx="37">
                  <c:v>406805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1361315</c:v>
                </c:pt>
                <c:pt idx="43">
                  <c:v>3442899</c:v>
                </c:pt>
                <c:pt idx="44">
                  <c:v>3112653</c:v>
                </c:pt>
                <c:pt idx="45">
                  <c:v>1431408</c:v>
                </c:pt>
                <c:pt idx="46">
                  <c:v>2858328</c:v>
                </c:pt>
                <c:pt idx="47">
                  <c:v>2785129</c:v>
                </c:pt>
                <c:pt idx="48">
                  <c:v>2232718</c:v>
                </c:pt>
                <c:pt idx="49">
                  <c:v>2988615</c:v>
                </c:pt>
                <c:pt idx="50">
                  <c:v>2160110</c:v>
                </c:pt>
                <c:pt idx="51">
                  <c:v>2425524</c:v>
                </c:pt>
                <c:pt idx="52">
                  <c:v>1619282</c:v>
                </c:pt>
                <c:pt idx="53">
                  <c:v>1231521</c:v>
                </c:pt>
                <c:pt idx="54">
                  <c:v>884912</c:v>
                </c:pt>
                <c:pt idx="55">
                  <c:v>744365</c:v>
                </c:pt>
                <c:pt idx="56">
                  <c:v>1296356</c:v>
                </c:pt>
                <c:pt idx="57">
                  <c:v>1641562</c:v>
                </c:pt>
                <c:pt idx="58">
                  <c:v>1613902</c:v>
                </c:pt>
                <c:pt idx="59">
                  <c:v>1521759</c:v>
                </c:pt>
                <c:pt idx="60">
                  <c:v>1567636</c:v>
                </c:pt>
                <c:pt idx="61">
                  <c:v>2530282</c:v>
                </c:pt>
                <c:pt idx="62">
                  <c:v>1408307</c:v>
                </c:pt>
                <c:pt idx="63">
                  <c:v>810777</c:v>
                </c:pt>
                <c:pt idx="64">
                  <c:v>438554</c:v>
                </c:pt>
                <c:pt idx="65">
                  <c:v>597944</c:v>
                </c:pt>
                <c:pt idx="66">
                  <c:v>599216</c:v>
                </c:pt>
              </c:numCache>
            </c:numRef>
          </c:xVal>
          <c:yVal>
            <c:numRef>
              <c:f>'Orig data'!$AA$5:$AA$71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C-4D95-A89D-E65ABD035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315120"/>
        <c:axId val="678313456"/>
      </c:scatterChart>
      <c:valAx>
        <c:axId val="67831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3456"/>
        <c:crosses val="autoZero"/>
        <c:crossBetween val="midCat"/>
      </c:valAx>
      <c:valAx>
        <c:axId val="6783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15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River Chum Salmon ln(R/S) versus S 1951-2017 based on Haley's reconstruction with average</a:t>
            </a:r>
            <a:r>
              <a:rPr lang="en-US" baseline="0"/>
              <a:t> age compositgion for age 3-5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data'!$E$4</c:f>
              <c:strCache>
                <c:ptCount val="1"/>
                <c:pt idx="0">
                  <c:v>ln(R/S)(H)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296748323688483"/>
                  <c:y val="-0.345529660082074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data'!$C$5:$C$71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137225</c:v>
                </c:pt>
                <c:pt idx="3">
                  <c:v>86375</c:v>
                </c:pt>
                <c:pt idx="4">
                  <c:v>110500</c:v>
                </c:pt>
                <c:pt idx="5">
                  <c:v>32925</c:v>
                </c:pt>
                <c:pt idx="6">
                  <c:v>84630</c:v>
                </c:pt>
                <c:pt idx="7">
                  <c:v>89375</c:v>
                </c:pt>
                <c:pt idx="8">
                  <c:v>152300</c:v>
                </c:pt>
                <c:pt idx="9">
                  <c:v>263700</c:v>
                </c:pt>
                <c:pt idx="10">
                  <c:v>172700</c:v>
                </c:pt>
                <c:pt idx="11">
                  <c:v>180200</c:v>
                </c:pt>
                <c:pt idx="12">
                  <c:v>214200</c:v>
                </c:pt>
                <c:pt idx="13">
                  <c:v>325400</c:v>
                </c:pt>
                <c:pt idx="14">
                  <c:v>184800</c:v>
                </c:pt>
                <c:pt idx="15">
                  <c:v>429700</c:v>
                </c:pt>
                <c:pt idx="16">
                  <c:v>213873</c:v>
                </c:pt>
                <c:pt idx="17">
                  <c:v>822200</c:v>
                </c:pt>
                <c:pt idx="18">
                  <c:v>390100</c:v>
                </c:pt>
                <c:pt idx="19">
                  <c:v>287250</c:v>
                </c:pt>
                <c:pt idx="20">
                  <c:v>290150</c:v>
                </c:pt>
                <c:pt idx="21">
                  <c:v>423290</c:v>
                </c:pt>
                <c:pt idx="22">
                  <c:v>267105</c:v>
                </c:pt>
                <c:pt idx="23">
                  <c:v>350390</c:v>
                </c:pt>
                <c:pt idx="24">
                  <c:v>191445</c:v>
                </c:pt>
                <c:pt idx="25">
                  <c:v>340467</c:v>
                </c:pt>
                <c:pt idx="26">
                  <c:v>599371</c:v>
                </c:pt>
                <c:pt idx="27">
                  <c:v>359065</c:v>
                </c:pt>
                <c:pt idx="28">
                  <c:v>255634</c:v>
                </c:pt>
                <c:pt idx="29">
                  <c:v>312182</c:v>
                </c:pt>
                <c:pt idx="30">
                  <c:v>435345</c:v>
                </c:pt>
                <c:pt idx="31">
                  <c:v>322286</c:v>
                </c:pt>
                <c:pt idx="32">
                  <c:v>367363</c:v>
                </c:pt>
                <c:pt idx="33">
                  <c:v>540265</c:v>
                </c:pt>
                <c:pt idx="34">
                  <c:v>1147702</c:v>
                </c:pt>
                <c:pt idx="35">
                  <c:v>833591</c:v>
                </c:pt>
                <c:pt idx="36">
                  <c:v>430000</c:v>
                </c:pt>
                <c:pt idx="37">
                  <c:v>488070</c:v>
                </c:pt>
                <c:pt idx="38">
                  <c:v>523657</c:v>
                </c:pt>
                <c:pt idx="39">
                  <c:v>736039</c:v>
                </c:pt>
                <c:pt idx="40">
                  <c:v>790060</c:v>
                </c:pt>
                <c:pt idx="41">
                  <c:v>757025</c:v>
                </c:pt>
                <c:pt idx="42">
                  <c:v>788831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data'!$E$5:$E$71</c:f>
              <c:numCache>
                <c:formatCode>0.00</c:formatCode>
                <c:ptCount val="67"/>
                <c:pt idx="0">
                  <c:v>1.0666836791457688</c:v>
                </c:pt>
                <c:pt idx="1">
                  <c:v>0.47373778335781852</c:v>
                </c:pt>
                <c:pt idx="2">
                  <c:v>0.82177222258395266</c:v>
                </c:pt>
                <c:pt idx="3">
                  <c:v>1.765045954436407</c:v>
                </c:pt>
                <c:pt idx="4">
                  <c:v>1.6794501133986328</c:v>
                </c:pt>
                <c:pt idx="5">
                  <c:v>2.7575406057579124</c:v>
                </c:pt>
                <c:pt idx="6">
                  <c:v>1.4289749605785971</c:v>
                </c:pt>
                <c:pt idx="7">
                  <c:v>1.2181620093852592</c:v>
                </c:pt>
                <c:pt idx="8">
                  <c:v>0.86534157427677216</c:v>
                </c:pt>
                <c:pt idx="9">
                  <c:v>0.45805108198381522</c:v>
                </c:pt>
                <c:pt idx="10">
                  <c:v>0.51196336656327257</c:v>
                </c:pt>
                <c:pt idx="11">
                  <c:v>0.85396655342163885</c:v>
                </c:pt>
                <c:pt idx="12">
                  <c:v>0.69869896772088746</c:v>
                </c:pt>
                <c:pt idx="13">
                  <c:v>1.2760415795801567</c:v>
                </c:pt>
                <c:pt idx="14">
                  <c:v>1.5275479910533403</c:v>
                </c:pt>
                <c:pt idx="15">
                  <c:v>0.51535665102978301</c:v>
                </c:pt>
                <c:pt idx="16">
                  <c:v>0.90136645271825699</c:v>
                </c:pt>
                <c:pt idx="17">
                  <c:v>0.39449950488478053</c:v>
                </c:pt>
                <c:pt idx="18">
                  <c:v>1.2135662196061554</c:v>
                </c:pt>
                <c:pt idx="19">
                  <c:v>1.064249660153731</c:v>
                </c:pt>
                <c:pt idx="20">
                  <c:v>0.70814359626625123</c:v>
                </c:pt>
                <c:pt idx="21">
                  <c:v>0.8246092929692076</c:v>
                </c:pt>
                <c:pt idx="22">
                  <c:v>1.1300769993379298</c:v>
                </c:pt>
                <c:pt idx="23">
                  <c:v>1.151161251464681</c:v>
                </c:pt>
                <c:pt idx="24">
                  <c:v>1.0140410738118517</c:v>
                </c:pt>
                <c:pt idx="25">
                  <c:v>0.80469878532263861</c:v>
                </c:pt>
                <c:pt idx="26">
                  <c:v>-2.658442397844028E-2</c:v>
                </c:pt>
                <c:pt idx="27">
                  <c:v>0.57100306942517687</c:v>
                </c:pt>
                <c:pt idx="28">
                  <c:v>0.69105411168886388</c:v>
                </c:pt>
                <c:pt idx="29">
                  <c:v>0.74181957986966518</c:v>
                </c:pt>
                <c:pt idx="30">
                  <c:v>1.2319303219839801</c:v>
                </c:pt>
                <c:pt idx="31">
                  <c:v>1.4803079854347336</c:v>
                </c:pt>
                <c:pt idx="32">
                  <c:v>0.77270083705316917</c:v>
                </c:pt>
                <c:pt idx="33">
                  <c:v>0.67500068253565193</c:v>
                </c:pt>
                <c:pt idx="34">
                  <c:v>-0.12729861165186437</c:v>
                </c:pt>
                <c:pt idx="35">
                  <c:v>0.46158468136053471</c:v>
                </c:pt>
                <c:pt idx="36">
                  <c:v>0.95447244391420738</c:v>
                </c:pt>
                <c:pt idx="37">
                  <c:v>-0.18212488303820401</c:v>
                </c:pt>
                <c:pt idx="38">
                  <c:v>1.105761217714377</c:v>
                </c:pt>
                <c:pt idx="39">
                  <c:v>1.0019245939759625</c:v>
                </c:pt>
                <c:pt idx="40">
                  <c:v>0.88802120446014754</c:v>
                </c:pt>
                <c:pt idx="41">
                  <c:v>0.6260593296915179</c:v>
                </c:pt>
                <c:pt idx="42">
                  <c:v>0.54565432061770003</c:v>
                </c:pt>
                <c:pt idx="43">
                  <c:v>0.72584088745574638</c:v>
                </c:pt>
                <c:pt idx="44">
                  <c:v>0.64779028120275439</c:v>
                </c:pt>
                <c:pt idx="45">
                  <c:v>0.18792051552344743</c:v>
                </c:pt>
                <c:pt idx="46">
                  <c:v>1.0054403527372759</c:v>
                </c:pt>
                <c:pt idx="47">
                  <c:v>-0.24575928760684423</c:v>
                </c:pt>
                <c:pt idx="48">
                  <c:v>-0.29113556290450376</c:v>
                </c:pt>
                <c:pt idx="49">
                  <c:v>1.4515192996258222</c:v>
                </c:pt>
                <c:pt idx="50">
                  <c:v>-0.37784407839360423</c:v>
                </c:pt>
                <c:pt idx="51">
                  <c:v>5.2160677901878581E-2</c:v>
                </c:pt>
                <c:pt idx="52">
                  <c:v>8.0197160478462634E-2</c:v>
                </c:pt>
                <c:pt idx="53">
                  <c:v>-0.79114362316427123</c:v>
                </c:pt>
                <c:pt idx="54">
                  <c:v>-0.40848532553504846</c:v>
                </c:pt>
                <c:pt idx="55">
                  <c:v>-0.97357249455406303</c:v>
                </c:pt>
                <c:pt idx="56">
                  <c:v>0.20388794589883796</c:v>
                </c:pt>
                <c:pt idx="57">
                  <c:v>0.51379590505962547</c:v>
                </c:pt>
                <c:pt idx="58">
                  <c:v>1.224043141698661</c:v>
                </c:pt>
                <c:pt idx="59">
                  <c:v>0.91626707532000706</c:v>
                </c:pt>
                <c:pt idx="60">
                  <c:v>0.37347104651547813</c:v>
                </c:pt>
                <c:pt idx="61">
                  <c:v>0.60547074977719351</c:v>
                </c:pt>
                <c:pt idx="62">
                  <c:v>0.18723324130222524</c:v>
                </c:pt>
                <c:pt idx="63">
                  <c:v>-0.36298104905823131</c:v>
                </c:pt>
                <c:pt idx="64">
                  <c:v>-0.77388914531012754</c:v>
                </c:pt>
                <c:pt idx="65">
                  <c:v>-1.1950219971960248</c:v>
                </c:pt>
                <c:pt idx="66">
                  <c:v>-9.6113028123834918E-2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CB-4096-BF48-98BAB392A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037679"/>
        <c:axId val="1622038095"/>
      </c:scatterChart>
      <c:valAx>
        <c:axId val="16220376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8095"/>
        <c:crossesAt val="-1.5"/>
        <c:crossBetween val="midCat"/>
      </c:valAx>
      <c:valAx>
        <c:axId val="16220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ln(R/S)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0376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8.1850174978127729E-2"/>
                  <c:y val="-0.496375765529308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data'!$H$5:$H$71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ED-40FF-B9DD-376B1AC83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4086336"/>
        <c:axId val="1862135088"/>
      </c:scatterChart>
      <c:valAx>
        <c:axId val="206408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135088"/>
        <c:crosses val="autoZero"/>
        <c:crossBetween val="midCat"/>
      </c:valAx>
      <c:valAx>
        <c:axId val="186213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086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data'!$M$4</c:f>
              <c:strCache>
                <c:ptCount val="1"/>
                <c:pt idx="0">
                  <c:v>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data'!$L$5:$L$78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'Orig data'!$H$5:$H$78</c:f>
              <c:numCache>
                <c:formatCode>#,##0</c:formatCode>
                <c:ptCount val="74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  <c:pt idx="67">
                  <c:v>684875</c:v>
                </c:pt>
                <c:pt idx="68">
                  <c:v>300279</c:v>
                </c:pt>
                <c:pt idx="69">
                  <c:v>597731</c:v>
                </c:pt>
                <c:pt idx="70">
                  <c:v>532609</c:v>
                </c:pt>
                <c:pt idx="71">
                  <c:v>1134524</c:v>
                </c:pt>
                <c:pt idx="72" formatCode="General">
                  <c:v>620382</c:v>
                </c:pt>
                <c:pt idx="73" formatCode="General">
                  <c:v>1872824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72800"/>
        <c:axId val="239077808"/>
      </c:scatterChart>
      <c:scatterChart>
        <c:scatterStyle val="lineMarker"/>
        <c:varyColors val="0"/>
        <c:ser>
          <c:idx val="1"/>
          <c:order val="1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data'!$L$5:$L$76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23-4635-A217-FED804FF5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078224"/>
        <c:axId val="239064496"/>
      </c:scatterChart>
      <c:valAx>
        <c:axId val="25367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7808"/>
        <c:crosses val="autoZero"/>
        <c:crossBetween val="midCat"/>
      </c:valAx>
      <c:valAx>
        <c:axId val="239077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72800"/>
        <c:crosses val="autoZero"/>
        <c:crossBetween val="midCat"/>
      </c:valAx>
      <c:valAx>
        <c:axId val="239064496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078224"/>
        <c:crosses val="max"/>
        <c:crossBetween val="midCat"/>
      </c:valAx>
      <c:valAx>
        <c:axId val="239078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90644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Fraser chum wt by brood year, Oleynik/McAllister run reconstruction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data'!$L$4</c:f>
              <c:strCache>
                <c:ptCount val="1"/>
                <c:pt idx="0">
                  <c:v>broodyear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data'!$L$5:$L$71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data'!$K$5:$K$71</c:f>
              <c:numCache>
                <c:formatCode>0.00</c:formatCode>
                <c:ptCount val="67"/>
                <c:pt idx="0">
                  <c:v>0.22013898112224028</c:v>
                </c:pt>
                <c:pt idx="1">
                  <c:v>-0.42555802001018317</c:v>
                </c:pt>
                <c:pt idx="2">
                  <c:v>-0.18260684158512341</c:v>
                </c:pt>
                <c:pt idx="3">
                  <c:v>0.66708753272653643</c:v>
                </c:pt>
                <c:pt idx="4">
                  <c:v>0.62754084569287394</c:v>
                </c:pt>
                <c:pt idx="5">
                  <c:v>1.5171528751943575</c:v>
                </c:pt>
                <c:pt idx="6">
                  <c:v>0.16916396260807498</c:v>
                </c:pt>
                <c:pt idx="7">
                  <c:v>-7.8958851528749818E-3</c:v>
                </c:pt>
                <c:pt idx="8">
                  <c:v>-0.30584930517312392</c:v>
                </c:pt>
                <c:pt idx="9">
                  <c:v>-0.18049366163264413</c:v>
                </c:pt>
                <c:pt idx="10">
                  <c:v>-0.1645893919575887</c:v>
                </c:pt>
                <c:pt idx="11">
                  <c:v>-0.10405737891077649</c:v>
                </c:pt>
                <c:pt idx="12">
                  <c:v>-0.19399421778613257</c:v>
                </c:pt>
                <c:pt idx="13">
                  <c:v>0.25586658362497794</c:v>
                </c:pt>
                <c:pt idx="14">
                  <c:v>0.72978252762323503</c:v>
                </c:pt>
                <c:pt idx="15">
                  <c:v>-0.31094458218061383</c:v>
                </c:pt>
                <c:pt idx="16">
                  <c:v>4.7491371944241578E-3</c:v>
                </c:pt>
                <c:pt idx="17">
                  <c:v>-0.2454529039717176</c:v>
                </c:pt>
                <c:pt idx="18">
                  <c:v>0.55776270425972707</c:v>
                </c:pt>
                <c:pt idx="19">
                  <c:v>0.23280321306766361</c:v>
                </c:pt>
                <c:pt idx="20">
                  <c:v>-0.2114819307983512</c:v>
                </c:pt>
                <c:pt idx="21">
                  <c:v>-0.20678344218358613</c:v>
                </c:pt>
                <c:pt idx="22">
                  <c:v>0.19677538922828619</c:v>
                </c:pt>
                <c:pt idx="23">
                  <c:v>9.3436078345463747E-2</c:v>
                </c:pt>
                <c:pt idx="24">
                  <c:v>0.18280571464787454</c:v>
                </c:pt>
                <c:pt idx="25">
                  <c:v>-0.21571282616443144</c:v>
                </c:pt>
                <c:pt idx="26">
                  <c:v>-0.68607374956370837</c:v>
                </c:pt>
                <c:pt idx="27">
                  <c:v>-0.3432390490057301</c:v>
                </c:pt>
                <c:pt idx="28">
                  <c:v>-0.18650947451210365</c:v>
                </c:pt>
                <c:pt idx="29">
                  <c:v>-0.14468235965727327</c:v>
                </c:pt>
                <c:pt idx="30">
                  <c:v>0.3361710052481327</c:v>
                </c:pt>
                <c:pt idx="31">
                  <c:v>0.62861715233045601</c:v>
                </c:pt>
                <c:pt idx="32">
                  <c:v>-5.4080182275097144E-2</c:v>
                </c:pt>
                <c:pt idx="33">
                  <c:v>-0.31593350947835047</c:v>
                </c:pt>
                <c:pt idx="34">
                  <c:v>-0.48254689909039461</c:v>
                </c:pt>
                <c:pt idx="35">
                  <c:v>-0.15417178116608821</c:v>
                </c:pt>
                <c:pt idx="36">
                  <c:v>0.51616302031232053</c:v>
                </c:pt>
                <c:pt idx="37">
                  <c:v>0.25103878149795666</c:v>
                </c:pt>
                <c:pt idx="38">
                  <c:v>8.673882201958949E-2</c:v>
                </c:pt>
                <c:pt idx="39">
                  <c:v>0.24560856302889367</c:v>
                </c:pt>
                <c:pt idx="40">
                  <c:v>0.10338505796001507</c:v>
                </c:pt>
                <c:pt idx="41">
                  <c:v>-0.17885280727430619</c:v>
                </c:pt>
                <c:pt idx="42">
                  <c:v>-0.12793332625420883</c:v>
                </c:pt>
                <c:pt idx="43">
                  <c:v>0.51450474722861816</c:v>
                </c:pt>
                <c:pt idx="44">
                  <c:v>0.53431188498440052</c:v>
                </c:pt>
                <c:pt idx="45">
                  <c:v>-5.6156666411252831E-3</c:v>
                </c:pt>
                <c:pt idx="46">
                  <c:v>0.40891906187958105</c:v>
                </c:pt>
                <c:pt idx="47">
                  <c:v>0.81100709002729454</c:v>
                </c:pt>
                <c:pt idx="48">
                  <c:v>0.89618946456744586</c:v>
                </c:pt>
                <c:pt idx="49">
                  <c:v>0.48386455044812315</c:v>
                </c:pt>
                <c:pt idx="50">
                  <c:v>0.28864243394939038</c:v>
                </c:pt>
                <c:pt idx="51">
                  <c:v>0.49347741142899099</c:v>
                </c:pt>
                <c:pt idx="52">
                  <c:v>-0.33169796223975051</c:v>
                </c:pt>
                <c:pt idx="53">
                  <c:v>-0.21310530676328254</c:v>
                </c:pt>
                <c:pt idx="54">
                  <c:v>-0.78580075611803391</c:v>
                </c:pt>
                <c:pt idx="55">
                  <c:v>-1.0199356287759442</c:v>
                </c:pt>
                <c:pt idx="56">
                  <c:v>0.11802657100699165</c:v>
                </c:pt>
                <c:pt idx="57">
                  <c:v>-0.21247842028387309</c:v>
                </c:pt>
                <c:pt idx="58">
                  <c:v>0.38184642982810568</c:v>
                </c:pt>
                <c:pt idx="59">
                  <c:v>0.21022467596827565</c:v>
                </c:pt>
                <c:pt idx="60">
                  <c:v>-0.41228613408831222</c:v>
                </c:pt>
                <c:pt idx="61">
                  <c:v>0.50611291584587603</c:v>
                </c:pt>
                <c:pt idx="62">
                  <c:v>-0.78194366099416812</c:v>
                </c:pt>
                <c:pt idx="63">
                  <c:v>-0.64704558881795826</c:v>
                </c:pt>
                <c:pt idx="64">
                  <c:v>-1.4345486131223737</c:v>
                </c:pt>
                <c:pt idx="65">
                  <c:v>-0.92407653289157543</c:v>
                </c:pt>
                <c:pt idx="66">
                  <c:v>-1.0719373883754066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8F-44A6-9ADD-E4D6BCEAA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3604800"/>
        <c:axId val="239123152"/>
      </c:scatterChart>
      <c:valAx>
        <c:axId val="253604800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123152"/>
        <c:crossesAt val="-2"/>
        <c:crossBetween val="midCat"/>
      </c:valAx>
      <c:valAx>
        <c:axId val="23912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Ricker anomaly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360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data'!$I$4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data'!$H$5:$H$71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xVal>
          <c:yVal>
            <c:numRef>
              <c:f>'Orig data'!$I$5:$I$71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4B-49EB-9333-2144195E8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5188479"/>
        <c:axId val="905125279"/>
      </c:scatterChart>
      <c:valAx>
        <c:axId val="114518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5125279"/>
        <c:crosses val="autoZero"/>
        <c:crossBetween val="midCat"/>
      </c:valAx>
      <c:valAx>
        <c:axId val="9051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18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Harvest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data'!$BI$4</c:f>
              <c:strCache>
                <c:ptCount val="1"/>
                <c:pt idx="0">
                  <c:v>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data'!$BA$5:$BA$76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data'!$BI$5:$BI$76</c:f>
              <c:numCache>
                <c:formatCode>0%</c:formatCode>
                <c:ptCount val="72"/>
                <c:pt idx="0">
                  <c:v>0.86</c:v>
                </c:pt>
                <c:pt idx="1">
                  <c:v>0.81</c:v>
                </c:pt>
                <c:pt idx="2">
                  <c:v>0.85</c:v>
                </c:pt>
                <c:pt idx="3">
                  <c:v>0.92</c:v>
                </c:pt>
                <c:pt idx="4">
                  <c:v>0.69</c:v>
                </c:pt>
                <c:pt idx="5">
                  <c:v>0.87</c:v>
                </c:pt>
                <c:pt idx="6">
                  <c:v>0.72</c:v>
                </c:pt>
                <c:pt idx="7">
                  <c:v>0.84</c:v>
                </c:pt>
                <c:pt idx="8">
                  <c:v>0.75</c:v>
                </c:pt>
                <c:pt idx="9">
                  <c:v>0.49</c:v>
                </c:pt>
                <c:pt idx="10">
                  <c:v>0.46</c:v>
                </c:pt>
                <c:pt idx="11">
                  <c:v>0.38</c:v>
                </c:pt>
                <c:pt idx="12">
                  <c:v>0.43</c:v>
                </c:pt>
                <c:pt idx="13">
                  <c:v>0.27</c:v>
                </c:pt>
                <c:pt idx="14">
                  <c:v>0.17</c:v>
                </c:pt>
                <c:pt idx="15">
                  <c:v>0.11</c:v>
                </c:pt>
                <c:pt idx="16">
                  <c:v>0.35</c:v>
                </c:pt>
                <c:pt idx="17">
                  <c:v>0.42</c:v>
                </c:pt>
                <c:pt idx="18">
                  <c:v>0.45</c:v>
                </c:pt>
                <c:pt idx="19">
                  <c:v>0.62</c:v>
                </c:pt>
                <c:pt idx="20">
                  <c:v>0.25</c:v>
                </c:pt>
                <c:pt idx="21">
                  <c:v>0.7</c:v>
                </c:pt>
                <c:pt idx="22">
                  <c:v>0.8</c:v>
                </c:pt>
                <c:pt idx="23">
                  <c:v>0.52</c:v>
                </c:pt>
                <c:pt idx="24">
                  <c:v>0.62</c:v>
                </c:pt>
                <c:pt idx="25">
                  <c:v>0.69</c:v>
                </c:pt>
                <c:pt idx="26">
                  <c:v>0.16</c:v>
                </c:pt>
                <c:pt idx="27">
                  <c:v>0.72</c:v>
                </c:pt>
                <c:pt idx="28">
                  <c:v>0.14000000000000001</c:v>
                </c:pt>
                <c:pt idx="29">
                  <c:v>0.65576754920370983</c:v>
                </c:pt>
                <c:pt idx="30">
                  <c:v>0.11445948557306022</c:v>
                </c:pt>
                <c:pt idx="31">
                  <c:v>0.54314834502799636</c:v>
                </c:pt>
                <c:pt idx="32">
                  <c:v>0.19331264808507742</c:v>
                </c:pt>
                <c:pt idx="33">
                  <c:v>0.10833970117624923</c:v>
                </c:pt>
                <c:pt idx="34">
                  <c:v>0.34507221483556932</c:v>
                </c:pt>
                <c:pt idx="35">
                  <c:v>0.42739415504349887</c:v>
                </c:pt>
                <c:pt idx="36">
                  <c:v>0.24118629053035784</c:v>
                </c:pt>
                <c:pt idx="37">
                  <c:v>0.58402226866261886</c:v>
                </c:pt>
                <c:pt idx="38">
                  <c:v>0.43093335288510887</c:v>
                </c:pt>
                <c:pt idx="39">
                  <c:v>0.49435485716516503</c:v>
                </c:pt>
                <c:pt idx="40">
                  <c:v>0.42</c:v>
                </c:pt>
                <c:pt idx="41">
                  <c:v>0.53</c:v>
                </c:pt>
                <c:pt idx="42">
                  <c:v>0.52</c:v>
                </c:pt>
                <c:pt idx="43">
                  <c:v>0.44</c:v>
                </c:pt>
                <c:pt idx="44">
                  <c:v>0.28000000000000003</c:v>
                </c:pt>
                <c:pt idx="45">
                  <c:v>0.27</c:v>
                </c:pt>
                <c:pt idx="46">
                  <c:v>0.18</c:v>
                </c:pt>
                <c:pt idx="47">
                  <c:v>0.36</c:v>
                </c:pt>
                <c:pt idx="48">
                  <c:v>0.15</c:v>
                </c:pt>
                <c:pt idx="49">
                  <c:v>0.31</c:v>
                </c:pt>
                <c:pt idx="50">
                  <c:v>0.32</c:v>
                </c:pt>
                <c:pt idx="51">
                  <c:v>0.4</c:v>
                </c:pt>
                <c:pt idx="52">
                  <c:v>0.45</c:v>
                </c:pt>
                <c:pt idx="53">
                  <c:v>0.44</c:v>
                </c:pt>
                <c:pt idx="54">
                  <c:v>0.46</c:v>
                </c:pt>
                <c:pt idx="55">
                  <c:v>0.44</c:v>
                </c:pt>
                <c:pt idx="56">
                  <c:v>0.44</c:v>
                </c:pt>
                <c:pt idx="57">
                  <c:v>0.43</c:v>
                </c:pt>
                <c:pt idx="58">
                  <c:v>0.42</c:v>
                </c:pt>
                <c:pt idx="59">
                  <c:v>0.38</c:v>
                </c:pt>
                <c:pt idx="60">
                  <c:v>0.46</c:v>
                </c:pt>
                <c:pt idx="61">
                  <c:v>0.38</c:v>
                </c:pt>
                <c:pt idx="62">
                  <c:v>0.5</c:v>
                </c:pt>
                <c:pt idx="63">
                  <c:v>0.45</c:v>
                </c:pt>
                <c:pt idx="64">
                  <c:v>0.52</c:v>
                </c:pt>
                <c:pt idx="65">
                  <c:v>0.46</c:v>
                </c:pt>
                <c:pt idx="66">
                  <c:v>0.56000000000000005</c:v>
                </c:pt>
                <c:pt idx="67">
                  <c:v>0.36</c:v>
                </c:pt>
                <c:pt idx="68">
                  <c:v>0.25</c:v>
                </c:pt>
                <c:pt idx="69">
                  <c:v>0.30774842740380398</c:v>
                </c:pt>
                <c:pt idx="70">
                  <c:v>0.30591614246793464</c:v>
                </c:pt>
                <c:pt idx="71">
                  <c:v>0.30591614246793464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B8-48FE-9C4E-E7A492298AEB}"/>
            </c:ext>
          </c:extLst>
        </c:ser>
        <c:ser>
          <c:idx val="1"/>
          <c:order val="1"/>
          <c:tx>
            <c:strRef>
              <c:f>'Orig data'!$T$4</c:f>
              <c:strCache>
                <c:ptCount val="1"/>
                <c:pt idx="0">
                  <c:v>Historial Ut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data'!$BA$5:$BA$76</c:f>
              <c:numCache>
                <c:formatCode>General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</c:numCache>
            </c:numRef>
          </c:xVal>
          <c:yVal>
            <c:numRef>
              <c:f>'Orig data'!$T$5:$T$76</c:f>
              <c:numCache>
                <c:formatCode>#,##0.000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7.9298797908785912E-2</c:v>
                </c:pt>
                <c:pt idx="69">
                  <c:v>0.11373586419371517</c:v>
                </c:pt>
                <c:pt idx="70">
                  <c:v>-1.0591487722640291E-2</c:v>
                </c:pt>
                <c:pt idx="71">
                  <c:v>2.0420920845295454E-2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0-4BF9-B8D6-4837E6BA8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1311823"/>
        <c:axId val="1039638415"/>
      </c:scatterChart>
      <c:valAx>
        <c:axId val="115131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638415"/>
        <c:crosses val="autoZero"/>
        <c:crossBetween val="midCat"/>
      </c:valAx>
      <c:valAx>
        <c:axId val="103963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11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Maturation rates by brood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data'!$AH$4</c:f>
              <c:strCache>
                <c:ptCount val="1"/>
                <c:pt idx="0">
                  <c:v>rp3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data'!$AG$5:$AG$71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data'!$AH$5:$AH$71</c:f>
              <c:numCache>
                <c:formatCode>#,##0.00</c:formatCode>
                <c:ptCount val="67"/>
                <c:pt idx="0">
                  <c:v>0.5524226620263547</c:v>
                </c:pt>
                <c:pt idx="1">
                  <c:v>0.37281366905529228</c:v>
                </c:pt>
                <c:pt idx="2">
                  <c:v>0.26025480311170918</c:v>
                </c:pt>
                <c:pt idx="3">
                  <c:v>0.1874286953077435</c:v>
                </c:pt>
                <c:pt idx="4">
                  <c:v>0.28085381558622807</c:v>
                </c:pt>
                <c:pt idx="5">
                  <c:v>0.429377213201388</c:v>
                </c:pt>
                <c:pt idx="6">
                  <c:v>0.39824819204653367</c:v>
                </c:pt>
                <c:pt idx="7">
                  <c:v>0.2930888781896967</c:v>
                </c:pt>
                <c:pt idx="8">
                  <c:v>0.23672590536814525</c:v>
                </c:pt>
                <c:pt idx="9">
                  <c:v>0.29819094242950639</c:v>
                </c:pt>
                <c:pt idx="10">
                  <c:v>0.43588388974288489</c:v>
                </c:pt>
                <c:pt idx="11">
                  <c:v>0.15252613128706971</c:v>
                </c:pt>
                <c:pt idx="12">
                  <c:v>0.28945223502672762</c:v>
                </c:pt>
                <c:pt idx="13">
                  <c:v>0.11444478143729972</c:v>
                </c:pt>
                <c:pt idx="14">
                  <c:v>0.45107341718812993</c:v>
                </c:pt>
                <c:pt idx="15">
                  <c:v>0.26504064692997359</c:v>
                </c:pt>
                <c:pt idx="16">
                  <c:v>0.38071382264782649</c:v>
                </c:pt>
                <c:pt idx="17">
                  <c:v>0.10517884909248017</c:v>
                </c:pt>
                <c:pt idx="18">
                  <c:v>0.29324631036085402</c:v>
                </c:pt>
                <c:pt idx="19">
                  <c:v>0.48537486245468348</c:v>
                </c:pt>
                <c:pt idx="20">
                  <c:v>0.35452626546676103</c:v>
                </c:pt>
                <c:pt idx="21">
                  <c:v>0.17780255050762087</c:v>
                </c:pt>
                <c:pt idx="22">
                  <c:v>0.35294250026812068</c:v>
                </c:pt>
                <c:pt idx="23">
                  <c:v>0.22608268654829672</c:v>
                </c:pt>
                <c:pt idx="24">
                  <c:v>0.56283615416054722</c:v>
                </c:pt>
                <c:pt idx="25">
                  <c:v>0.13457094972310549</c:v>
                </c:pt>
                <c:pt idx="26">
                  <c:v>0.42271265953648884</c:v>
                </c:pt>
                <c:pt idx="27">
                  <c:v>0.23765918498554234</c:v>
                </c:pt>
                <c:pt idx="28">
                  <c:v>0.38748648188670937</c:v>
                </c:pt>
                <c:pt idx="29">
                  <c:v>0.20361960767610934</c:v>
                </c:pt>
                <c:pt idx="30">
                  <c:v>0.12719436711045412</c:v>
                </c:pt>
                <c:pt idx="31">
                  <c:v>0.35632524502344953</c:v>
                </c:pt>
                <c:pt idx="32">
                  <c:v>0.54738116318341357</c:v>
                </c:pt>
                <c:pt idx="33">
                  <c:v>0.16496758607564335</c:v>
                </c:pt>
                <c:pt idx="34">
                  <c:v>0.27558415801516911</c:v>
                </c:pt>
                <c:pt idx="35">
                  <c:v>0.22952938823112023</c:v>
                </c:pt>
                <c:pt idx="36">
                  <c:v>0.31759257163456872</c:v>
                </c:pt>
                <c:pt idx="37">
                  <c:v>0.28750870433265202</c:v>
                </c:pt>
                <c:pt idx="38">
                  <c:v>0.29497093364984622</c:v>
                </c:pt>
                <c:pt idx="39">
                  <c:v>0.22098942849796951</c:v>
                </c:pt>
                <c:pt idx="40">
                  <c:v>0.3586209507047361</c:v>
                </c:pt>
                <c:pt idx="41">
                  <c:v>0.39082441651703226</c:v>
                </c:pt>
                <c:pt idx="42">
                  <c:v>0.25618546067019499</c:v>
                </c:pt>
                <c:pt idx="43">
                  <c:v>0.11009219936876154</c:v>
                </c:pt>
                <c:pt idx="44">
                  <c:v>0.38718999039373275</c:v>
                </c:pt>
                <c:pt idx="45">
                  <c:v>0.52637113003774194</c:v>
                </c:pt>
                <c:pt idx="46">
                  <c:v>9.6354735502587399E-2</c:v>
                </c:pt>
                <c:pt idx="47">
                  <c:v>0.36821921440349237</c:v>
                </c:pt>
                <c:pt idx="48">
                  <c:v>0.22526215091064919</c:v>
                </c:pt>
                <c:pt idx="49">
                  <c:v>2.427448269807838E-2</c:v>
                </c:pt>
                <c:pt idx="50">
                  <c:v>0.25119606148409912</c:v>
                </c:pt>
                <c:pt idx="51">
                  <c:v>5.7140978572090363E-2</c:v>
                </c:pt>
                <c:pt idx="52">
                  <c:v>8.7806791807976875E-2</c:v>
                </c:pt>
                <c:pt idx="53">
                  <c:v>8.1340525041557935E-2</c:v>
                </c:pt>
                <c:pt idx="54">
                  <c:v>0.16627786087973156</c:v>
                </c:pt>
                <c:pt idx="55">
                  <c:v>4.7656214680254015E-2</c:v>
                </c:pt>
                <c:pt idx="56">
                  <c:v>1.8294225552735965E-2</c:v>
                </c:pt>
                <c:pt idx="57">
                  <c:v>2.0368196576140477E-2</c:v>
                </c:pt>
                <c:pt idx="58">
                  <c:v>0.11301689014342532</c:v>
                </c:pt>
                <c:pt idx="59">
                  <c:v>3.1240108351703613E-2</c:v>
                </c:pt>
                <c:pt idx="60">
                  <c:v>5.6808592014554724E-2</c:v>
                </c:pt>
                <c:pt idx="61">
                  <c:v>8.3209040565108305E-2</c:v>
                </c:pt>
                <c:pt idx="62">
                  <c:v>0.18795081172683509</c:v>
                </c:pt>
                <c:pt idx="63">
                  <c:v>0.27867727867043646</c:v>
                </c:pt>
                <c:pt idx="64">
                  <c:v>0.33574848718871531</c:v>
                </c:pt>
                <c:pt idx="65">
                  <c:v>7.4323579888776456E-2</c:v>
                </c:pt>
                <c:pt idx="66">
                  <c:v>0.19779929752250255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A2-43F8-8392-A0803155C820}"/>
            </c:ext>
          </c:extLst>
        </c:ser>
        <c:ser>
          <c:idx val="1"/>
          <c:order val="1"/>
          <c:tx>
            <c:strRef>
              <c:f>'Orig data'!$AI$4</c:f>
              <c:strCache>
                <c:ptCount val="1"/>
                <c:pt idx="0">
                  <c:v>rp4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data'!$AG$5:$AG$71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data'!$AI$5:$AI$71</c:f>
              <c:numCache>
                <c:formatCode>#,##0.00</c:formatCode>
                <c:ptCount val="67"/>
                <c:pt idx="0">
                  <c:v>0.4001150673778946</c:v>
                </c:pt>
                <c:pt idx="1">
                  <c:v>0.53068483599349325</c:v>
                </c:pt>
                <c:pt idx="2">
                  <c:v>0.56790718404070362</c:v>
                </c:pt>
                <c:pt idx="3">
                  <c:v>0.68054869790110184</c:v>
                </c:pt>
                <c:pt idx="4">
                  <c:v>0.65380866307364982</c:v>
                </c:pt>
                <c:pt idx="5">
                  <c:v>0.51491106340414261</c:v>
                </c:pt>
                <c:pt idx="6">
                  <c:v>0.51707010459543801</c:v>
                </c:pt>
                <c:pt idx="7">
                  <c:v>0.57599768897448245</c:v>
                </c:pt>
                <c:pt idx="8">
                  <c:v>0.64564010945435246</c:v>
                </c:pt>
                <c:pt idx="9">
                  <c:v>0.65195557193241038</c:v>
                </c:pt>
                <c:pt idx="10">
                  <c:v>0.39997200127167409</c:v>
                </c:pt>
                <c:pt idx="11">
                  <c:v>0.7511405549642064</c:v>
                </c:pt>
                <c:pt idx="12">
                  <c:v>0.44546485135679331</c:v>
                </c:pt>
                <c:pt idx="13">
                  <c:v>0.81723231862265033</c:v>
                </c:pt>
                <c:pt idx="14">
                  <c:v>0.45253194098004668</c:v>
                </c:pt>
                <c:pt idx="15">
                  <c:v>0.67748141295023656</c:v>
                </c:pt>
                <c:pt idx="16">
                  <c:v>0.38759994088638494</c:v>
                </c:pt>
                <c:pt idx="17">
                  <c:v>0.7544425826168899</c:v>
                </c:pt>
                <c:pt idx="18">
                  <c:v>0.65476946535299907</c:v>
                </c:pt>
                <c:pt idx="19">
                  <c:v>0.46242539485128248</c:v>
                </c:pt>
                <c:pt idx="20">
                  <c:v>0.48023780808820105</c:v>
                </c:pt>
                <c:pt idx="21">
                  <c:v>0.73412052102373815</c:v>
                </c:pt>
                <c:pt idx="22">
                  <c:v>0.50813604239764965</c:v>
                </c:pt>
                <c:pt idx="23">
                  <c:v>0.7417163989028418</c:v>
                </c:pt>
                <c:pt idx="24">
                  <c:v>0.29321997893441837</c:v>
                </c:pt>
                <c:pt idx="25">
                  <c:v>0.79274255239855373</c:v>
                </c:pt>
                <c:pt idx="26">
                  <c:v>0.46510185791211733</c:v>
                </c:pt>
                <c:pt idx="27">
                  <c:v>0.68789861567257549</c:v>
                </c:pt>
                <c:pt idx="28">
                  <c:v>0.50319064937252045</c:v>
                </c:pt>
                <c:pt idx="29">
                  <c:v>0.53085914066442252</c:v>
                </c:pt>
                <c:pt idx="30">
                  <c:v>0.76342980588632225</c:v>
                </c:pt>
                <c:pt idx="31">
                  <c:v>0.6126043503578279</c:v>
                </c:pt>
                <c:pt idx="32">
                  <c:v>0.33314854935342342</c:v>
                </c:pt>
                <c:pt idx="33">
                  <c:v>0.70990763617534558</c:v>
                </c:pt>
                <c:pt idx="34">
                  <c:v>0.58287706342033463</c:v>
                </c:pt>
                <c:pt idx="35">
                  <c:v>0.66883350799743524</c:v>
                </c:pt>
                <c:pt idx="36">
                  <c:v>0.57914303827707847</c:v>
                </c:pt>
                <c:pt idx="37">
                  <c:v>0.61517260577963728</c:v>
                </c:pt>
                <c:pt idx="38">
                  <c:v>0.55996352011891981</c:v>
                </c:pt>
                <c:pt idx="39">
                  <c:v>0.68700087069053328</c:v>
                </c:pt>
                <c:pt idx="40">
                  <c:v>0.57635920628591619</c:v>
                </c:pt>
                <c:pt idx="41">
                  <c:v>0.52907302103996812</c:v>
                </c:pt>
                <c:pt idx="42">
                  <c:v>0.46544301548362604</c:v>
                </c:pt>
                <c:pt idx="43">
                  <c:v>0.79012550922090574</c:v>
                </c:pt>
                <c:pt idx="44">
                  <c:v>0.58676304969411708</c:v>
                </c:pt>
                <c:pt idx="45">
                  <c:v>0.28039327418766857</c:v>
                </c:pt>
                <c:pt idx="46">
                  <c:v>0.79684499313989487</c:v>
                </c:pt>
                <c:pt idx="47">
                  <c:v>0.58590079648563498</c:v>
                </c:pt>
                <c:pt idx="48">
                  <c:v>0.5073093971590904</c:v>
                </c:pt>
                <c:pt idx="49">
                  <c:v>0.84415745015412125</c:v>
                </c:pt>
                <c:pt idx="50">
                  <c:v>0.71304147989173727</c:v>
                </c:pt>
                <c:pt idx="51">
                  <c:v>0.88476960663765414</c:v>
                </c:pt>
                <c:pt idx="52">
                  <c:v>0.84330890375561574</c:v>
                </c:pt>
                <c:pt idx="53">
                  <c:v>0.78707327619088097</c:v>
                </c:pt>
                <c:pt idx="54">
                  <c:v>0.75008263895753613</c:v>
                </c:pt>
                <c:pt idx="55">
                  <c:v>0.85009671723988423</c:v>
                </c:pt>
                <c:pt idx="56">
                  <c:v>0.69137213688520227</c:v>
                </c:pt>
                <c:pt idx="57">
                  <c:v>0.72771568403664555</c:v>
                </c:pt>
                <c:pt idx="58">
                  <c:v>0.74785302859404124</c:v>
                </c:pt>
                <c:pt idx="59">
                  <c:v>0.76561710988875831</c:v>
                </c:pt>
                <c:pt idx="60">
                  <c:v>0.77355189011307368</c:v>
                </c:pt>
                <c:pt idx="61">
                  <c:v>0.85771991295183081</c:v>
                </c:pt>
                <c:pt idx="62">
                  <c:v>0.78994559543563658</c:v>
                </c:pt>
                <c:pt idx="63">
                  <c:v>0.69414563762459913</c:v>
                </c:pt>
                <c:pt idx="64">
                  <c:v>0.63492778158992247</c:v>
                </c:pt>
                <c:pt idx="65">
                  <c:v>0.7945149373003223</c:v>
                </c:pt>
                <c:pt idx="66">
                  <c:v>0.55330176892570115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A2-43F8-8392-A0803155C820}"/>
            </c:ext>
          </c:extLst>
        </c:ser>
        <c:ser>
          <c:idx val="2"/>
          <c:order val="2"/>
          <c:tx>
            <c:strRef>
              <c:f>'Orig data'!$AJ$4</c:f>
              <c:strCache>
                <c:ptCount val="1"/>
                <c:pt idx="0">
                  <c:v>rp5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data'!$AG$5:$AG$71</c:f>
              <c:numCache>
                <c:formatCode>#,##0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data'!$AJ$5:$AJ$71</c:f>
              <c:numCache>
                <c:formatCode>#,##0.00</c:formatCode>
                <c:ptCount val="67"/>
                <c:pt idx="0">
                  <c:v>4.7462270595750776E-2</c:v>
                </c:pt>
                <c:pt idx="1">
                  <c:v>9.65014949512146E-2</c:v>
                </c:pt>
                <c:pt idx="2">
                  <c:v>0.17183801284758715</c:v>
                </c:pt>
                <c:pt idx="3">
                  <c:v>0.13202260679115466</c:v>
                </c:pt>
                <c:pt idx="4">
                  <c:v>6.5337521340122037E-2</c:v>
                </c:pt>
                <c:pt idx="5">
                  <c:v>5.571172339446942E-2</c:v>
                </c:pt>
                <c:pt idx="6">
                  <c:v>8.4681703358028299E-2</c:v>
                </c:pt>
                <c:pt idx="7">
                  <c:v>0.13091343283582091</c:v>
                </c:pt>
                <c:pt idx="8">
                  <c:v>0.11763398517750241</c:v>
                </c:pt>
                <c:pt idx="9">
                  <c:v>4.9853485638083207E-2</c:v>
                </c:pt>
                <c:pt idx="10">
                  <c:v>0.16414410898544107</c:v>
                </c:pt>
                <c:pt idx="11">
                  <c:v>9.6333313748723906E-2</c:v>
                </c:pt>
                <c:pt idx="12">
                  <c:v>0.26508291361647901</c:v>
                </c:pt>
                <c:pt idx="13">
                  <c:v>6.8322899940049919E-2</c:v>
                </c:pt>
                <c:pt idx="14">
                  <c:v>9.6394641831823502E-2</c:v>
                </c:pt>
                <c:pt idx="15">
                  <c:v>5.7477940119789739E-2</c:v>
                </c:pt>
                <c:pt idx="16">
                  <c:v>0.23168623646578851</c:v>
                </c:pt>
                <c:pt idx="17">
                  <c:v>0.14037856829062992</c:v>
                </c:pt>
                <c:pt idx="18">
                  <c:v>5.1984224286146928E-2</c:v>
                </c:pt>
                <c:pt idx="19">
                  <c:v>5.2199742694034053E-2</c:v>
                </c:pt>
                <c:pt idx="20">
                  <c:v>0.16523592644503776</c:v>
                </c:pt>
                <c:pt idx="21">
                  <c:v>8.8076928468641014E-2</c:v>
                </c:pt>
                <c:pt idx="22">
                  <c:v>0.13892145733422961</c:v>
                </c:pt>
                <c:pt idx="23">
                  <c:v>3.2200914548861578E-2</c:v>
                </c:pt>
                <c:pt idx="24">
                  <c:v>0.14394386690503425</c:v>
                </c:pt>
                <c:pt idx="25">
                  <c:v>7.2686497878340792E-2</c:v>
                </c:pt>
                <c:pt idx="26">
                  <c:v>0.11218548255139382</c:v>
                </c:pt>
                <c:pt idx="27">
                  <c:v>7.4442199341882342E-2</c:v>
                </c:pt>
                <c:pt idx="28">
                  <c:v>0.10932286874077014</c:v>
                </c:pt>
                <c:pt idx="29">
                  <c:v>0.26552125165946816</c:v>
                </c:pt>
                <c:pt idx="30">
                  <c:v>0.10937582700322367</c:v>
                </c:pt>
                <c:pt idx="31">
                  <c:v>3.1070404618722382E-2</c:v>
                </c:pt>
                <c:pt idx="32">
                  <c:v>0.11947028746316296</c:v>
                </c:pt>
                <c:pt idx="33">
                  <c:v>0.12512477774901115</c:v>
                </c:pt>
                <c:pt idx="34">
                  <c:v>0.14153877856449629</c:v>
                </c:pt>
                <c:pt idx="35">
                  <c:v>0.10163710377144458</c:v>
                </c:pt>
                <c:pt idx="36">
                  <c:v>0.10326439008835288</c:v>
                </c:pt>
                <c:pt idx="37">
                  <c:v>9.7318689887710655E-2</c:v>
                </c:pt>
                <c:pt idx="38">
                  <c:v>0.14506554623123391</c:v>
                </c:pt>
                <c:pt idx="39">
                  <c:v>9.2009700811497147E-2</c:v>
                </c:pt>
                <c:pt idx="40">
                  <c:v>6.5019843009347614E-2</c:v>
                </c:pt>
                <c:pt idx="41">
                  <c:v>8.0102562442999514E-2</c:v>
                </c:pt>
                <c:pt idx="42">
                  <c:v>0.27837152384617897</c:v>
                </c:pt>
                <c:pt idx="43">
                  <c:v>9.978229141033261E-2</c:v>
                </c:pt>
                <c:pt idx="44">
                  <c:v>2.6046959912150204E-2</c:v>
                </c:pt>
                <c:pt idx="45">
                  <c:v>0.19323559577458937</c:v>
                </c:pt>
                <c:pt idx="46">
                  <c:v>0.10565991169883637</c:v>
                </c:pt>
                <c:pt idx="47">
                  <c:v>4.4264313218821953E-2</c:v>
                </c:pt>
                <c:pt idx="48">
                  <c:v>0.26462323975180158</c:v>
                </c:pt>
                <c:pt idx="49">
                  <c:v>0.13156806714780048</c:v>
                </c:pt>
                <c:pt idx="50">
                  <c:v>3.5762458624163697E-2</c:v>
                </c:pt>
                <c:pt idx="51">
                  <c:v>5.8089414790255478E-2</c:v>
                </c:pt>
                <c:pt idx="52">
                  <c:v>6.8884304436407348E-2</c:v>
                </c:pt>
                <c:pt idx="53">
                  <c:v>0.1299171723320135</c:v>
                </c:pt>
                <c:pt idx="54">
                  <c:v>8.3639500162732389E-2</c:v>
                </c:pt>
                <c:pt idx="55">
                  <c:v>0.10224706807986171</c:v>
                </c:pt>
                <c:pt idx="56">
                  <c:v>0.28362480400174672</c:v>
                </c:pt>
                <c:pt idx="57">
                  <c:v>0.25191611938721403</c:v>
                </c:pt>
                <c:pt idx="58">
                  <c:v>0.13740563278032419</c:v>
                </c:pt>
                <c:pt idx="59">
                  <c:v>0.19935240211341054</c:v>
                </c:pt>
                <c:pt idx="60">
                  <c:v>0.16767701140868754</c:v>
                </c:pt>
                <c:pt idx="61">
                  <c:v>5.860078775742314E-2</c:v>
                </c:pt>
                <c:pt idx="62">
                  <c:v>2.2103592837528305E-2</c:v>
                </c:pt>
                <c:pt idx="63">
                  <c:v>2.7177083704964376E-2</c:v>
                </c:pt>
                <c:pt idx="64">
                  <c:v>2.9323731221362306E-2</c:v>
                </c:pt>
                <c:pt idx="65">
                  <c:v>0.13116148281090118</c:v>
                </c:pt>
                <c:pt idx="66">
                  <c:v>0.24889893355179629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A2-43F8-8392-A0803155C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313023"/>
        <c:axId val="1724139151"/>
      </c:scatterChart>
      <c:valAx>
        <c:axId val="180331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139151"/>
        <c:crosses val="autoZero"/>
        <c:crossBetween val="midCat"/>
      </c:valAx>
      <c:valAx>
        <c:axId val="172413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31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recruitments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strRef>
              <c:f>'Orig data'!$AQ$4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'Orig data'!$AM$5:$AM$71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data'!$AQ$5:$AQ$71</c:f>
              <c:numCache>
                <c:formatCode>0</c:formatCode>
                <c:ptCount val="67"/>
                <c:pt idx="0">
                  <c:v>1588004.2817616006</c:v>
                </c:pt>
                <c:pt idx="1">
                  <c:v>704117.78022972948</c:v>
                </c:pt>
                <c:pt idx="2">
                  <c:v>891590.03465172788</c:v>
                </c:pt>
                <c:pt idx="3">
                  <c:v>2357482.9509012937</c:v>
                </c:pt>
                <c:pt idx="4">
                  <c:v>1972582.1304835961</c:v>
                </c:pt>
                <c:pt idx="5">
                  <c:v>3893556.7993881474</c:v>
                </c:pt>
                <c:pt idx="6">
                  <c:v>1361097.5745438717</c:v>
                </c:pt>
                <c:pt idx="7">
                  <c:v>1740855.3446654533</c:v>
                </c:pt>
                <c:pt idx="8">
                  <c:v>1361035.9068135831</c:v>
                </c:pt>
                <c:pt idx="9">
                  <c:v>1515848.1912039095</c:v>
                </c:pt>
                <c:pt idx="10">
                  <c:v>1208234.2898306244</c:v>
                </c:pt>
                <c:pt idx="11">
                  <c:v>1288257.5743649097</c:v>
                </c:pt>
                <c:pt idx="12">
                  <c:v>1228676.9680906096</c:v>
                </c:pt>
                <c:pt idx="13">
                  <c:v>1997668.7545022613</c:v>
                </c:pt>
                <c:pt idx="14">
                  <c:v>1920469.7056964771</c:v>
                </c:pt>
                <c:pt idx="15">
                  <c:v>1079334.4057550633</c:v>
                </c:pt>
                <c:pt idx="16">
                  <c:v>1060028.7885747431</c:v>
                </c:pt>
                <c:pt idx="17">
                  <c:v>1432366.9080714646</c:v>
                </c:pt>
                <c:pt idx="18">
                  <c:v>2344269.4689334072</c:v>
                </c:pt>
                <c:pt idx="19">
                  <c:v>1715960.2755196467</c:v>
                </c:pt>
                <c:pt idx="20">
                  <c:v>644142.40998537885</c:v>
                </c:pt>
                <c:pt idx="21">
                  <c:v>1362363.74188806</c:v>
                </c:pt>
                <c:pt idx="22">
                  <c:v>2193247.1040184707</c:v>
                </c:pt>
                <c:pt idx="23">
                  <c:v>1365564.5841835313</c:v>
                </c:pt>
                <c:pt idx="24">
                  <c:v>977117.17097683216</c:v>
                </c:pt>
                <c:pt idx="25">
                  <c:v>1313767.2367503841</c:v>
                </c:pt>
                <c:pt idx="26">
                  <c:v>747252.98154391372</c:v>
                </c:pt>
                <c:pt idx="27">
                  <c:v>1153040.154845272</c:v>
                </c:pt>
                <c:pt idx="28">
                  <c:v>556852.80452849716</c:v>
                </c:pt>
                <c:pt idx="29">
                  <c:v>1263935.5122008733</c:v>
                </c:pt>
                <c:pt idx="30">
                  <c:v>1244537.6698329684</c:v>
                </c:pt>
                <c:pt idx="31">
                  <c:v>2263381.0525508202</c:v>
                </c:pt>
                <c:pt idx="32">
                  <c:v>753790.59788953396</c:v>
                </c:pt>
                <c:pt idx="33">
                  <c:v>763068.09150634846</c:v>
                </c:pt>
                <c:pt idx="34">
                  <c:v>1048690.6999047485</c:v>
                </c:pt>
                <c:pt idx="35">
                  <c:v>1413765.3359286152</c:v>
                </c:pt>
                <c:pt idx="36">
                  <c:v>1009958.913116236</c:v>
                </c:pt>
                <c:pt idx="37">
                  <c:v>1378448.3982147302</c:v>
                </c:pt>
                <c:pt idx="38">
                  <c:v>1266125.0800396826</c:v>
                </c:pt>
                <c:pt idx="39">
                  <c:v>1809358.9864304212</c:v>
                </c:pt>
                <c:pt idx="40">
                  <c:v>1364407.8867301631</c:v>
                </c:pt>
                <c:pt idx="41">
                  <c:v>1139885.7763051747</c:v>
                </c:pt>
                <c:pt idx="42">
                  <c:v>1153570.8541273072</c:v>
                </c:pt>
                <c:pt idx="43">
                  <c:v>2747950.0154556329</c:v>
                </c:pt>
                <c:pt idx="44">
                  <c:v>2399033.3598320927</c:v>
                </c:pt>
                <c:pt idx="45">
                  <c:v>1120313.3055799743</c:v>
                </c:pt>
                <c:pt idx="46">
                  <c:v>1626703.7165041217</c:v>
                </c:pt>
                <c:pt idx="47">
                  <c:v>4152729.6293487018</c:v>
                </c:pt>
                <c:pt idx="48">
                  <c:v>4277268.5811405908</c:v>
                </c:pt>
                <c:pt idx="49">
                  <c:v>1135443.6612575985</c:v>
                </c:pt>
                <c:pt idx="50">
                  <c:v>2461202.2184002786</c:v>
                </c:pt>
                <c:pt idx="51">
                  <c:v>3013338.0480219838</c:v>
                </c:pt>
                <c:pt idx="52">
                  <c:v>1269754.274798159</c:v>
                </c:pt>
                <c:pt idx="53">
                  <c:v>1470278.9310518673</c:v>
                </c:pt>
                <c:pt idx="54">
                  <c:v>772277.05751057167</c:v>
                </c:pt>
                <c:pt idx="55">
                  <c:v>661423.84387079149</c:v>
                </c:pt>
                <c:pt idx="56">
                  <c:v>1560624.4634793997</c:v>
                </c:pt>
                <c:pt idx="57">
                  <c:v>1125040.7869603543</c:v>
                </c:pt>
                <c:pt idx="58">
                  <c:v>1419134.2758012253</c:v>
                </c:pt>
                <c:pt idx="59">
                  <c:v>1022133.7978614962</c:v>
                </c:pt>
                <c:pt idx="60">
                  <c:v>835438.07473954011</c:v>
                </c:pt>
                <c:pt idx="61">
                  <c:v>2354304.3536504484</c:v>
                </c:pt>
                <c:pt idx="62">
                  <c:v>637529.69315827033</c:v>
                </c:pt>
                <c:pt idx="63">
                  <c:v>605345.18964872905</c:v>
                </c:pt>
                <c:pt idx="64">
                  <c:v>279232.88897246646</c:v>
                </c:pt>
                <c:pt idx="65">
                  <c:v>693544.25922474882</c:v>
                </c:pt>
                <c:pt idx="66">
                  <c:v>334259.09303860296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6F1-4699-BB12-EB95926AB8B5}"/>
            </c:ext>
          </c:extLst>
        </c:ser>
        <c:ser>
          <c:idx val="3"/>
          <c:order val="1"/>
          <c:tx>
            <c:strRef>
              <c:f>'Orig data'!$I$4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'Orig data'!$AM$5:$AM$71</c:f>
              <c:numCache>
                <c:formatCode>0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data'!$I$5:$I$71</c:f>
              <c:numCache>
                <c:formatCode>#,##0</c:formatCode>
                <c:ptCount val="67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6F1-4699-BB12-EB95926AB8B5}"/>
            </c:ext>
          </c:extLst>
        </c:ser>
        <c:ser>
          <c:idx val="0"/>
          <c:order val="2"/>
          <c:tx>
            <c:strRef>
              <c:f>'Orig data'!$AQ$4</c:f>
              <c:strCache>
                <c:ptCount val="1"/>
                <c:pt idx="0">
                  <c:v>retro Recruits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data'!$AQ$5:$AQ$76</c:f>
              <c:numCache>
                <c:formatCode>0</c:formatCode>
                <c:ptCount val="72"/>
                <c:pt idx="0">
                  <c:v>1588004.2817616006</c:v>
                </c:pt>
                <c:pt idx="1">
                  <c:v>704117.78022972948</c:v>
                </c:pt>
                <c:pt idx="2">
                  <c:v>891590.03465172788</c:v>
                </c:pt>
                <c:pt idx="3">
                  <c:v>2357482.9509012937</c:v>
                </c:pt>
                <c:pt idx="4">
                  <c:v>1972582.1304835961</c:v>
                </c:pt>
                <c:pt idx="5">
                  <c:v>3893556.7993881474</c:v>
                </c:pt>
                <c:pt idx="6">
                  <c:v>1361097.5745438717</c:v>
                </c:pt>
                <c:pt idx="7">
                  <c:v>1740855.3446654533</c:v>
                </c:pt>
                <c:pt idx="8">
                  <c:v>1361035.9068135831</c:v>
                </c:pt>
                <c:pt idx="9">
                  <c:v>1515848.1912039095</c:v>
                </c:pt>
                <c:pt idx="10">
                  <c:v>1208234.2898306244</c:v>
                </c:pt>
                <c:pt idx="11">
                  <c:v>1288257.5743649097</c:v>
                </c:pt>
                <c:pt idx="12">
                  <c:v>1228676.9680906096</c:v>
                </c:pt>
                <c:pt idx="13">
                  <c:v>1997668.7545022613</c:v>
                </c:pt>
                <c:pt idx="14">
                  <c:v>1920469.7056964771</c:v>
                </c:pt>
                <c:pt idx="15">
                  <c:v>1079334.4057550633</c:v>
                </c:pt>
                <c:pt idx="16">
                  <c:v>1060028.7885747431</c:v>
                </c:pt>
                <c:pt idx="17">
                  <c:v>1432366.9080714646</c:v>
                </c:pt>
                <c:pt idx="18">
                  <c:v>2344269.4689334072</c:v>
                </c:pt>
                <c:pt idx="19">
                  <c:v>1715960.2755196467</c:v>
                </c:pt>
                <c:pt idx="20">
                  <c:v>644142.40998537885</c:v>
                </c:pt>
                <c:pt idx="21">
                  <c:v>1362363.74188806</c:v>
                </c:pt>
                <c:pt idx="22">
                  <c:v>2193247.1040184707</c:v>
                </c:pt>
                <c:pt idx="23">
                  <c:v>1365564.5841835313</c:v>
                </c:pt>
                <c:pt idx="24">
                  <c:v>977117.17097683216</c:v>
                </c:pt>
                <c:pt idx="25">
                  <c:v>1313767.2367503841</c:v>
                </c:pt>
                <c:pt idx="26">
                  <c:v>747252.98154391372</c:v>
                </c:pt>
                <c:pt idx="27">
                  <c:v>1153040.154845272</c:v>
                </c:pt>
                <c:pt idx="28">
                  <c:v>556852.80452849716</c:v>
                </c:pt>
                <c:pt idx="29">
                  <c:v>1263935.5122008733</c:v>
                </c:pt>
                <c:pt idx="30">
                  <c:v>1244537.6698329684</c:v>
                </c:pt>
                <c:pt idx="31">
                  <c:v>2263381.0525508202</c:v>
                </c:pt>
                <c:pt idx="32">
                  <c:v>753790.59788953396</c:v>
                </c:pt>
                <c:pt idx="33">
                  <c:v>763068.09150634846</c:v>
                </c:pt>
                <c:pt idx="34">
                  <c:v>1048690.6999047485</c:v>
                </c:pt>
                <c:pt idx="35">
                  <c:v>1413765.3359286152</c:v>
                </c:pt>
                <c:pt idx="36">
                  <c:v>1009958.913116236</c:v>
                </c:pt>
                <c:pt idx="37">
                  <c:v>1378448.3982147302</c:v>
                </c:pt>
                <c:pt idx="38">
                  <c:v>1266125.0800396826</c:v>
                </c:pt>
                <c:pt idx="39">
                  <c:v>1809358.9864304212</c:v>
                </c:pt>
                <c:pt idx="40">
                  <c:v>1364407.8867301631</c:v>
                </c:pt>
                <c:pt idx="41">
                  <c:v>1139885.7763051747</c:v>
                </c:pt>
                <c:pt idx="42">
                  <c:v>1153570.8541273072</c:v>
                </c:pt>
                <c:pt idx="43">
                  <c:v>2747950.0154556329</c:v>
                </c:pt>
                <c:pt idx="44">
                  <c:v>2399033.3598320927</c:v>
                </c:pt>
                <c:pt idx="45">
                  <c:v>1120313.3055799743</c:v>
                </c:pt>
                <c:pt idx="46">
                  <c:v>1626703.7165041217</c:v>
                </c:pt>
                <c:pt idx="47">
                  <c:v>4152729.6293487018</c:v>
                </c:pt>
                <c:pt idx="48">
                  <c:v>4277268.5811405908</c:v>
                </c:pt>
                <c:pt idx="49">
                  <c:v>1135443.6612575985</c:v>
                </c:pt>
                <c:pt idx="50">
                  <c:v>2461202.2184002786</c:v>
                </c:pt>
                <c:pt idx="51">
                  <c:v>3013338.0480219838</c:v>
                </c:pt>
                <c:pt idx="52">
                  <c:v>1269754.274798159</c:v>
                </c:pt>
                <c:pt idx="53">
                  <c:v>1470278.9310518673</c:v>
                </c:pt>
                <c:pt idx="54">
                  <c:v>772277.05751057167</c:v>
                </c:pt>
                <c:pt idx="55">
                  <c:v>661423.84387079149</c:v>
                </c:pt>
                <c:pt idx="56">
                  <c:v>1560624.4634793997</c:v>
                </c:pt>
                <c:pt idx="57">
                  <c:v>1125040.7869603543</c:v>
                </c:pt>
                <c:pt idx="58">
                  <c:v>1419134.2758012253</c:v>
                </c:pt>
                <c:pt idx="59">
                  <c:v>1022133.7978614962</c:v>
                </c:pt>
                <c:pt idx="60">
                  <c:v>835438.07473954011</c:v>
                </c:pt>
                <c:pt idx="61">
                  <c:v>2354304.3536504484</c:v>
                </c:pt>
                <c:pt idx="62">
                  <c:v>637529.69315827033</c:v>
                </c:pt>
                <c:pt idx="63">
                  <c:v>605345.18964872905</c:v>
                </c:pt>
                <c:pt idx="64">
                  <c:v>279232.88897246646</c:v>
                </c:pt>
                <c:pt idx="65">
                  <c:v>693544.25922474882</c:v>
                </c:pt>
                <c:pt idx="66">
                  <c:v>334259.09303860296</c:v>
                </c:pt>
                <c:pt idx="67">
                  <c:v>884593.53386117949</c:v>
                </c:pt>
                <c:pt idx="68">
                  <c:v>136818.96167841367</c:v>
                </c:pt>
                <c:pt idx="69">
                  <c:v>372650.75500182679</c:v>
                </c:pt>
                <c:pt idx="70">
                  <c:v>272372.97321211884</c:v>
                </c:pt>
                <c:pt idx="71">
                  <c:v>501278.48346627975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6F1-4699-BB12-EB95926AB8B5}"/>
            </c:ext>
          </c:extLst>
        </c:ser>
        <c:ser>
          <c:idx val="1"/>
          <c:order val="3"/>
          <c:tx>
            <c:strRef>
              <c:f>'Orig data'!$I$4</c:f>
              <c:strCache>
                <c:ptCount val="1"/>
                <c:pt idx="0">
                  <c:v>Recruits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data'!$I$5:$I$76</c:f>
              <c:numCache>
                <c:formatCode>#,##0</c:formatCode>
                <c:ptCount val="72"/>
                <c:pt idx="0">
                  <c:v>595477.19999999995</c:v>
                </c:pt>
                <c:pt idx="1">
                  <c:v>319542.19999999995</c:v>
                </c:pt>
                <c:pt idx="2">
                  <c:v>325788.79999999999</c:v>
                </c:pt>
                <c:pt idx="3">
                  <c:v>493568.49999999994</c:v>
                </c:pt>
                <c:pt idx="4">
                  <c:v>597993.30000000005</c:v>
                </c:pt>
                <c:pt idx="5">
                  <c:v>455279.4</c:v>
                </c:pt>
                <c:pt idx="6">
                  <c:v>294324.5</c:v>
                </c:pt>
                <c:pt idx="7">
                  <c:v>259624.99999999997</c:v>
                </c:pt>
                <c:pt idx="8">
                  <c:v>315857.69999999995</c:v>
                </c:pt>
                <c:pt idx="9">
                  <c:v>341946</c:v>
                </c:pt>
                <c:pt idx="10">
                  <c:v>255725.9</c:v>
                </c:pt>
                <c:pt idx="11">
                  <c:v>335297.3</c:v>
                </c:pt>
                <c:pt idx="12">
                  <c:v>435055.2</c:v>
                </c:pt>
                <c:pt idx="13">
                  <c:v>846704.4</c:v>
                </c:pt>
                <c:pt idx="14">
                  <c:v>767008.39999999991</c:v>
                </c:pt>
                <c:pt idx="15">
                  <c:v>654797.30000000005</c:v>
                </c:pt>
                <c:pt idx="16">
                  <c:v>582606.9</c:v>
                </c:pt>
                <c:pt idx="17">
                  <c:v>1073497.2</c:v>
                </c:pt>
                <c:pt idx="18">
                  <c:v>1380907.4</c:v>
                </c:pt>
                <c:pt idx="19">
                  <c:v>931420.29999999993</c:v>
                </c:pt>
                <c:pt idx="20">
                  <c:v>607447.80000000005</c:v>
                </c:pt>
                <c:pt idx="21">
                  <c:v>820346.49999999988</c:v>
                </c:pt>
                <c:pt idx="22">
                  <c:v>853160.5</c:v>
                </c:pt>
                <c:pt idx="23">
                  <c:v>958767.79999999981</c:v>
                </c:pt>
                <c:pt idx="24">
                  <c:v>631741.4</c:v>
                </c:pt>
                <c:pt idx="25">
                  <c:v>688258.49999999988</c:v>
                </c:pt>
                <c:pt idx="26">
                  <c:v>645369.59999999998</c:v>
                </c:pt>
                <c:pt idx="27">
                  <c:v>631497.99999999988</c:v>
                </c:pt>
                <c:pt idx="28">
                  <c:v>560544.19999999995</c:v>
                </c:pt>
                <c:pt idx="29">
                  <c:v>692616.5</c:v>
                </c:pt>
                <c:pt idx="30">
                  <c:v>1445354.0999999999</c:v>
                </c:pt>
                <c:pt idx="31">
                  <c:v>1548341.6</c:v>
                </c:pt>
                <c:pt idx="32">
                  <c:v>866417.1</c:v>
                </c:pt>
                <c:pt idx="33">
                  <c:v>874855.49999999988</c:v>
                </c:pt>
                <c:pt idx="34">
                  <c:v>1126818.3999999999</c:v>
                </c:pt>
                <c:pt idx="35">
                  <c:v>1430746.2</c:v>
                </c:pt>
                <c:pt idx="36">
                  <c:v>1506538.7</c:v>
                </c:pt>
                <c:pt idx="37">
                  <c:v>1517347.8</c:v>
                </c:pt>
                <c:pt idx="38">
                  <c:v>1582242</c:v>
                </c:pt>
                <c:pt idx="39">
                  <c:v>2004615.8</c:v>
                </c:pt>
                <c:pt idx="40">
                  <c:v>1920095.2946191225</c:v>
                </c:pt>
                <c:pt idx="41">
                  <c:v>1415807.9091659964</c:v>
                </c:pt>
                <c:pt idx="42">
                  <c:v>1461959.9522844465</c:v>
                </c:pt>
                <c:pt idx="43">
                  <c:v>3090405.3720841995</c:v>
                </c:pt>
                <c:pt idx="44">
                  <c:v>3153242.8250972875</c:v>
                </c:pt>
                <c:pt idx="45">
                  <c:v>1757511.260493631</c:v>
                </c:pt>
                <c:pt idx="46">
                  <c:v>2557187.9481640672</c:v>
                </c:pt>
                <c:pt idx="47">
                  <c:v>2766941.9917605631</c:v>
                </c:pt>
                <c:pt idx="48">
                  <c:v>3598370.8542432808</c:v>
                </c:pt>
                <c:pt idx="49">
                  <c:v>2282485.9433021657</c:v>
                </c:pt>
                <c:pt idx="50">
                  <c:v>1868662.078775011</c:v>
                </c:pt>
                <c:pt idx="51">
                  <c:v>2826467.1680969703</c:v>
                </c:pt>
                <c:pt idx="52">
                  <c:v>1321874.9421960777</c:v>
                </c:pt>
                <c:pt idx="53">
                  <c:v>1274857.4320357505</c:v>
                </c:pt>
                <c:pt idx="54">
                  <c:v>826792.95575855998</c:v>
                </c:pt>
                <c:pt idx="55">
                  <c:v>653276.45190826431</c:v>
                </c:pt>
                <c:pt idx="56">
                  <c:v>1919087.3845169125</c:v>
                </c:pt>
                <c:pt idx="57">
                  <c:v>1341575.4990023808</c:v>
                </c:pt>
                <c:pt idx="58">
                  <c:v>1605367.0756795239</c:v>
                </c:pt>
                <c:pt idx="59">
                  <c:v>1596985.3916231559</c:v>
                </c:pt>
                <c:pt idx="60">
                  <c:v>1137157.6669372031</c:v>
                </c:pt>
                <c:pt idx="61">
                  <c:v>3027578.7899983842</c:v>
                </c:pt>
                <c:pt idx="62">
                  <c:v>805154.93228744587</c:v>
                </c:pt>
                <c:pt idx="63">
                  <c:v>920933.05007688294</c:v>
                </c:pt>
                <c:pt idx="64">
                  <c:v>390127.06417119328</c:v>
                </c:pt>
                <c:pt idx="65">
                  <c:v>718625.96095230442</c:v>
                </c:pt>
                <c:pt idx="66">
                  <c:v>465319.3902733142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6F1-4699-BB12-EB95926AB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recruits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data'!$AN$4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data'!$AN$5:$AN$76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897889.17328794138</c:v>
                </c:pt>
                <c:pt idx="5" formatCode="#,##0.00">
                  <c:v>681075.50657414389</c:v>
                </c:pt>
                <c:pt idx="6" formatCode="#,##0.00">
                  <c:v>1016148.7580093944</c:v>
                </c:pt>
                <c:pt idx="7" formatCode="#,##0.00">
                  <c:v>2311598.2302927156</c:v>
                </c:pt>
                <c:pt idx="8" formatCode="#,##0.00">
                  <c:v>3272736.8981407434</c:v>
                </c:pt>
                <c:pt idx="9" formatCode="#,##0.00">
                  <c:v>2675773.7473040158</c:v>
                </c:pt>
                <c:pt idx="10" formatCode="#,##0.00">
                  <c:v>1430924.9647207004</c:v>
                </c:pt>
                <c:pt idx="11" formatCode="#,##0.00">
                  <c:v>1440181.1736940332</c:v>
                </c:pt>
                <c:pt idx="12" formatCode="#,##0.00">
                  <c:v>1558652.9218023228</c:v>
                </c:pt>
                <c:pt idx="13" formatCode="#,##0.00">
                  <c:v>1675019.6141193169</c:v>
                </c:pt>
                <c:pt idx="14" formatCode="#,##0.00">
                  <c:v>755323.14685745735</c:v>
                </c:pt>
                <c:pt idx="15" formatCode="#,##0.00">
                  <c:v>1521630.344834896</c:v>
                </c:pt>
                <c:pt idx="16" formatCode="#,##0.00">
                  <c:v>900057.28804959776</c:v>
                </c:pt>
                <c:pt idx="17" formatCode="#,##0.00">
                  <c:v>2824533.5714316177</c:v>
                </c:pt>
                <c:pt idx="18" formatCode="#,##0.00">
                  <c:v>1291627.8950945286</c:v>
                </c:pt>
                <c:pt idx="19" formatCode="#,##0.00">
                  <c:v>1319919.5999012589</c:v>
                </c:pt>
                <c:pt idx="20" formatCode="#,##0.00">
                  <c:v>623559.71700176608</c:v>
                </c:pt>
                <c:pt idx="21" formatCode="#,##0.00">
                  <c:v>2013681.0422069966</c:v>
                </c:pt>
                <c:pt idx="22" formatCode="#,##0.00">
                  <c:v>2568913.6653468842</c:v>
                </c:pt>
                <c:pt idx="23" formatCode="#,##0.00">
                  <c:v>1143734.0408573647</c:v>
                </c:pt>
                <c:pt idx="24" formatCode="#,##0.00">
                  <c:v>641145.97195014218</c:v>
                </c:pt>
                <c:pt idx="25" formatCode="#,##0.00">
                  <c:v>1880664.7644932796</c:v>
                </c:pt>
                <c:pt idx="26" formatCode="#,##0.00">
                  <c:v>1543191.2271260172</c:v>
                </c:pt>
                <c:pt idx="27" formatCode="#,##0.00">
                  <c:v>1867507.6005110242</c:v>
                </c:pt>
                <c:pt idx="28" formatCode="#,##0.00">
                  <c:v>507277.6095411299</c:v>
                </c:pt>
                <c:pt idx="29" formatCode="#,##0.00">
                  <c:v>1498002.5117038058</c:v>
                </c:pt>
                <c:pt idx="30" formatCode="#,##0.00">
                  <c:v>717072.47296926472</c:v>
                </c:pt>
                <c:pt idx="31" formatCode="#,##0.00">
                  <c:v>1092778.5968109213</c:v>
                </c:pt>
                <c:pt idx="32" formatCode="#,##0.00">
                  <c:v>623400.02249403449</c:v>
                </c:pt>
                <c:pt idx="33" formatCode="#,##0.00">
                  <c:v>890146.64717912464</c:v>
                </c:pt>
                <c:pt idx="34" formatCode="#,##0.00">
                  <c:v>2092218.6990468297</c:v>
                </c:pt>
                <c:pt idx="35" formatCode="#,##0.00">
                  <c:v>1935290.1904542518</c:v>
                </c:pt>
                <c:pt idx="36" formatCode="#,##0.00">
                  <c:v>447329.91037940211</c:v>
                </c:pt>
                <c:pt idx="37" formatCode="#,##0.00">
                  <c:v>920765.9880505848</c:v>
                </c:pt>
                <c:pt idx="38" formatCode="#,##0.00">
                  <c:v>1031237.1736118485</c:v>
                </c:pt>
                <c:pt idx="39" formatCode="#,##0.00">
                  <c:v>1414759.4783326122</c:v>
                </c:pt>
                <c:pt idx="40" formatCode="#,##0.00">
                  <c:v>1124917.6005935373</c:v>
                </c:pt>
                <c:pt idx="41" formatCode="#,##0.00">
                  <c:v>1325746.5812165581</c:v>
                </c:pt>
                <c:pt idx="42" formatCode="#,##0.00">
                  <c:v>1242981.8572808646</c:v>
                </c:pt>
                <c:pt idx="43" formatCode="#,##0.00">
                  <c:v>1916007.5788906724</c:v>
                </c:pt>
                <c:pt idx="44" formatCode="#,##0.00">
                  <c:v>1398362.8190686321</c:v>
                </c:pt>
                <c:pt idx="45" formatCode="#,##0.00">
                  <c:v>987324.47858649364</c:v>
                </c:pt>
                <c:pt idx="46" formatCode="#,##0.00">
                  <c:v>930757.12945034099</c:v>
                </c:pt>
                <c:pt idx="47" formatCode="#,##0.00">
                  <c:v>3421228.3853510665</c:v>
                </c:pt>
                <c:pt idx="48" formatCode="#,##0.00">
                  <c:v>2271561.4604106741</c:v>
                </c:pt>
                <c:pt idx="49" formatCode="#,##0.00">
                  <c:v>533356.44796386722</c:v>
                </c:pt>
                <c:pt idx="50" formatCode="#,##0.00">
                  <c:v>3041829.9626251995</c:v>
                </c:pt>
                <c:pt idx="51" formatCode="#,##0.00">
                  <c:v>3568471.689081165</c:v>
                </c:pt>
                <c:pt idx="52" formatCode="#,##0.00">
                  <c:v>2381278.5779223652</c:v>
                </c:pt>
                <c:pt idx="53" formatCode="#,##0.00">
                  <c:v>2708602.1988889668</c:v>
                </c:pt>
                <c:pt idx="54" formatCode="#,##0.00">
                  <c:v>2076512.4848203345</c:v>
                </c:pt>
                <c:pt idx="55" formatCode="#,##0.00">
                  <c:v>2865621.6111704172</c:v>
                </c:pt>
                <c:pt idx="56" formatCode="#,##0.00">
                  <c:v>1365431.3895031495</c:v>
                </c:pt>
                <c:pt idx="57" formatCode="#,##0.00">
                  <c:v>1373095.9723313968</c:v>
                </c:pt>
                <c:pt idx="58" formatCode="#,##0.00">
                  <c:v>801807.05126362969</c:v>
                </c:pt>
                <c:pt idx="59" formatCode="#,##0.00">
                  <c:v>655417.52139408537</c:v>
                </c:pt>
                <c:pt idx="60" formatCode="#,##0.00">
                  <c:v>1169515.9708899597</c:v>
                </c:pt>
                <c:pt idx="61" formatCode="#,##0.00">
                  <c:v>1421727.7759736527</c:v>
                </c:pt>
                <c:pt idx="62" formatCode="#,##0.00">
                  <c:v>1376651.3459380791</c:v>
                </c:pt>
                <c:pt idx="63" formatCode="#,##0.00">
                  <c:v>1025020.2281463571</c:v>
                </c:pt>
                <c:pt idx="64" formatCode="#,##0.00">
                  <c:v>1045918.9361377022</c:v>
                </c:pt>
                <c:pt idx="65" formatCode="#,##0.00">
                  <c:v>2279241.7081935899</c:v>
                </c:pt>
                <c:pt idx="66" formatCode="#,##0.00">
                  <c:v>810273.81292200275</c:v>
                </c:pt>
                <c:pt idx="67" formatCode="#,##0.00">
                  <c:v>528041.43945694575</c:v>
                </c:pt>
                <c:pt idx="68" formatCode="#,##0.00">
                  <c:v>245290.92778860722</c:v>
                </c:pt>
                <c:pt idx="69" formatCode="#,##0.00">
                  <c:v>625335.63761088741</c:v>
                </c:pt>
                <c:pt idx="70" formatCode="#,##0.00">
                  <c:v>450884.42048335494</c:v>
                </c:pt>
                <c:pt idx="71" formatCode="#,##0.00">
                  <c:v>599706.59336067515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B2-411B-BC75-6B9ADB8CDFFF}"/>
            </c:ext>
          </c:extLst>
        </c:ser>
        <c:ser>
          <c:idx val="1"/>
          <c:order val="1"/>
          <c:tx>
            <c:strRef>
              <c:f>'Orig data'!$S$4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data'!$S$5:$S$76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B2-411B-BC75-6B9ADB8CD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Yield vs retro 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data'!$AU$7:$AU$21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</c:numCache>
            </c:numRef>
          </c:xVal>
          <c:yVal>
            <c:numRef>
              <c:f>'Orig data'!$AV$7:$AV$21</c:f>
              <c:numCache>
                <c:formatCode>General</c:formatCode>
                <c:ptCount val="15"/>
                <c:pt idx="0">
                  <c:v>6404262.3421115242</c:v>
                </c:pt>
                <c:pt idx="1">
                  <c:v>12808817.638219269</c:v>
                </c:pt>
                <c:pt idx="2">
                  <c:v>19166297.41746974</c:v>
                </c:pt>
                <c:pt idx="3">
                  <c:v>25410623.992367096</c:v>
                </c:pt>
                <c:pt idx="4">
                  <c:v>31449194.814267121</c:v>
                </c:pt>
                <c:pt idx="5">
                  <c:v>37151336.513850681</c:v>
                </c:pt>
                <c:pt idx="6">
                  <c:v>42330916.92697984</c:v>
                </c:pt>
                <c:pt idx="7">
                  <c:v>46719559.953491509</c:v>
                </c:pt>
                <c:pt idx="8">
                  <c:v>49924456.587178439</c:v>
                </c:pt>
                <c:pt idx="9">
                  <c:v>51361534.879448593</c:v>
                </c:pt>
                <c:pt idx="10">
                  <c:v>50157605.795413107</c:v>
                </c:pt>
                <c:pt idx="11">
                  <c:v>45080596.474375181</c:v>
                </c:pt>
                <c:pt idx="12">
                  <c:v>35049887.793423325</c:v>
                </c:pt>
                <c:pt idx="13">
                  <c:v>22241593.081230454</c:v>
                </c:pt>
                <c:pt idx="14">
                  <c:v>13351958.919192033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54-467F-BC5C-F25826AF8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3241120"/>
        <c:axId val="1983803568"/>
      </c:scatterChart>
      <c:valAx>
        <c:axId val="198324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803568"/>
        <c:crosses val="autoZero"/>
        <c:crossBetween val="midCat"/>
      </c:valAx>
      <c:valAx>
        <c:axId val="198380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1951-2022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41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and historical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data'!$AN$4</c:f>
              <c:strCache>
                <c:ptCount val="1"/>
                <c:pt idx="0">
                  <c:v>retro run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data'!$AN$5:$AN$76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 formatCode="#,##0.00">
                  <c:v>897889.17328794138</c:v>
                </c:pt>
                <c:pt idx="5" formatCode="#,##0.00">
                  <c:v>681075.50657414389</c:v>
                </c:pt>
                <c:pt idx="6" formatCode="#,##0.00">
                  <c:v>1016148.7580093944</c:v>
                </c:pt>
                <c:pt idx="7" formatCode="#,##0.00">
                  <c:v>2311598.2302927156</c:v>
                </c:pt>
                <c:pt idx="8" formatCode="#,##0.00">
                  <c:v>3272736.8981407434</c:v>
                </c:pt>
                <c:pt idx="9" formatCode="#,##0.00">
                  <c:v>2675773.7473040158</c:v>
                </c:pt>
                <c:pt idx="10" formatCode="#,##0.00">
                  <c:v>1430924.9647207004</c:v>
                </c:pt>
                <c:pt idx="11" formatCode="#,##0.00">
                  <c:v>1440181.1736940332</c:v>
                </c:pt>
                <c:pt idx="12" formatCode="#,##0.00">
                  <c:v>1558652.9218023228</c:v>
                </c:pt>
                <c:pt idx="13" formatCode="#,##0.00">
                  <c:v>1675019.6141193169</c:v>
                </c:pt>
                <c:pt idx="14" formatCode="#,##0.00">
                  <c:v>755323.14685745735</c:v>
                </c:pt>
                <c:pt idx="15" formatCode="#,##0.00">
                  <c:v>1521630.344834896</c:v>
                </c:pt>
                <c:pt idx="16" formatCode="#,##0.00">
                  <c:v>900057.28804959776</c:v>
                </c:pt>
                <c:pt idx="17" formatCode="#,##0.00">
                  <c:v>2824533.5714316177</c:v>
                </c:pt>
                <c:pt idx="18" formatCode="#,##0.00">
                  <c:v>1291627.8950945286</c:v>
                </c:pt>
                <c:pt idx="19" formatCode="#,##0.00">
                  <c:v>1319919.5999012589</c:v>
                </c:pt>
                <c:pt idx="20" formatCode="#,##0.00">
                  <c:v>623559.71700176608</c:v>
                </c:pt>
                <c:pt idx="21" formatCode="#,##0.00">
                  <c:v>2013681.0422069966</c:v>
                </c:pt>
                <c:pt idx="22" formatCode="#,##0.00">
                  <c:v>2568913.6653468842</c:v>
                </c:pt>
                <c:pt idx="23" formatCode="#,##0.00">
                  <c:v>1143734.0408573647</c:v>
                </c:pt>
                <c:pt idx="24" formatCode="#,##0.00">
                  <c:v>641145.97195014218</c:v>
                </c:pt>
                <c:pt idx="25" formatCode="#,##0.00">
                  <c:v>1880664.7644932796</c:v>
                </c:pt>
                <c:pt idx="26" formatCode="#,##0.00">
                  <c:v>1543191.2271260172</c:v>
                </c:pt>
                <c:pt idx="27" formatCode="#,##0.00">
                  <c:v>1867507.6005110242</c:v>
                </c:pt>
                <c:pt idx="28" formatCode="#,##0.00">
                  <c:v>507277.6095411299</c:v>
                </c:pt>
                <c:pt idx="29" formatCode="#,##0.00">
                  <c:v>1498002.5117038058</c:v>
                </c:pt>
                <c:pt idx="30" formatCode="#,##0.00">
                  <c:v>717072.47296926472</c:v>
                </c:pt>
                <c:pt idx="31" formatCode="#,##0.00">
                  <c:v>1092778.5968109213</c:v>
                </c:pt>
                <c:pt idx="32" formatCode="#,##0.00">
                  <c:v>623400.02249403449</c:v>
                </c:pt>
                <c:pt idx="33" formatCode="#,##0.00">
                  <c:v>890146.64717912464</c:v>
                </c:pt>
                <c:pt idx="34" formatCode="#,##0.00">
                  <c:v>2092218.6990468297</c:v>
                </c:pt>
                <c:pt idx="35" formatCode="#,##0.00">
                  <c:v>1935290.1904542518</c:v>
                </c:pt>
                <c:pt idx="36" formatCode="#,##0.00">
                  <c:v>447329.91037940211</c:v>
                </c:pt>
                <c:pt idx="37" formatCode="#,##0.00">
                  <c:v>920765.9880505848</c:v>
                </c:pt>
                <c:pt idx="38" formatCode="#,##0.00">
                  <c:v>1031237.1736118485</c:v>
                </c:pt>
                <c:pt idx="39" formatCode="#,##0.00">
                  <c:v>1414759.4783326122</c:v>
                </c:pt>
                <c:pt idx="40" formatCode="#,##0.00">
                  <c:v>1124917.6005935373</c:v>
                </c:pt>
                <c:pt idx="41" formatCode="#,##0.00">
                  <c:v>1325746.5812165581</c:v>
                </c:pt>
                <c:pt idx="42" formatCode="#,##0.00">
                  <c:v>1242981.8572808646</c:v>
                </c:pt>
                <c:pt idx="43" formatCode="#,##0.00">
                  <c:v>1916007.5788906724</c:v>
                </c:pt>
                <c:pt idx="44" formatCode="#,##0.00">
                  <c:v>1398362.8190686321</c:v>
                </c:pt>
                <c:pt idx="45" formatCode="#,##0.00">
                  <c:v>987324.47858649364</c:v>
                </c:pt>
                <c:pt idx="46" formatCode="#,##0.00">
                  <c:v>930757.12945034099</c:v>
                </c:pt>
                <c:pt idx="47" formatCode="#,##0.00">
                  <c:v>3421228.3853510665</c:v>
                </c:pt>
                <c:pt idx="48" formatCode="#,##0.00">
                  <c:v>2271561.4604106741</c:v>
                </c:pt>
                <c:pt idx="49" formatCode="#,##0.00">
                  <c:v>533356.44796386722</c:v>
                </c:pt>
                <c:pt idx="50" formatCode="#,##0.00">
                  <c:v>3041829.9626251995</c:v>
                </c:pt>
                <c:pt idx="51" formatCode="#,##0.00">
                  <c:v>3568471.689081165</c:v>
                </c:pt>
                <c:pt idx="52" formatCode="#,##0.00">
                  <c:v>2381278.5779223652</c:v>
                </c:pt>
                <c:pt idx="53" formatCode="#,##0.00">
                  <c:v>2708602.1988889668</c:v>
                </c:pt>
                <c:pt idx="54" formatCode="#,##0.00">
                  <c:v>2076512.4848203345</c:v>
                </c:pt>
                <c:pt idx="55" formatCode="#,##0.00">
                  <c:v>2865621.6111704172</c:v>
                </c:pt>
                <c:pt idx="56" formatCode="#,##0.00">
                  <c:v>1365431.3895031495</c:v>
                </c:pt>
                <c:pt idx="57" formatCode="#,##0.00">
                  <c:v>1373095.9723313968</c:v>
                </c:pt>
                <c:pt idx="58" formatCode="#,##0.00">
                  <c:v>801807.05126362969</c:v>
                </c:pt>
                <c:pt idx="59" formatCode="#,##0.00">
                  <c:v>655417.52139408537</c:v>
                </c:pt>
                <c:pt idx="60" formatCode="#,##0.00">
                  <c:v>1169515.9708899597</c:v>
                </c:pt>
                <c:pt idx="61" formatCode="#,##0.00">
                  <c:v>1421727.7759736527</c:v>
                </c:pt>
                <c:pt idx="62" formatCode="#,##0.00">
                  <c:v>1376651.3459380791</c:v>
                </c:pt>
                <c:pt idx="63" formatCode="#,##0.00">
                  <c:v>1025020.2281463571</c:v>
                </c:pt>
                <c:pt idx="64" formatCode="#,##0.00">
                  <c:v>1045918.9361377022</c:v>
                </c:pt>
                <c:pt idx="65" formatCode="#,##0.00">
                  <c:v>2279241.7081935899</c:v>
                </c:pt>
                <c:pt idx="66" formatCode="#,##0.00">
                  <c:v>810273.81292200275</c:v>
                </c:pt>
                <c:pt idx="67" formatCode="#,##0.00">
                  <c:v>528041.43945694575</c:v>
                </c:pt>
                <c:pt idx="68" formatCode="#,##0.00">
                  <c:v>245290.92778860722</c:v>
                </c:pt>
                <c:pt idx="69" formatCode="#,##0.00">
                  <c:v>625335.63761088741</c:v>
                </c:pt>
                <c:pt idx="70" formatCode="#,##0.00">
                  <c:v>450884.42048335494</c:v>
                </c:pt>
                <c:pt idx="71" formatCode="#,##0.00">
                  <c:v>599706.59336067515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E7-4472-AFFE-16094E052EB3}"/>
            </c:ext>
          </c:extLst>
        </c:ser>
        <c:ser>
          <c:idx val="1"/>
          <c:order val="1"/>
          <c:tx>
            <c:strRef>
              <c:f>'Orig data'!$S$4</c:f>
              <c:strCache>
                <c:ptCount val="1"/>
                <c:pt idx="0">
                  <c:v>total Stock, hr from Grant then Brittany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data'!$S$5:$S$76</c:f>
              <c:numCache>
                <c:formatCode>#,##0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397099</c:v>
                </c:pt>
                <c:pt idx="5">
                  <c:v>282627</c:v>
                </c:pt>
                <c:pt idx="6">
                  <c:v>308363</c:v>
                </c:pt>
                <c:pt idx="7">
                  <c:v>559829</c:v>
                </c:pt>
                <c:pt idx="8">
                  <c:v>651622</c:v>
                </c:pt>
                <c:pt idx="9">
                  <c:v>390714</c:v>
                </c:pt>
                <c:pt idx="10">
                  <c:v>253644</c:v>
                </c:pt>
                <c:pt idx="11">
                  <c:v>249239</c:v>
                </c:pt>
                <c:pt idx="12">
                  <c:v>339884</c:v>
                </c:pt>
                <c:pt idx="13">
                  <c:v>371556</c:v>
                </c:pt>
                <c:pt idx="14">
                  <c:v>170472</c:v>
                </c:pt>
                <c:pt idx="15">
                  <c:v>419759</c:v>
                </c:pt>
                <c:pt idx="16">
                  <c:v>323003</c:v>
                </c:pt>
                <c:pt idx="17">
                  <c:v>1153257</c:v>
                </c:pt>
                <c:pt idx="18">
                  <c:v>578493</c:v>
                </c:pt>
                <c:pt idx="19">
                  <c:v>739355</c:v>
                </c:pt>
                <c:pt idx="20">
                  <c:v>376364</c:v>
                </c:pt>
                <c:pt idx="21">
                  <c:v>1349820</c:v>
                </c:pt>
                <c:pt idx="22">
                  <c:v>1506960</c:v>
                </c:pt>
                <c:pt idx="23">
                  <c:v>717854</c:v>
                </c:pt>
                <c:pt idx="24">
                  <c:v>486199</c:v>
                </c:pt>
                <c:pt idx="25">
                  <c:v>1003722</c:v>
                </c:pt>
                <c:pt idx="26">
                  <c:v>722536</c:v>
                </c:pt>
                <c:pt idx="27">
                  <c:v>1185223</c:v>
                </c:pt>
                <c:pt idx="28">
                  <c:v>308732</c:v>
                </c:pt>
                <c:pt idx="29">
                  <c:v>909353</c:v>
                </c:pt>
                <c:pt idx="30">
                  <c:v>500271</c:v>
                </c:pt>
                <c:pt idx="31">
                  <c:v>724011</c:v>
                </c:pt>
                <c:pt idx="32">
                  <c:v>470101</c:v>
                </c:pt>
                <c:pt idx="33">
                  <c:v>612803</c:v>
                </c:pt>
                <c:pt idx="34">
                  <c:v>1839044</c:v>
                </c:pt>
                <c:pt idx="35">
                  <c:v>1580868</c:v>
                </c:pt>
                <c:pt idx="36">
                  <c:v>481076</c:v>
                </c:pt>
                <c:pt idx="37">
                  <c:v>1035111</c:v>
                </c:pt>
                <c:pt idx="38">
                  <c:v>1094661</c:v>
                </c:pt>
                <c:pt idx="39">
                  <c:v>1594885</c:v>
                </c:pt>
                <c:pt idx="40">
                  <c:v>1454169</c:v>
                </c:pt>
                <c:pt idx="41">
                  <c:v>1555718</c:v>
                </c:pt>
                <c:pt idx="42">
                  <c:v>1476663</c:v>
                </c:pt>
                <c:pt idx="43">
                  <c:v>2295288</c:v>
                </c:pt>
                <c:pt idx="44">
                  <c:v>1844441</c:v>
                </c:pt>
                <c:pt idx="45">
                  <c:v>1248442.946191224</c:v>
                </c:pt>
                <c:pt idx="46">
                  <c:v>1134098.414512618</c:v>
                </c:pt>
                <c:pt idx="47">
                  <c:v>4069680.1971950848</c:v>
                </c:pt>
                <c:pt idx="48">
                  <c:v>3083677.2941336296</c:v>
                </c:pt>
                <c:pt idx="49">
                  <c:v>821323.89458584297</c:v>
                </c:pt>
                <c:pt idx="50">
                  <c:v>3396137.3550203633</c:v>
                </c:pt>
                <c:pt idx="51">
                  <c:v>2701922.5280034388</c:v>
                </c:pt>
                <c:pt idx="52">
                  <c:v>2006286.4153176486</c:v>
                </c:pt>
                <c:pt idx="53">
                  <c:v>3352861.1030926574</c:v>
                </c:pt>
                <c:pt idx="54">
                  <c:v>1804337.1315494739</c:v>
                </c:pt>
                <c:pt idx="55">
                  <c:v>2683669.7926117284</c:v>
                </c:pt>
                <c:pt idx="56">
                  <c:v>1382634.3049989361</c:v>
                </c:pt>
                <c:pt idx="57">
                  <c:v>1231940.0157277284</c:v>
                </c:pt>
                <c:pt idx="58">
                  <c:v>816921.59766111372</c:v>
                </c:pt>
                <c:pt idx="59">
                  <c:v>661736.70499843312</c:v>
                </c:pt>
                <c:pt idx="60">
                  <c:v>1420924.6212415406</c:v>
                </c:pt>
                <c:pt idx="61">
                  <c:v>1702019.9096711003</c:v>
                </c:pt>
                <c:pt idx="62">
                  <c:v>1601307.957646556</c:v>
                </c:pt>
                <c:pt idx="63">
                  <c:v>1507866.1449047895</c:v>
                </c:pt>
                <c:pt idx="64">
                  <c:v>1452703.6357440299</c:v>
                </c:pt>
                <c:pt idx="65">
                  <c:v>2944872.5193175911</c:v>
                </c:pt>
                <c:pt idx="66">
                  <c:v>1072321.8899999999</c:v>
                </c:pt>
                <c:pt idx="67">
                  <c:v>789466.79299999995</c:v>
                </c:pt>
                <c:pt idx="68">
                  <c:v>326141.64</c:v>
                </c:pt>
                <c:pt idx="69">
                  <c:v>674438.89</c:v>
                </c:pt>
                <c:pt idx="70">
                  <c:v>527027</c:v>
                </c:pt>
                <c:pt idx="71">
                  <c:v>1158175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E7-4472-AFFE-16094E052E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08176"/>
        <c:axId val="121773104"/>
      </c:scatterChart>
      <c:valAx>
        <c:axId val="130108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73104"/>
        <c:crosses val="autoZero"/>
        <c:crossBetween val="midCat"/>
      </c:valAx>
      <c:valAx>
        <c:axId val="1217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run size (catch+escapement)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Historical vs retrospective catch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18670730099695"/>
          <c:y val="0.21362226592033051"/>
          <c:w val="0.83976142939267984"/>
          <c:h val="0.64147458819230274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'Orig data'!$AR$4</c:f>
              <c:strCache>
                <c:ptCount val="1"/>
                <c:pt idx="0">
                  <c:v>retro Yield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data'!$AR$5:$AR$76</c:f>
              <c:numCache>
                <c:formatCode>0</c:formatCode>
                <c:ptCount val="72"/>
                <c:pt idx="0">
                  <c:v>593869.5</c:v>
                </c:pt>
                <c:pt idx="1">
                  <c:v>463500</c:v>
                </c:pt>
                <c:pt idx="2">
                  <c:v>459061</c:v>
                </c:pt>
                <c:pt idx="3">
                  <c:v>548258.5</c:v>
                </c:pt>
                <c:pt idx="4">
                  <c:v>448944.58664397069</c:v>
                </c:pt>
                <c:pt idx="5">
                  <c:v>340537.75328707194</c:v>
                </c:pt>
                <c:pt idx="6">
                  <c:v>508074.3790046972</c:v>
                </c:pt>
                <c:pt idx="7">
                  <c:v>1155799.1151463578</c:v>
                </c:pt>
                <c:pt idx="8">
                  <c:v>1636368.4490703717</c:v>
                </c:pt>
                <c:pt idx="9">
                  <c:v>1337886.8736520079</c:v>
                </c:pt>
                <c:pt idx="10">
                  <c:v>715462.4823603502</c:v>
                </c:pt>
                <c:pt idx="11">
                  <c:v>720090.58684701659</c:v>
                </c:pt>
                <c:pt idx="12">
                  <c:v>779326.46090116142</c:v>
                </c:pt>
                <c:pt idx="13">
                  <c:v>837509.80705965846</c:v>
                </c:pt>
                <c:pt idx="14">
                  <c:v>377661.57342872868</c:v>
                </c:pt>
                <c:pt idx="15">
                  <c:v>760815.17241744802</c:v>
                </c:pt>
                <c:pt idx="16">
                  <c:v>450028.64402479888</c:v>
                </c:pt>
                <c:pt idx="17">
                  <c:v>1412266.7857158089</c:v>
                </c:pt>
                <c:pt idx="18">
                  <c:v>645813.94754726428</c:v>
                </c:pt>
                <c:pt idx="19">
                  <c:v>659959.79995062947</c:v>
                </c:pt>
                <c:pt idx="20">
                  <c:v>311779.85850088304</c:v>
                </c:pt>
                <c:pt idx="21">
                  <c:v>1006840.5211034983</c:v>
                </c:pt>
                <c:pt idx="22">
                  <c:v>1284456.8326734421</c:v>
                </c:pt>
                <c:pt idx="23">
                  <c:v>571867.02042868233</c:v>
                </c:pt>
                <c:pt idx="24">
                  <c:v>320572.98597507109</c:v>
                </c:pt>
                <c:pt idx="25">
                  <c:v>940332.38224663981</c:v>
                </c:pt>
                <c:pt idx="26">
                  <c:v>771595.61356300861</c:v>
                </c:pt>
                <c:pt idx="27">
                  <c:v>933753.80025551212</c:v>
                </c:pt>
                <c:pt idx="28">
                  <c:v>253638.80477056495</c:v>
                </c:pt>
                <c:pt idx="29">
                  <c:v>749001.25585190288</c:v>
                </c:pt>
                <c:pt idx="30">
                  <c:v>358536.23648463236</c:v>
                </c:pt>
                <c:pt idx="31">
                  <c:v>546389.29840546066</c:v>
                </c:pt>
                <c:pt idx="32">
                  <c:v>311700.01124701725</c:v>
                </c:pt>
                <c:pt idx="33">
                  <c:v>445073.32358956232</c:v>
                </c:pt>
                <c:pt idx="34">
                  <c:v>1046109.3495234149</c:v>
                </c:pt>
                <c:pt idx="35">
                  <c:v>967645.09522712592</c:v>
                </c:pt>
                <c:pt idx="36">
                  <c:v>223664.95518970105</c:v>
                </c:pt>
                <c:pt idx="37">
                  <c:v>460382.9940252924</c:v>
                </c:pt>
                <c:pt idx="38">
                  <c:v>515618.58680592425</c:v>
                </c:pt>
                <c:pt idx="39">
                  <c:v>707379.7391663061</c:v>
                </c:pt>
                <c:pt idx="40">
                  <c:v>562458.80029676866</c:v>
                </c:pt>
                <c:pt idx="41">
                  <c:v>662873.29060827906</c:v>
                </c:pt>
                <c:pt idx="42">
                  <c:v>621490.92864043231</c:v>
                </c:pt>
                <c:pt idx="43">
                  <c:v>958003.78944533621</c:v>
                </c:pt>
                <c:pt idx="44">
                  <c:v>699181.40953431604</c:v>
                </c:pt>
                <c:pt idx="45">
                  <c:v>493662.23929324682</c:v>
                </c:pt>
                <c:pt idx="46">
                  <c:v>465378.56472517049</c:v>
                </c:pt>
                <c:pt idx="47">
                  <c:v>1710614.1926755332</c:v>
                </c:pt>
                <c:pt idx="48">
                  <c:v>1135780.7302053371</c:v>
                </c:pt>
                <c:pt idx="49">
                  <c:v>266678.22398193361</c:v>
                </c:pt>
                <c:pt idx="50">
                  <c:v>1520914.9813125997</c:v>
                </c:pt>
                <c:pt idx="51">
                  <c:v>1784235.8445405825</c:v>
                </c:pt>
                <c:pt idx="52">
                  <c:v>1190639.2889611826</c:v>
                </c:pt>
                <c:pt idx="53">
                  <c:v>1354301.0994444834</c:v>
                </c:pt>
                <c:pt idx="54">
                  <c:v>1038256.2424101672</c:v>
                </c:pt>
                <c:pt idx="55">
                  <c:v>1432810.8055852086</c:v>
                </c:pt>
                <c:pt idx="56">
                  <c:v>682715.69475157477</c:v>
                </c:pt>
                <c:pt idx="57">
                  <c:v>686547.98616569838</c:v>
                </c:pt>
                <c:pt idx="58">
                  <c:v>400903.52563181485</c:v>
                </c:pt>
                <c:pt idx="59">
                  <c:v>327708.76069704269</c:v>
                </c:pt>
                <c:pt idx="60">
                  <c:v>584757.98544497986</c:v>
                </c:pt>
                <c:pt idx="61">
                  <c:v>710863.88798682636</c:v>
                </c:pt>
                <c:pt idx="62">
                  <c:v>688325.67296903953</c:v>
                </c:pt>
                <c:pt idx="63">
                  <c:v>512510.11407317856</c:v>
                </c:pt>
                <c:pt idx="64">
                  <c:v>522959.4680688511</c:v>
                </c:pt>
                <c:pt idx="65">
                  <c:v>1139620.854096795</c:v>
                </c:pt>
                <c:pt idx="66">
                  <c:v>405136.90646100137</c:v>
                </c:pt>
                <c:pt idx="67">
                  <c:v>264020.71972847288</c:v>
                </c:pt>
                <c:pt idx="68">
                  <c:v>122645.46389430361</c:v>
                </c:pt>
                <c:pt idx="69">
                  <c:v>312667.81880544371</c:v>
                </c:pt>
                <c:pt idx="70">
                  <c:v>225442.21024167747</c:v>
                </c:pt>
                <c:pt idx="71">
                  <c:v>299853.29668033757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BE-4398-AFEE-918946288231}"/>
            </c:ext>
          </c:extLst>
        </c:ser>
        <c:ser>
          <c:idx val="1"/>
          <c:order val="1"/>
          <c:tx>
            <c:strRef>
              <c:f>'Orig data'!$U$4</c:f>
              <c:strCache>
                <c:ptCount val="1"/>
                <c:pt idx="0">
                  <c:v>Historical Catch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data'!$U$5:$U$76</c:f>
              <c:numCache>
                <c:formatCode>_(* #,##0_);_(* \(#,##0\);_(* "-"??_);_(@_)</c:formatCode>
                <c:ptCount val="72"/>
                <c:pt idx="0">
                  <c:v>1016014</c:v>
                </c:pt>
                <c:pt idx="1">
                  <c:v>750750</c:v>
                </c:pt>
                <c:pt idx="2">
                  <c:v>780497</c:v>
                </c:pt>
                <c:pt idx="3">
                  <c:v>1010142</c:v>
                </c:pt>
                <c:pt idx="4">
                  <c:v>286599</c:v>
                </c:pt>
                <c:pt idx="5">
                  <c:v>249677</c:v>
                </c:pt>
                <c:pt idx="6">
                  <c:v>223708</c:v>
                </c:pt>
                <c:pt idx="7">
                  <c:v>470429</c:v>
                </c:pt>
                <c:pt idx="8">
                  <c:v>499322</c:v>
                </c:pt>
                <c:pt idx="9">
                  <c:v>245932</c:v>
                </c:pt>
                <c:pt idx="10">
                  <c:v>149724</c:v>
                </c:pt>
                <c:pt idx="11">
                  <c:v>118882</c:v>
                </c:pt>
                <c:pt idx="12">
                  <c:v>147639</c:v>
                </c:pt>
                <c:pt idx="13">
                  <c:v>124815</c:v>
                </c:pt>
                <c:pt idx="14">
                  <c:v>41013</c:v>
                </c:pt>
                <c:pt idx="15">
                  <c:v>58949</c:v>
                </c:pt>
                <c:pt idx="16">
                  <c:v>109130</c:v>
                </c:pt>
                <c:pt idx="17">
                  <c:v>482929</c:v>
                </c:pt>
                <c:pt idx="18">
                  <c:v>269273</c:v>
                </c:pt>
                <c:pt idx="19">
                  <c:v>455105</c:v>
                </c:pt>
                <c:pt idx="20">
                  <c:v>86239</c:v>
                </c:pt>
                <c:pt idx="21">
                  <c:v>926530</c:v>
                </c:pt>
                <c:pt idx="22">
                  <c:v>1239880</c:v>
                </c:pt>
                <c:pt idx="23">
                  <c:v>367539</c:v>
                </c:pt>
                <c:pt idx="24">
                  <c:v>294779</c:v>
                </c:pt>
                <c:pt idx="25">
                  <c:v>663205</c:v>
                </c:pt>
                <c:pt idx="26">
                  <c:v>123195</c:v>
                </c:pt>
                <c:pt idx="27">
                  <c:v>826233</c:v>
                </c:pt>
                <c:pt idx="28">
                  <c:v>53098</c:v>
                </c:pt>
                <c:pt idx="29">
                  <c:v>595342</c:v>
                </c:pt>
                <c:pt idx="30">
                  <c:v>63275</c:v>
                </c:pt>
                <c:pt idx="31">
                  <c:v>397572</c:v>
                </c:pt>
                <c:pt idx="32">
                  <c:v>98331</c:v>
                </c:pt>
                <c:pt idx="33">
                  <c:v>71325</c:v>
                </c:pt>
                <c:pt idx="34">
                  <c:v>455236</c:v>
                </c:pt>
                <c:pt idx="35">
                  <c:v>583541</c:v>
                </c:pt>
                <c:pt idx="36">
                  <c:v>117405</c:v>
                </c:pt>
                <c:pt idx="37">
                  <c:v>506644</c:v>
                </c:pt>
                <c:pt idx="38">
                  <c:v>355014</c:v>
                </c:pt>
                <c:pt idx="39">
                  <c:v>732913</c:v>
                </c:pt>
                <c:pt idx="40">
                  <c:v>347821</c:v>
                </c:pt>
                <c:pt idx="41">
                  <c:v>519859</c:v>
                </c:pt>
                <c:pt idx="42">
                  <c:v>491184</c:v>
                </c:pt>
                <c:pt idx="43">
                  <c:v>629209</c:v>
                </c:pt>
                <c:pt idx="44">
                  <c:v>215899</c:v>
                </c:pt>
                <c:pt idx="45">
                  <c:v>62262.946191224037</c:v>
                </c:pt>
                <c:pt idx="46">
                  <c:v>88283.414512617979</c:v>
                </c:pt>
                <c:pt idx="47">
                  <c:v>508637.19719508477</c:v>
                </c:pt>
                <c:pt idx="48">
                  <c:v>96421.29413362965</c:v>
                </c:pt>
                <c:pt idx="49">
                  <c:v>121347.89458584297</c:v>
                </c:pt>
                <c:pt idx="50">
                  <c:v>244244.35502036335</c:v>
                </c:pt>
                <c:pt idx="51">
                  <c:v>399672.52800343884</c:v>
                </c:pt>
                <c:pt idx="52">
                  <c:v>511795.41531764856</c:v>
                </c:pt>
                <c:pt idx="53">
                  <c:v>636227.1030926574</c:v>
                </c:pt>
                <c:pt idx="54">
                  <c:v>472954.13154947385</c:v>
                </c:pt>
                <c:pt idx="55">
                  <c:v>713048.79261172842</c:v>
                </c:pt>
                <c:pt idx="56">
                  <c:v>325386.30499893613</c:v>
                </c:pt>
                <c:pt idx="57">
                  <c:v>249924.01572772837</c:v>
                </c:pt>
                <c:pt idx="58">
                  <c:v>342371.59766111372</c:v>
                </c:pt>
                <c:pt idx="59">
                  <c:v>53018.704998433124</c:v>
                </c:pt>
                <c:pt idx="60">
                  <c:v>341856.62124154065</c:v>
                </c:pt>
                <c:pt idx="61">
                  <c:v>320947.90967110032</c:v>
                </c:pt>
                <c:pt idx="62">
                  <c:v>433468.95764655597</c:v>
                </c:pt>
                <c:pt idx="63">
                  <c:v>342286.14490478951</c:v>
                </c:pt>
                <c:pt idx="64">
                  <c:v>501838.63574402989</c:v>
                </c:pt>
                <c:pt idx="65">
                  <c:v>969486.5193175911</c:v>
                </c:pt>
                <c:pt idx="66">
                  <c:v>412654.8899999999</c:v>
                </c:pt>
                <c:pt idx="67">
                  <c:v>104591.79299999995</c:v>
                </c:pt>
                <c:pt idx="68">
                  <c:v>25862.640000000014</c:v>
                </c:pt>
                <c:pt idx="69">
                  <c:v>76707.890000000014</c:v>
                </c:pt>
                <c:pt idx="70">
                  <c:v>-5582</c:v>
                </c:pt>
                <c:pt idx="71">
                  <c:v>23651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5E-4B91-811D-4397A5E49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4931407"/>
        <c:axId val="1147373151"/>
      </c:scatterChart>
      <c:valAx>
        <c:axId val="115493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373151"/>
        <c:crosses val="autoZero"/>
        <c:crossBetween val="midCat"/>
      </c:valAx>
      <c:valAx>
        <c:axId val="11473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4931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Retrospective vs historical Ut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'Orig data'!$AO$4</c:f>
              <c:strCache>
                <c:ptCount val="1"/>
                <c:pt idx="0">
                  <c:v>retro U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data'!$AO$5:$AO$76</c:f>
              <c:numCache>
                <c:formatCode>#,##0.00</c:formatCode>
                <c:ptCount val="72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0.5</c:v>
                </c:pt>
                <c:pt idx="28">
                  <c:v>0.5</c:v>
                </c:pt>
                <c:pt idx="29">
                  <c:v>0.5</c:v>
                </c:pt>
                <c:pt idx="30">
                  <c:v>0.5</c:v>
                </c:pt>
                <c:pt idx="31">
                  <c:v>0.5</c:v>
                </c:pt>
                <c:pt idx="32">
                  <c:v>0.5</c:v>
                </c:pt>
                <c:pt idx="33">
                  <c:v>0.5</c:v>
                </c:pt>
                <c:pt idx="34">
                  <c:v>0.5</c:v>
                </c:pt>
                <c:pt idx="35">
                  <c:v>0.5</c:v>
                </c:pt>
                <c:pt idx="36">
                  <c:v>0.5</c:v>
                </c:pt>
                <c:pt idx="37">
                  <c:v>0.5</c:v>
                </c:pt>
                <c:pt idx="38">
                  <c:v>0.5</c:v>
                </c:pt>
                <c:pt idx="39">
                  <c:v>0.5</c:v>
                </c:pt>
                <c:pt idx="40">
                  <c:v>0.5</c:v>
                </c:pt>
                <c:pt idx="41">
                  <c:v>0.5</c:v>
                </c:pt>
                <c:pt idx="42">
                  <c:v>0.5</c:v>
                </c:pt>
                <c:pt idx="43">
                  <c:v>0.5</c:v>
                </c:pt>
                <c:pt idx="44">
                  <c:v>0.5</c:v>
                </c:pt>
                <c:pt idx="45">
                  <c:v>0.5</c:v>
                </c:pt>
                <c:pt idx="46">
                  <c:v>0.5</c:v>
                </c:pt>
                <c:pt idx="47">
                  <c:v>0.5</c:v>
                </c:pt>
                <c:pt idx="48">
                  <c:v>0.5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0.5</c:v>
                </c:pt>
                <c:pt idx="53">
                  <c:v>0.5</c:v>
                </c:pt>
                <c:pt idx="54">
                  <c:v>0.5</c:v>
                </c:pt>
                <c:pt idx="55">
                  <c:v>0.5</c:v>
                </c:pt>
                <c:pt idx="56">
                  <c:v>0.5</c:v>
                </c:pt>
                <c:pt idx="57">
                  <c:v>0.5</c:v>
                </c:pt>
                <c:pt idx="58">
                  <c:v>0.5</c:v>
                </c:pt>
                <c:pt idx="59">
                  <c:v>0.5</c:v>
                </c:pt>
                <c:pt idx="60">
                  <c:v>0.5</c:v>
                </c:pt>
                <c:pt idx="61">
                  <c:v>0.5</c:v>
                </c:pt>
                <c:pt idx="62">
                  <c:v>0.5</c:v>
                </c:pt>
                <c:pt idx="63">
                  <c:v>0.5</c:v>
                </c:pt>
                <c:pt idx="64">
                  <c:v>0.5</c:v>
                </c:pt>
                <c:pt idx="65">
                  <c:v>0.5</c:v>
                </c:pt>
                <c:pt idx="66">
                  <c:v>0.5</c:v>
                </c:pt>
                <c:pt idx="67">
                  <c:v>0.5</c:v>
                </c:pt>
                <c:pt idx="68">
                  <c:v>0.5</c:v>
                </c:pt>
                <c:pt idx="69">
                  <c:v>0.5</c:v>
                </c:pt>
                <c:pt idx="70">
                  <c:v>0.5</c:v>
                </c:pt>
                <c:pt idx="7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07-49F2-BCA5-CEE5777BD393}"/>
            </c:ext>
          </c:extLst>
        </c:ser>
        <c:ser>
          <c:idx val="0"/>
          <c:order val="1"/>
          <c:tx>
            <c:strRef>
              <c:f>'Orig data'!$T$4</c:f>
              <c:strCache>
                <c:ptCount val="1"/>
                <c:pt idx="0">
                  <c:v>Historial Ut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data'!$AM$5:$AM$76</c:f>
              <c:numCache>
                <c:formatCode>0</c:formatCode>
                <c:ptCount val="72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 formatCode="_(* #,##0_);_(* \(#,##0\);_(* &quot;-&quot;??_);_(@_)">
                  <c:v>2022</c:v>
                </c:pt>
              </c:numCache>
            </c:numRef>
          </c:xVal>
          <c:yVal>
            <c:numRef>
              <c:f>'Orig data'!$T$5:$T$76</c:f>
              <c:numCache>
                <c:formatCode>#,##0.000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7.9298797908785912E-2</c:v>
                </c:pt>
                <c:pt idx="69">
                  <c:v>0.11373586419371517</c:v>
                </c:pt>
                <c:pt idx="70">
                  <c:v>-1.0591487722640291E-2</c:v>
                </c:pt>
                <c:pt idx="71">
                  <c:v>2.0420920845295454E-2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07-49F2-BCA5-CEE5777B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473535"/>
        <c:axId val="1720303231"/>
      </c:scatterChart>
      <c:valAx>
        <c:axId val="112447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303231"/>
        <c:crosses val="autoZero"/>
        <c:crossBetween val="midCat"/>
      </c:valAx>
      <c:valAx>
        <c:axId val="172030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473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alternative lnR/S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'Orig data'!$E$4</c:f>
              <c:strCache>
                <c:ptCount val="1"/>
                <c:pt idx="0">
                  <c:v>ln(R/S)(H)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'Orig data'!$E$5:$E$71</c:f>
              <c:numCache>
                <c:formatCode>0.00</c:formatCode>
                <c:ptCount val="67"/>
                <c:pt idx="0">
                  <c:v>1.0666836791457688</c:v>
                </c:pt>
                <c:pt idx="1">
                  <c:v>0.47373778335781852</c:v>
                </c:pt>
                <c:pt idx="2">
                  <c:v>0.82177222258395266</c:v>
                </c:pt>
                <c:pt idx="3">
                  <c:v>1.765045954436407</c:v>
                </c:pt>
                <c:pt idx="4">
                  <c:v>1.6794501133986328</c:v>
                </c:pt>
                <c:pt idx="5">
                  <c:v>2.7575406057579124</c:v>
                </c:pt>
                <c:pt idx="6">
                  <c:v>1.4289749605785971</c:v>
                </c:pt>
                <c:pt idx="7">
                  <c:v>1.2181620093852592</c:v>
                </c:pt>
                <c:pt idx="8">
                  <c:v>0.86534157427677216</c:v>
                </c:pt>
                <c:pt idx="9">
                  <c:v>0.45805108198381522</c:v>
                </c:pt>
                <c:pt idx="10">
                  <c:v>0.51196336656327257</c:v>
                </c:pt>
                <c:pt idx="11">
                  <c:v>0.85396655342163885</c:v>
                </c:pt>
                <c:pt idx="12">
                  <c:v>0.69869896772088746</c:v>
                </c:pt>
                <c:pt idx="13">
                  <c:v>1.2760415795801567</c:v>
                </c:pt>
                <c:pt idx="14">
                  <c:v>1.5275479910533403</c:v>
                </c:pt>
                <c:pt idx="15">
                  <c:v>0.51535665102978301</c:v>
                </c:pt>
                <c:pt idx="16">
                  <c:v>0.90136645271825699</c:v>
                </c:pt>
                <c:pt idx="17">
                  <c:v>0.39449950488478053</c:v>
                </c:pt>
                <c:pt idx="18">
                  <c:v>1.2135662196061554</c:v>
                </c:pt>
                <c:pt idx="19">
                  <c:v>1.064249660153731</c:v>
                </c:pt>
                <c:pt idx="20">
                  <c:v>0.70814359626625123</c:v>
                </c:pt>
                <c:pt idx="21">
                  <c:v>0.8246092929692076</c:v>
                </c:pt>
                <c:pt idx="22">
                  <c:v>1.1300769993379298</c:v>
                </c:pt>
                <c:pt idx="23">
                  <c:v>1.151161251464681</c:v>
                </c:pt>
                <c:pt idx="24">
                  <c:v>1.0140410738118517</c:v>
                </c:pt>
                <c:pt idx="25">
                  <c:v>0.80469878532263861</c:v>
                </c:pt>
                <c:pt idx="26">
                  <c:v>-2.658442397844028E-2</c:v>
                </c:pt>
                <c:pt idx="27">
                  <c:v>0.57100306942517687</c:v>
                </c:pt>
                <c:pt idx="28">
                  <c:v>0.69105411168886388</c:v>
                </c:pt>
                <c:pt idx="29">
                  <c:v>0.74181957986966518</c:v>
                </c:pt>
                <c:pt idx="30">
                  <c:v>1.2319303219839801</c:v>
                </c:pt>
                <c:pt idx="31">
                  <c:v>1.4803079854347336</c:v>
                </c:pt>
                <c:pt idx="32">
                  <c:v>0.77270083705316917</c:v>
                </c:pt>
                <c:pt idx="33">
                  <c:v>0.67500068253565193</c:v>
                </c:pt>
                <c:pt idx="34">
                  <c:v>-0.12729861165186437</c:v>
                </c:pt>
                <c:pt idx="35">
                  <c:v>0.46158468136053471</c:v>
                </c:pt>
                <c:pt idx="36">
                  <c:v>0.95447244391420738</c:v>
                </c:pt>
                <c:pt idx="37">
                  <c:v>-0.18212488303820401</c:v>
                </c:pt>
                <c:pt idx="38">
                  <c:v>1.105761217714377</c:v>
                </c:pt>
                <c:pt idx="39">
                  <c:v>1.0019245939759625</c:v>
                </c:pt>
                <c:pt idx="40">
                  <c:v>0.88802120446014754</c:v>
                </c:pt>
                <c:pt idx="41">
                  <c:v>0.6260593296915179</c:v>
                </c:pt>
                <c:pt idx="42">
                  <c:v>0.54565432061770003</c:v>
                </c:pt>
                <c:pt idx="43">
                  <c:v>0.72584088745574638</c:v>
                </c:pt>
                <c:pt idx="44">
                  <c:v>0.64779028120275439</c:v>
                </c:pt>
                <c:pt idx="45">
                  <c:v>0.18792051552344743</c:v>
                </c:pt>
                <c:pt idx="46">
                  <c:v>1.0054403527372759</c:v>
                </c:pt>
                <c:pt idx="47">
                  <c:v>-0.24575928760684423</c:v>
                </c:pt>
                <c:pt idx="48">
                  <c:v>-0.29113556290450376</c:v>
                </c:pt>
                <c:pt idx="49">
                  <c:v>1.4515192996258222</c:v>
                </c:pt>
                <c:pt idx="50">
                  <c:v>-0.37784407839360423</c:v>
                </c:pt>
                <c:pt idx="51">
                  <c:v>5.2160677901878581E-2</c:v>
                </c:pt>
                <c:pt idx="52">
                  <c:v>8.0197160478462634E-2</c:v>
                </c:pt>
                <c:pt idx="53">
                  <c:v>-0.79114362316427123</c:v>
                </c:pt>
                <c:pt idx="54">
                  <c:v>-0.40848532553504846</c:v>
                </c:pt>
                <c:pt idx="55">
                  <c:v>-0.97357249455406303</c:v>
                </c:pt>
                <c:pt idx="56">
                  <c:v>0.20388794589883796</c:v>
                </c:pt>
                <c:pt idx="57">
                  <c:v>0.51379590505962547</c:v>
                </c:pt>
                <c:pt idx="58">
                  <c:v>1.224043141698661</c:v>
                </c:pt>
                <c:pt idx="59">
                  <c:v>0.91626707532000706</c:v>
                </c:pt>
                <c:pt idx="60">
                  <c:v>0.37347104651547813</c:v>
                </c:pt>
                <c:pt idx="61">
                  <c:v>0.60547074977719351</c:v>
                </c:pt>
                <c:pt idx="62">
                  <c:v>0.18723324130222524</c:v>
                </c:pt>
                <c:pt idx="63">
                  <c:v>-0.36298104905823131</c:v>
                </c:pt>
                <c:pt idx="64">
                  <c:v>-0.77388914531012754</c:v>
                </c:pt>
                <c:pt idx="65">
                  <c:v>-1.1950219971960248</c:v>
                </c:pt>
                <c:pt idx="66">
                  <c:v>-9.6113028123834918E-2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AC-40E1-A259-2AD09EB69111}"/>
            </c:ext>
          </c:extLst>
        </c:ser>
        <c:ser>
          <c:idx val="1"/>
          <c:order val="1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AC-40E1-A259-2AD09EB69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206560"/>
        <c:axId val="1806709360"/>
      </c:lineChart>
      <c:catAx>
        <c:axId val="20652065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709360"/>
        <c:crosses val="autoZero"/>
        <c:auto val="1"/>
        <c:lblAlgn val="ctr"/>
        <c:lblOffset val="100"/>
        <c:noMultiLvlLbl val="0"/>
      </c:catAx>
      <c:valAx>
        <c:axId val="180670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206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and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94225721784776"/>
          <c:y val="0.24983850976961214"/>
          <c:w val="0.73385170603674543"/>
          <c:h val="0.64276210265383482"/>
        </c:manualLayout>
      </c:layout>
      <c:scatterChart>
        <c:scatterStyle val="lineMarker"/>
        <c:varyColors val="0"/>
        <c:ser>
          <c:idx val="0"/>
          <c:order val="0"/>
          <c:tx>
            <c:strRef>
              <c:f>'Orig data'!$H$4</c:f>
              <c:strCache>
                <c:ptCount val="1"/>
                <c:pt idx="0">
                  <c:v>Spawners (D)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data'!$B$5:$B$78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'Orig data'!$H$5:$H$78</c:f>
              <c:numCache>
                <c:formatCode>#,##0</c:formatCode>
                <c:ptCount val="74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  <c:pt idx="67">
                  <c:v>684875</c:v>
                </c:pt>
                <c:pt idx="68">
                  <c:v>300279</c:v>
                </c:pt>
                <c:pt idx="69">
                  <c:v>597731</c:v>
                </c:pt>
                <c:pt idx="70">
                  <c:v>532609</c:v>
                </c:pt>
                <c:pt idx="71">
                  <c:v>1134524</c:v>
                </c:pt>
                <c:pt idx="72" formatCode="General">
                  <c:v>620382</c:v>
                </c:pt>
                <c:pt idx="73" formatCode="General">
                  <c:v>1872824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6-4DAB-A8DB-D1DDAE29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034032"/>
        <c:axId val="299011328"/>
      </c:scatterChart>
      <c:scatterChart>
        <c:scatterStyle val="lineMarker"/>
        <c:varyColors val="0"/>
        <c:ser>
          <c:idx val="1"/>
          <c:order val="1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data'!$B$5:$B$78</c:f>
              <c:numCache>
                <c:formatCode>General</c:formatCode>
                <c:ptCount val="74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  <c:pt idx="67">
                  <c:v>2018</c:v>
                </c:pt>
                <c:pt idx="68">
                  <c:v>2019</c:v>
                </c:pt>
                <c:pt idx="69">
                  <c:v>2020</c:v>
                </c:pt>
                <c:pt idx="70">
                  <c:v>2021</c:v>
                </c:pt>
                <c:pt idx="71">
                  <c:v>2022</c:v>
                </c:pt>
                <c:pt idx="72">
                  <c:v>2023</c:v>
                </c:pt>
                <c:pt idx="73">
                  <c:v>2024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6-4DAB-A8DB-D1DDAE299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96496"/>
        <c:axId val="122962384"/>
      </c:scatterChart>
      <c:valAx>
        <c:axId val="29903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11328"/>
        <c:crosses val="autoZero"/>
        <c:crossBetween val="midCat"/>
      </c:valAx>
      <c:valAx>
        <c:axId val="29901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034032"/>
        <c:crosses val="autoZero"/>
        <c:crossBetween val="midCat"/>
      </c:valAx>
      <c:valAx>
        <c:axId val="122962384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6496"/>
        <c:crosses val="max"/>
        <c:crossBetween val="midCat"/>
      </c:valAx>
      <c:valAx>
        <c:axId val="122996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962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vs SSL abundance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E2E47F1-B2A5-422D-8980-E3A8CD8883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7E-476D-ABEA-E45DA06C469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47AB859-34FE-463B-9D62-05C26BEFFA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7E-476D-ABEA-E45DA06C469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7E70149-A3E2-412B-96DC-98B0EAAF1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87E-476D-ABEA-E45DA06C469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3F8A52-A5D3-4E56-B0F9-BC5BEF43F8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87E-476D-ABEA-E45DA06C469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EDCDF24-9F3B-41B6-979A-0CDAB1239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87E-476D-ABEA-E45DA06C469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4259AD3-9C22-4E45-98EB-25E34AFCF2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87E-476D-ABEA-E45DA06C469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B852815-5656-485C-BB66-9987CA968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87E-476D-ABEA-E45DA06C469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9ABE20E-B64A-4B15-906A-C1D02FAA0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87E-476D-ABEA-E45DA06C469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BE61477-727D-49A0-A772-4FFB917925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87E-476D-ABEA-E45DA06C469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8192DB-C3CA-4CC0-B4B1-FB540E55E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87E-476D-ABEA-E45DA06C469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8364730-88B7-4FE2-8F34-EE0CD3D0F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87E-476D-ABEA-E45DA06C469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30BEB2D-229D-4E0E-A4B3-25645BF72E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87E-476D-ABEA-E45DA06C469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426AC69-332F-4059-A55C-74F60636D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87E-476D-ABEA-E45DA06C469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8F33C68-D250-42C6-B442-91E918ADD8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87E-476D-ABEA-E45DA06C469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DA428E0-AE32-47A4-B470-B52C5D4A86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87E-476D-ABEA-E45DA06C469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B86D6A7-BC63-4845-8536-D2A141146B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87E-476D-ABEA-E45DA06C469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0AAF7DD-6098-4838-AAA0-57B8F2EFB1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87E-476D-ABEA-E45DA06C469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0525E87-21A6-4F50-8D10-201B0FE20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87E-476D-ABEA-E45DA06C469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E1762A0-E1B2-44E7-99D0-31984BB5E6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87E-476D-ABEA-E45DA06C469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5D53831-C606-423B-A349-FA704404C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87E-476D-ABEA-E45DA06C469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78AB141-9F45-4220-98DE-8B4C04EEAB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87E-476D-ABEA-E45DA06C469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0BA3DDB-5E29-45E8-899E-0F24166670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87E-476D-ABEA-E45DA06C46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C9CDFF5-AB6C-471F-92F9-A89352B19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87E-476D-ABEA-E45DA06C469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07D27EE-22AD-4AA8-ABA1-0EAA445DD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87E-476D-ABEA-E45DA06C469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E4D0A82-3278-4170-89BD-6B2C1057D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87E-476D-ABEA-E45DA06C469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397759F8-C85E-4BEA-9FBF-4D1B2F4C7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87E-476D-ABEA-E45DA06C469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478F9F0-B424-432A-ABE6-18422AB1C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87E-476D-ABEA-E45DA06C469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342E538-DF8C-460D-A968-0ED2E0E68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87E-476D-ABEA-E45DA06C469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C298A2C5-3C62-44A9-9D4C-FF57DAEA15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87E-476D-ABEA-E45DA06C469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94887A5-B9B1-4177-ABDA-BC2753044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87E-476D-ABEA-E45DA06C469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CD8D37A9-22A1-49AF-8CAA-54F2330A31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87E-476D-ABEA-E45DA06C469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81C7A6DC-2188-4B12-B75A-8EE222EFDB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87E-476D-ABEA-E45DA06C469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8110CEDB-2021-426F-88C3-E16CFBC0C6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87E-476D-ABEA-E45DA06C469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62C27EE2-69FF-47BC-A675-CBE63C3D01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87E-476D-ABEA-E45DA06C469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FE94F338-3A1C-488F-A140-EA8CEDBA7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87E-476D-ABEA-E45DA06C469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258EC050-5917-42AD-AB18-9AB58A381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87E-476D-ABEA-E45DA06C469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8BFEA00-3E34-4038-96FF-03049A83A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87E-476D-ABEA-E45DA06C469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21A55534-16D4-402B-9DA0-33B6C100B9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87E-476D-ABEA-E45DA06C469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FCB027A9-94A8-4578-B8F6-7FDDFC4832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87E-476D-ABEA-E45DA06C469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2F6A75E6-8169-4D73-AE76-163A7AA8E6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87E-476D-ABEA-E45DA06C469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EA239EDA-1ADD-400A-A0CA-7D6BA8AC42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87E-476D-ABEA-E45DA06C469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02191CD9-BC16-43A3-B9F2-5176FBD51C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87E-476D-ABEA-E45DA06C4694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C25C06C-B7B4-4F0A-9D0F-7D8093A33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87E-476D-ABEA-E45DA06C4694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5B7960F-4275-466A-AD63-A1D60CB46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87E-476D-ABEA-E45DA06C4694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7BD50998-5E69-46B7-AE23-6E154BAE55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87E-476D-ABEA-E45DA06C4694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C9733585-1BD5-4F66-B659-5BACED131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87E-476D-ABEA-E45DA06C4694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01179558-A3D7-4F17-919F-FA3EBB739F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87E-476D-ABEA-E45DA06C4694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8610331F-972D-42E5-BDC1-94F74628FF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87E-476D-ABEA-E45DA06C4694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333585C3-8A16-4A89-B99E-939AAF815B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87E-476D-ABEA-E45DA06C4694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6D69D6C-9277-4370-95D9-E031EDBB63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87E-476D-ABEA-E45DA06C4694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DCC39BC8-6B64-48D0-8782-EB8632ACE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87E-476D-ABEA-E45DA06C4694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D3A431E-076A-467D-A62D-78AD1061A5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87E-476D-ABEA-E45DA06C4694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48246864-5EC5-49C5-835D-29EC209185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87E-476D-ABEA-E45DA06C4694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D35F9E9E-BC04-4286-9AA4-135EC944ED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87E-476D-ABEA-E45DA06C4694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947033EA-4320-40B2-8A0D-572F87442C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87E-476D-ABEA-E45DA06C4694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BDF8A782-DFDD-4D76-9423-0AA045963B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87E-476D-ABEA-E45DA06C4694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90F40F67-1E16-4AC0-9C01-2C408F49A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87E-476D-ABEA-E45DA06C4694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CCC0E90E-30A8-4908-A422-CA16B4DD6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87E-476D-ABEA-E45DA06C4694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9A8F94A6-BC5C-414D-ABE9-9A6B560571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87E-476D-ABEA-E45DA06C4694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59C1D02-29F6-4E82-BA18-6F69D5525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87E-476D-ABEA-E45DA06C4694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709EA32F-A975-4A9B-95B9-BB29C9CD67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87E-476D-ABEA-E45DA06C4694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2C0123B2-D629-4DF6-8AA5-2E50863E8C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87E-476D-ABEA-E45DA06C4694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48E5B221-2EE4-4404-BE93-C2BBE2BA6D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87E-476D-ABEA-E45DA06C4694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AEE62057-95D1-4F87-8DE5-B2521B452F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87E-476D-ABEA-E45DA06C4694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2549D9EC-365B-414A-99BA-CF85155D2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87E-476D-ABEA-E45DA06C4694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12F3525C-B6D1-46B2-87FF-59AC86AED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87E-476D-ABEA-E45DA06C4694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46A4981F-1AC0-4926-8577-F2E1E8E6B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87E-476D-ABEA-E45DA06C4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0550962379702536E-2"/>
                  <c:y val="-0.36715952172645083"/>
                </c:manualLayout>
              </c:layout>
              <c:numFmt formatCode="0.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'Orig data'!$G$5:$G$71</c:f>
              <c:numCache>
                <c:formatCode>0.00</c:formatCode>
                <c:ptCount val="67"/>
                <c:pt idx="0">
                  <c:v>17243.253910066778</c:v>
                </c:pt>
                <c:pt idx="1">
                  <c:v>17747.772545448432</c:v>
                </c:pt>
                <c:pt idx="2">
                  <c:v>18200.242688963703</c:v>
                </c:pt>
                <c:pt idx="3">
                  <c:v>18877.275544212891</c:v>
                </c:pt>
                <c:pt idx="4">
                  <c:v>19634.010763062572</c:v>
                </c:pt>
                <c:pt idx="5">
                  <c:v>20266.026674062883</c:v>
                </c:pt>
                <c:pt idx="6">
                  <c:v>20594.874962207177</c:v>
                </c:pt>
                <c:pt idx="7">
                  <c:v>20038.595444513936</c:v>
                </c:pt>
                <c:pt idx="8">
                  <c:v>15904.25189342765</c:v>
                </c:pt>
                <c:pt idx="9">
                  <c:v>13108.04591053178</c:v>
                </c:pt>
                <c:pt idx="10">
                  <c:v>12157.237595706409</c:v>
                </c:pt>
                <c:pt idx="11">
                  <c:v>10463.341029007956</c:v>
                </c:pt>
                <c:pt idx="12">
                  <c:v>9070.6091210970008</c:v>
                </c:pt>
                <c:pt idx="13">
                  <c:v>7710.0915778237313</c:v>
                </c:pt>
                <c:pt idx="14">
                  <c:v>7002.9849246813255</c:v>
                </c:pt>
                <c:pt idx="15">
                  <c:v>6693.7965896649594</c:v>
                </c:pt>
                <c:pt idx="16">
                  <c:v>6634.821204707031</c:v>
                </c:pt>
                <c:pt idx="17">
                  <c:v>6677.8906045999411</c:v>
                </c:pt>
                <c:pt idx="18">
                  <c:v>6755.3387066492078</c:v>
                </c:pt>
                <c:pt idx="19">
                  <c:v>6841.2164344214461</c:v>
                </c:pt>
                <c:pt idx="20">
                  <c:v>6933.9203253009564</c:v>
                </c:pt>
                <c:pt idx="21">
                  <c:v>7033.9929705273489</c:v>
                </c:pt>
                <c:pt idx="22">
                  <c:v>7142.0200902911065</c:v>
                </c:pt>
                <c:pt idx="23">
                  <c:v>7258.6339619245909</c:v>
                </c:pt>
                <c:pt idx="24">
                  <c:v>7384.5171205896513</c:v>
                </c:pt>
                <c:pt idx="25">
                  <c:v>7520.4063541218184</c:v>
                </c:pt>
                <c:pt idx="26">
                  <c:v>7667.0970154126744</c:v>
                </c:pt>
                <c:pt idx="27">
                  <c:v>7825.4476775705843</c:v>
                </c:pt>
                <c:pt idx="28">
                  <c:v>7996.3851591061639</c:v>
                </c:pt>
                <c:pt idx="29">
                  <c:v>8180.9099485547176</c:v>
                </c:pt>
                <c:pt idx="30">
                  <c:v>8380.1020602856097</c:v>
                </c:pt>
                <c:pt idx="31">
                  <c:v>8595.1273557723962</c:v>
                </c:pt>
                <c:pt idx="32">
                  <c:v>8827.2443673217513</c:v>
                </c:pt>
                <c:pt idx="33">
                  <c:v>9077.8116642001532</c:v>
                </c:pt>
                <c:pt idx="34">
                  <c:v>9348.2958042718892</c:v>
                </c:pt>
                <c:pt idx="35">
                  <c:v>9640.2799176889421</c:v>
                </c:pt>
                <c:pt idx="36">
                  <c:v>9955.4729728726197</c:v>
                </c:pt>
                <c:pt idx="37">
                  <c:v>10295.71977902033</c:v>
                </c:pt>
                <c:pt idx="38">
                  <c:v>10663.011783681579</c:v>
                </c:pt>
                <c:pt idx="39">
                  <c:v>11059.498728600949</c:v>
                </c:pt>
                <c:pt idx="40">
                  <c:v>11487.501232049079</c:v>
                </c:pt>
                <c:pt idx="41">
                  <c:v>11949.524371285395</c:v>
                </c:pt>
                <c:pt idx="42">
                  <c:v>12448.272344650122</c:v>
                </c:pt>
                <c:pt idx="43">
                  <c:v>12986.664299101971</c:v>
                </c:pt>
                <c:pt idx="44">
                  <c:v>13567.851415839403</c:v>
                </c:pt>
                <c:pt idx="45">
                  <c:v>14195.235354006662</c:v>
                </c:pt>
                <c:pt idx="46">
                  <c:v>14872.488160434723</c:v>
                </c:pt>
                <c:pt idx="47">
                  <c:v>15603.573761947853</c:v>
                </c:pt>
                <c:pt idx="48">
                  <c:v>16392.771166029168</c:v>
                </c:pt>
                <c:pt idx="49">
                  <c:v>17244.699505637574</c:v>
                </c:pt>
                <c:pt idx="50">
                  <c:v>18164.345074762063</c:v>
                </c:pt>
                <c:pt idx="51">
                  <c:v>19157.090512951214</c:v>
                </c:pt>
                <c:pt idx="52">
                  <c:v>20228.746309633436</c:v>
                </c:pt>
                <c:pt idx="53">
                  <c:v>21385.584812621124</c:v>
                </c:pt>
                <c:pt idx="54">
                  <c:v>22634.376939848931</c:v>
                </c:pt>
                <c:pt idx="55">
                  <c:v>23982.431809217978</c:v>
                </c:pt>
                <c:pt idx="56">
                  <c:v>25437.639518497599</c:v>
                </c:pt>
                <c:pt idx="57">
                  <c:v>27008.517325673194</c:v>
                </c:pt>
                <c:pt idx="58">
                  <c:v>28704.259500031516</c:v>
                </c:pt>
                <c:pt idx="59">
                  <c:v>30534.791135759224</c:v>
                </c:pt>
                <c:pt idx="60">
                  <c:v>32510.826243023046</c:v>
                </c:pt>
                <c:pt idx="61">
                  <c:v>34643.930456535789</c:v>
                </c:pt>
                <c:pt idx="62">
                  <c:v>36946.58872863822</c:v>
                </c:pt>
                <c:pt idx="63">
                  <c:v>39432.278403101001</c:v>
                </c:pt>
                <c:pt idx="64">
                  <c:v>39987.216497848218</c:v>
                </c:pt>
                <c:pt idx="65">
                  <c:v>40556.312534959594</c:v>
                </c:pt>
                <c:pt idx="66">
                  <c:v>41139.927721088432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'Orig data'!$B$5:$B$78</c15:f>
                <c15:dlblRangeCache>
                  <c:ptCount val="74"/>
                  <c:pt idx="0">
                    <c:v>1951</c:v>
                  </c:pt>
                  <c:pt idx="1">
                    <c:v>1952</c:v>
                  </c:pt>
                  <c:pt idx="2">
                    <c:v>1953</c:v>
                  </c:pt>
                  <c:pt idx="3">
                    <c:v>1954</c:v>
                  </c:pt>
                  <c:pt idx="4">
                    <c:v>1955</c:v>
                  </c:pt>
                  <c:pt idx="5">
                    <c:v>1956</c:v>
                  </c:pt>
                  <c:pt idx="6">
                    <c:v>1957</c:v>
                  </c:pt>
                  <c:pt idx="7">
                    <c:v>1958</c:v>
                  </c:pt>
                  <c:pt idx="8">
                    <c:v>1959</c:v>
                  </c:pt>
                  <c:pt idx="9">
                    <c:v>1960</c:v>
                  </c:pt>
                  <c:pt idx="10">
                    <c:v>1961</c:v>
                  </c:pt>
                  <c:pt idx="11">
                    <c:v>1962</c:v>
                  </c:pt>
                  <c:pt idx="12">
                    <c:v>1963</c:v>
                  </c:pt>
                  <c:pt idx="13">
                    <c:v>1964</c:v>
                  </c:pt>
                  <c:pt idx="14">
                    <c:v>1965</c:v>
                  </c:pt>
                  <c:pt idx="15">
                    <c:v>1966</c:v>
                  </c:pt>
                  <c:pt idx="16">
                    <c:v>1967</c:v>
                  </c:pt>
                  <c:pt idx="17">
                    <c:v>1968</c:v>
                  </c:pt>
                  <c:pt idx="18">
                    <c:v>1969</c:v>
                  </c:pt>
                  <c:pt idx="19">
                    <c:v>1970</c:v>
                  </c:pt>
                  <c:pt idx="20">
                    <c:v>1971</c:v>
                  </c:pt>
                  <c:pt idx="21">
                    <c:v>1972</c:v>
                  </c:pt>
                  <c:pt idx="22">
                    <c:v>1973</c:v>
                  </c:pt>
                  <c:pt idx="23">
                    <c:v>1974</c:v>
                  </c:pt>
                  <c:pt idx="24">
                    <c:v>1975</c:v>
                  </c:pt>
                  <c:pt idx="25">
                    <c:v>1976</c:v>
                  </c:pt>
                  <c:pt idx="26">
                    <c:v>1977</c:v>
                  </c:pt>
                  <c:pt idx="27">
                    <c:v>1978</c:v>
                  </c:pt>
                  <c:pt idx="28">
                    <c:v>1979</c:v>
                  </c:pt>
                  <c:pt idx="29">
                    <c:v>1980</c:v>
                  </c:pt>
                  <c:pt idx="30">
                    <c:v>1981</c:v>
                  </c:pt>
                  <c:pt idx="31">
                    <c:v>1982</c:v>
                  </c:pt>
                  <c:pt idx="32">
                    <c:v>1983</c:v>
                  </c:pt>
                  <c:pt idx="33">
                    <c:v>1984</c:v>
                  </c:pt>
                  <c:pt idx="34">
                    <c:v>1985</c:v>
                  </c:pt>
                  <c:pt idx="35">
                    <c:v>1986</c:v>
                  </c:pt>
                  <c:pt idx="36">
                    <c:v>1987</c:v>
                  </c:pt>
                  <c:pt idx="37">
                    <c:v>1988</c:v>
                  </c:pt>
                  <c:pt idx="38">
                    <c:v>1989</c:v>
                  </c:pt>
                  <c:pt idx="39">
                    <c:v>1990</c:v>
                  </c:pt>
                  <c:pt idx="40">
                    <c:v>1991</c:v>
                  </c:pt>
                  <c:pt idx="41">
                    <c:v>1992</c:v>
                  </c:pt>
                  <c:pt idx="42">
                    <c:v>1993</c:v>
                  </c:pt>
                  <c:pt idx="43">
                    <c:v>1994</c:v>
                  </c:pt>
                  <c:pt idx="44">
                    <c:v>1995</c:v>
                  </c:pt>
                  <c:pt idx="45">
                    <c:v>1996</c:v>
                  </c:pt>
                  <c:pt idx="46">
                    <c:v>1997</c:v>
                  </c:pt>
                  <c:pt idx="47">
                    <c:v>1998</c:v>
                  </c:pt>
                  <c:pt idx="48">
                    <c:v>1999</c:v>
                  </c:pt>
                  <c:pt idx="49">
                    <c:v>2000</c:v>
                  </c:pt>
                  <c:pt idx="50">
                    <c:v>2001</c:v>
                  </c:pt>
                  <c:pt idx="51">
                    <c:v>2002</c:v>
                  </c:pt>
                  <c:pt idx="52">
                    <c:v>2003</c:v>
                  </c:pt>
                  <c:pt idx="53">
                    <c:v>2004</c:v>
                  </c:pt>
                  <c:pt idx="54">
                    <c:v>2005</c:v>
                  </c:pt>
                  <c:pt idx="55">
                    <c:v>2006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2009</c:v>
                  </c:pt>
                  <c:pt idx="59">
                    <c:v>2010</c:v>
                  </c:pt>
                  <c:pt idx="60">
                    <c:v>2011</c:v>
                  </c:pt>
                  <c:pt idx="61">
                    <c:v>2012</c:v>
                  </c:pt>
                  <c:pt idx="62">
                    <c:v>2013</c:v>
                  </c:pt>
                  <c:pt idx="63">
                    <c:v>2014</c:v>
                  </c:pt>
                  <c:pt idx="64">
                    <c:v>2015</c:v>
                  </c:pt>
                  <c:pt idx="65">
                    <c:v>2016</c:v>
                  </c:pt>
                  <c:pt idx="66">
                    <c:v>2017</c:v>
                  </c:pt>
                  <c:pt idx="67">
                    <c:v>2018</c:v>
                  </c:pt>
                  <c:pt idx="68">
                    <c:v>2019</c:v>
                  </c:pt>
                  <c:pt idx="69">
                    <c:v>2020</c:v>
                  </c:pt>
                  <c:pt idx="70">
                    <c:v>2021</c:v>
                  </c:pt>
                  <c:pt idx="71">
                    <c:v>2022</c:v>
                  </c:pt>
                  <c:pt idx="72">
                    <c:v>2023</c:v>
                  </c:pt>
                  <c:pt idx="73">
                    <c:v>2024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87E-476D-ABEA-E45DA06C4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160912"/>
        <c:axId val="1718657120"/>
      </c:scatterChart>
      <c:valAx>
        <c:axId val="31116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SSL expanded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657120"/>
        <c:crosses val="autoZero"/>
        <c:crossBetween val="midCat"/>
      </c:valAx>
      <c:valAx>
        <c:axId val="171865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16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 numbers and lnR/S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'Orig data'!$G$4</c:f>
              <c:strCache>
                <c:ptCount val="1"/>
                <c:pt idx="0">
                  <c:v>SSL numbers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'Orig data'!$B$5:$B$71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data'!$G$5:$G$71</c:f>
              <c:numCache>
                <c:formatCode>0.00</c:formatCode>
                <c:ptCount val="67"/>
                <c:pt idx="0">
                  <c:v>17243.253910066778</c:v>
                </c:pt>
                <c:pt idx="1">
                  <c:v>17747.772545448432</c:v>
                </c:pt>
                <c:pt idx="2">
                  <c:v>18200.242688963703</c:v>
                </c:pt>
                <c:pt idx="3">
                  <c:v>18877.275544212891</c:v>
                </c:pt>
                <c:pt idx="4">
                  <c:v>19634.010763062572</c:v>
                </c:pt>
                <c:pt idx="5">
                  <c:v>20266.026674062883</c:v>
                </c:pt>
                <c:pt idx="6">
                  <c:v>20594.874962207177</c:v>
                </c:pt>
                <c:pt idx="7">
                  <c:v>20038.595444513936</c:v>
                </c:pt>
                <c:pt idx="8">
                  <c:v>15904.25189342765</c:v>
                </c:pt>
                <c:pt idx="9">
                  <c:v>13108.04591053178</c:v>
                </c:pt>
                <c:pt idx="10">
                  <c:v>12157.237595706409</c:v>
                </c:pt>
                <c:pt idx="11">
                  <c:v>10463.341029007956</c:v>
                </c:pt>
                <c:pt idx="12">
                  <c:v>9070.6091210970008</c:v>
                </c:pt>
                <c:pt idx="13">
                  <c:v>7710.0915778237313</c:v>
                </c:pt>
                <c:pt idx="14">
                  <c:v>7002.9849246813255</c:v>
                </c:pt>
                <c:pt idx="15">
                  <c:v>6693.7965896649594</c:v>
                </c:pt>
                <c:pt idx="16">
                  <c:v>6634.821204707031</c:v>
                </c:pt>
                <c:pt idx="17">
                  <c:v>6677.8906045999411</c:v>
                </c:pt>
                <c:pt idx="18">
                  <c:v>6755.3387066492078</c:v>
                </c:pt>
                <c:pt idx="19">
                  <c:v>6841.2164344214461</c:v>
                </c:pt>
                <c:pt idx="20">
                  <c:v>6933.9203253009564</c:v>
                </c:pt>
                <c:pt idx="21">
                  <c:v>7033.9929705273489</c:v>
                </c:pt>
                <c:pt idx="22">
                  <c:v>7142.0200902911065</c:v>
                </c:pt>
                <c:pt idx="23">
                  <c:v>7258.6339619245909</c:v>
                </c:pt>
                <c:pt idx="24">
                  <c:v>7384.5171205896513</c:v>
                </c:pt>
                <c:pt idx="25">
                  <c:v>7520.4063541218184</c:v>
                </c:pt>
                <c:pt idx="26">
                  <c:v>7667.0970154126744</c:v>
                </c:pt>
                <c:pt idx="27">
                  <c:v>7825.4476775705843</c:v>
                </c:pt>
                <c:pt idx="28">
                  <c:v>7996.3851591061639</c:v>
                </c:pt>
                <c:pt idx="29">
                  <c:v>8180.9099485547176</c:v>
                </c:pt>
                <c:pt idx="30">
                  <c:v>8380.1020602856097</c:v>
                </c:pt>
                <c:pt idx="31">
                  <c:v>8595.1273557723962</c:v>
                </c:pt>
                <c:pt idx="32">
                  <c:v>8827.2443673217513</c:v>
                </c:pt>
                <c:pt idx="33">
                  <c:v>9077.8116642001532</c:v>
                </c:pt>
                <c:pt idx="34">
                  <c:v>9348.2958042718892</c:v>
                </c:pt>
                <c:pt idx="35">
                  <c:v>9640.2799176889421</c:v>
                </c:pt>
                <c:pt idx="36">
                  <c:v>9955.4729728726197</c:v>
                </c:pt>
                <c:pt idx="37">
                  <c:v>10295.71977902033</c:v>
                </c:pt>
                <c:pt idx="38">
                  <c:v>10663.011783681579</c:v>
                </c:pt>
                <c:pt idx="39">
                  <c:v>11059.498728600949</c:v>
                </c:pt>
                <c:pt idx="40">
                  <c:v>11487.501232049079</c:v>
                </c:pt>
                <c:pt idx="41">
                  <c:v>11949.524371285395</c:v>
                </c:pt>
                <c:pt idx="42">
                  <c:v>12448.272344650122</c:v>
                </c:pt>
                <c:pt idx="43">
                  <c:v>12986.664299101971</c:v>
                </c:pt>
                <c:pt idx="44">
                  <c:v>13567.851415839403</c:v>
                </c:pt>
                <c:pt idx="45">
                  <c:v>14195.235354006662</c:v>
                </c:pt>
                <c:pt idx="46">
                  <c:v>14872.488160434723</c:v>
                </c:pt>
                <c:pt idx="47">
                  <c:v>15603.573761947853</c:v>
                </c:pt>
                <c:pt idx="48">
                  <c:v>16392.771166029168</c:v>
                </c:pt>
                <c:pt idx="49">
                  <c:v>17244.699505637574</c:v>
                </c:pt>
                <c:pt idx="50">
                  <c:v>18164.345074762063</c:v>
                </c:pt>
                <c:pt idx="51">
                  <c:v>19157.090512951214</c:v>
                </c:pt>
                <c:pt idx="52">
                  <c:v>20228.746309633436</c:v>
                </c:pt>
                <c:pt idx="53">
                  <c:v>21385.584812621124</c:v>
                </c:pt>
                <c:pt idx="54">
                  <c:v>22634.376939848931</c:v>
                </c:pt>
                <c:pt idx="55">
                  <c:v>23982.431809217978</c:v>
                </c:pt>
                <c:pt idx="56">
                  <c:v>25437.639518497599</c:v>
                </c:pt>
                <c:pt idx="57">
                  <c:v>27008.517325673194</c:v>
                </c:pt>
                <c:pt idx="58">
                  <c:v>28704.259500031516</c:v>
                </c:pt>
                <c:pt idx="59">
                  <c:v>30534.791135759224</c:v>
                </c:pt>
                <c:pt idx="60">
                  <c:v>32510.826243023046</c:v>
                </c:pt>
                <c:pt idx="61">
                  <c:v>34643.930456535789</c:v>
                </c:pt>
                <c:pt idx="62">
                  <c:v>36946.58872863822</c:v>
                </c:pt>
                <c:pt idx="63">
                  <c:v>39432.278403101001</c:v>
                </c:pt>
                <c:pt idx="64">
                  <c:v>39987.216497848218</c:v>
                </c:pt>
                <c:pt idx="65">
                  <c:v>40556.312534959594</c:v>
                </c:pt>
                <c:pt idx="66">
                  <c:v>41139.927721088432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3-4F30-A87C-69EAB713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776016"/>
        <c:axId val="391914688"/>
      </c:scatterChart>
      <c:scatterChart>
        <c:scatterStyle val="lineMarker"/>
        <c:varyColors val="0"/>
        <c:ser>
          <c:idx val="1"/>
          <c:order val="1"/>
          <c:tx>
            <c:strRef>
              <c:f>'Orig data'!$J$4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'Orig data'!$B$5:$B$71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'Orig data'!$J$5:$J$71</c:f>
              <c:numCache>
                <c:formatCode>0.00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3-4F30-A87C-69EAB7130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10528"/>
        <c:axId val="391905952"/>
      </c:scatterChart>
      <c:valAx>
        <c:axId val="39177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14688"/>
        <c:crosses val="autoZero"/>
        <c:crossBetween val="midCat"/>
      </c:valAx>
      <c:valAx>
        <c:axId val="39191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76016"/>
        <c:crosses val="autoZero"/>
        <c:crossBetween val="midCat"/>
      </c:valAx>
      <c:valAx>
        <c:axId val="391905952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10528"/>
        <c:crosses val="max"/>
        <c:crossBetween val="midCat"/>
      </c:valAx>
      <c:valAx>
        <c:axId val="39191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905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 vs run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compare'!$T$1</c:f>
              <c:strCache>
                <c:ptCount val="1"/>
                <c:pt idx="0">
                  <c:v>Historical U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A5F7697-1F5F-4D74-B943-7B881946A8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85-43C3-809D-8C446AC1145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9F0BFA7-7E66-4AAE-8187-D23F22608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85-43C3-809D-8C446AC1145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9C0B29C-5E1E-4AE5-B899-F3495959C0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185-43C3-809D-8C446AC1145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796D100-5227-4FE2-AFA3-31624E90E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185-43C3-809D-8C446AC1145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4E8049-FC93-4DAC-A0DF-C734A6A08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85-43C3-809D-8C446AC1145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6944F3-D9F2-4C3E-B11D-C93F7B4DB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85-43C3-809D-8C446AC1145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D11F856-10CB-4C57-990C-1F14E82F1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85-43C3-809D-8C446AC1145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827F4AB-B30B-43D3-A78A-7CC499E3C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85-43C3-809D-8C446AC1145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554135-B164-4196-B553-9AF61D494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85-43C3-809D-8C446AC1145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9162A21-3FA8-4350-AEF3-9D6F60AB54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85-43C3-809D-8C446AC1145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AC6985-7FA2-40ED-A6F9-3F6E07998D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85-43C3-809D-8C446AC1145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65F38C8-8AFC-4ED1-AE38-B7BB730073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85-43C3-809D-8C446AC1145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45DD8F9-1D82-4DBF-9D26-344D56DC17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85-43C3-809D-8C446AC1145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BFEC67-B688-44B4-9954-1A162186C8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85-43C3-809D-8C446AC1145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037FB56-4379-41DD-B73D-6E1C5D65DC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85-43C3-809D-8C446AC1145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47667FF-2517-4149-94A9-8478ED9BB3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185-43C3-809D-8C446AC1145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4CCFEFD-CE6B-447A-A15A-5D75584F7F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185-43C3-809D-8C446AC1145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D62552-5274-413B-802C-19D4A0142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185-43C3-809D-8C446AC1145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69865DB-595D-4BB1-B97D-E0767DCDC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185-43C3-809D-8C446AC1145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269D00D-CA1D-4F04-951D-201E4FDF7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185-43C3-809D-8C446AC1145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341C488-61CA-41E4-B864-38BDF6816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185-43C3-809D-8C446AC1145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9B470E3-A147-441E-872C-7ED96615DE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185-43C3-809D-8C446AC1145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1E73662-15C8-4508-9087-FA16D624A4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E185-43C3-809D-8C446AC1145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EC77E5A-CD48-4452-B774-DDCAF54E8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185-43C3-809D-8C446AC1145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0D40B4C9-04C9-47E7-B666-CEC8AEB2D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E185-43C3-809D-8C446AC1145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4A49D222-075C-4380-A971-144A32D86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185-43C3-809D-8C446AC1145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DAB2AD15-0615-4314-A633-64C0E68F9A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185-43C3-809D-8C446AC1145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C2A720A8-9782-44E5-8236-5319D88742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185-43C3-809D-8C446AC1145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A76C8CC0-992D-492F-BD16-7F7C7F3BAA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185-43C3-809D-8C446AC11451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D405FDD-4E2D-4B45-9DBA-EFC88F30E9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185-43C3-809D-8C446AC11451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83FA625-05CC-4399-843A-B14FEF628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185-43C3-809D-8C446AC11451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0DFC88D-8792-4C43-BF49-0C25DE45B4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185-43C3-809D-8C446AC11451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C47F894-656B-42D5-ABAA-73E1DCE729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185-43C3-809D-8C446AC11451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50E4896-FFFB-4F8E-B073-4C8C3E01F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185-43C3-809D-8C446AC11451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85F57003-992F-4191-AF94-2450DB1FA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185-43C3-809D-8C446AC11451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6A046B1-0BD2-4435-8090-5D073696D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185-43C3-809D-8C446AC11451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9D61DD19-BCBD-4E02-825F-CF9C175D1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185-43C3-809D-8C446AC11451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D51FACCC-59DF-4DF1-A276-7B3463D02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185-43C3-809D-8C446AC11451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292400E-B163-4D05-9EB5-A48441013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185-43C3-809D-8C446AC11451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D090C465-217B-488C-B6DE-BFBE8CE5D8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185-43C3-809D-8C446AC11451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A968E4C5-66B8-4BB4-ADC6-4724226E4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185-43C3-809D-8C446AC11451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C05AB8B3-16DF-4B0F-8305-170FFA8A1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185-43C3-809D-8C446AC11451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D5E91DE-2D8F-4E21-9EFF-799574243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185-43C3-809D-8C446AC11451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46D0F241-E24F-42E4-A2A9-443B5E750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185-43C3-809D-8C446AC11451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CB96F4E3-10BB-4378-B31A-D97660F24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185-43C3-809D-8C446AC11451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43F103DA-33A9-4557-B788-F1AA9D9D7D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185-43C3-809D-8C446AC11451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BA362055-7EB2-4522-B855-F4140E6E8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185-43C3-809D-8C446AC11451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99187C66-7CD6-4AAD-B430-B26F1CD12A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185-43C3-809D-8C446AC11451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E38BF1D9-5AFF-4133-85A3-1D1703D9A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185-43C3-809D-8C446AC11451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419F17A7-1F8F-467D-AA81-56D541D819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185-43C3-809D-8C446AC11451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F06C0A20-1D66-4367-B2DB-411A780FA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185-43C3-809D-8C446AC11451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45A8F92-1A18-40A0-A5CD-7DA805774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185-43C3-809D-8C446AC11451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873866E6-2774-4AB8-9A85-7DE572195F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185-43C3-809D-8C446AC11451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2A6EA84-C8A4-446B-A01C-3D72C97A1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185-43C3-809D-8C446AC11451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452B556-4359-479F-99BD-72F8DD158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185-43C3-809D-8C446AC11451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F9CCC59A-D385-4AC1-96BA-4D8E794BE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185-43C3-809D-8C446AC11451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D4CC8DE3-1D5A-4994-943C-E0B59BB43E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185-43C3-809D-8C446AC11451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05CE32C0-465D-4EA5-ACEA-D1C55A3C66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185-43C3-809D-8C446AC11451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C6D88B70-DC21-47D1-817C-6DE75BC76B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185-43C3-809D-8C446AC11451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F888B5A-EF80-4A24-86A1-90497AC1E1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185-43C3-809D-8C446AC11451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777F7570-C7B5-49F1-BD51-91EFD62EFF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185-43C3-809D-8C446AC11451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F709ADBC-007F-4040-A9DB-F8D4E12B5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185-43C3-809D-8C446AC11451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9A5E9B4B-3AD9-429B-A845-60A0F813A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185-43C3-809D-8C446AC11451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F4364899-B14C-478D-BB4A-B0B1D4800C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185-43C3-809D-8C446AC11451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59B0750A-2028-4DD3-85B9-BAF785C33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185-43C3-809D-8C446AC11451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EBECBA71-E104-4F35-B722-BA1E15E4EA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185-43C3-809D-8C446AC11451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1C519006-2125-4E1B-A304-71CAA8998F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185-43C3-809D-8C446AC11451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60A9B51A-FF78-42DF-B7D9-766E882002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185-43C3-809D-8C446AC11451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12E7A6DE-DC85-4377-A495-AF04B13F3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185-43C3-809D-8C446AC11451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54D98DB-75B2-46B8-8A93-A1C483FEE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185-43C3-809D-8C446AC11451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48866088-11FC-4CD7-8E2A-E9B2D2D10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185-43C3-809D-8C446AC11451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EA17E78-3960-4D2B-B362-D4B5A0A15D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185-43C3-809D-8C446AC114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'policy compare'!$S$2:$S$73</c:f>
              <c:numCache>
                <c:formatCode>General</c:formatCode>
                <c:ptCount val="72"/>
                <c:pt idx="0">
                  <c:v>1187739</c:v>
                </c:pt>
                <c:pt idx="1">
                  <c:v>927000</c:v>
                </c:pt>
                <c:pt idx="2">
                  <c:v>918122</c:v>
                </c:pt>
                <c:pt idx="3">
                  <c:v>1096517</c:v>
                </c:pt>
                <c:pt idx="4">
                  <c:v>357389.09999999992</c:v>
                </c:pt>
                <c:pt idx="5">
                  <c:v>282627</c:v>
                </c:pt>
                <c:pt idx="6">
                  <c:v>308362.99999999994</c:v>
                </c:pt>
                <c:pt idx="7">
                  <c:v>544065.93186850043</c:v>
                </c:pt>
                <c:pt idx="8">
                  <c:v>614926.64487554599</c:v>
                </c:pt>
                <c:pt idx="9">
                  <c:v>387046.89724664099</c:v>
                </c:pt>
                <c:pt idx="10">
                  <c:v>251616.14214615227</c:v>
                </c:pt>
                <c:pt idx="11">
                  <c:v>241416.59881504547</c:v>
                </c:pt>
                <c:pt idx="12">
                  <c:v>327640.48668735276</c:v>
                </c:pt>
                <c:pt idx="13">
                  <c:v>366907.12082483614</c:v>
                </c:pt>
                <c:pt idx="14">
                  <c:v>168080.14817022541</c:v>
                </c:pt>
                <c:pt idx="15">
                  <c:v>408137.8468236422</c:v>
                </c:pt>
                <c:pt idx="16">
                  <c:v>314854.74380164361</c:v>
                </c:pt>
                <c:pt idx="17">
                  <c:v>1137747.2860377347</c:v>
                </c:pt>
                <c:pt idx="18">
                  <c:v>569626.99035989505</c:v>
                </c:pt>
                <c:pt idx="19">
                  <c:v>723902.38431985653</c:v>
                </c:pt>
                <c:pt idx="20">
                  <c:v>369685.00141850073</c:v>
                </c:pt>
                <c:pt idx="21">
                  <c:v>1335366.4493599997</c:v>
                </c:pt>
                <c:pt idx="22">
                  <c:v>1486677.9961585803</c:v>
                </c:pt>
                <c:pt idx="23">
                  <c:v>706353.48170722672</c:v>
                </c:pt>
                <c:pt idx="24">
                  <c:v>479931.4784806252</c:v>
                </c:pt>
                <c:pt idx="25">
                  <c:v>994075.48987078632</c:v>
                </c:pt>
                <c:pt idx="26">
                  <c:v>714340.4547522486</c:v>
                </c:pt>
                <c:pt idx="27">
                  <c:v>1170866.0084676552</c:v>
                </c:pt>
                <c:pt idx="28">
                  <c:v>305527.49775302288</c:v>
                </c:pt>
                <c:pt idx="29">
                  <c:v>902200.16125222784</c:v>
                </c:pt>
                <c:pt idx="30">
                  <c:v>496309.57123742858</c:v>
                </c:pt>
                <c:pt idx="31">
                  <c:v>717475.26979736437</c:v>
                </c:pt>
                <c:pt idx="32">
                  <c:v>466288.34473084798</c:v>
                </c:pt>
                <c:pt idx="33">
                  <c:v>608862.3007138829</c:v>
                </c:pt>
                <c:pt idx="34">
                  <c:v>1827484.5645123832</c:v>
                </c:pt>
                <c:pt idx="35">
                  <c:v>1570122.7310952323</c:v>
                </c:pt>
                <c:pt idx="36">
                  <c:v>478298.90081635024</c:v>
                </c:pt>
                <c:pt idx="37">
                  <c:v>1031497.6766307169</c:v>
                </c:pt>
                <c:pt idx="38">
                  <c:v>1092698.4667264996</c:v>
                </c:pt>
                <c:pt idx="39">
                  <c:v>1590057.2213418295</c:v>
                </c:pt>
                <c:pt idx="40">
                  <c:v>1448841.0143012691</c:v>
                </c:pt>
                <c:pt idx="41">
                  <c:v>1552362.3730925554</c:v>
                </c:pt>
                <c:pt idx="42">
                  <c:v>1474817.6983316527</c:v>
                </c:pt>
                <c:pt idx="43">
                  <c:v>2292293.5496719992</c:v>
                </c:pt>
                <c:pt idx="44">
                  <c:v>1842445.1840150789</c:v>
                </c:pt>
                <c:pt idx="45">
                  <c:v>1247525.1793623904</c:v>
                </c:pt>
                <c:pt idx="46">
                  <c:v>1133685.8245013235</c:v>
                </c:pt>
                <c:pt idx="47">
                  <c:v>4069562.5432835938</c:v>
                </c:pt>
                <c:pt idx="48">
                  <c:v>3083507.8780233189</c:v>
                </c:pt>
                <c:pt idx="49">
                  <c:v>821194.304927652</c:v>
                </c:pt>
                <c:pt idx="50">
                  <c:v>3395840.9212409169</c:v>
                </c:pt>
                <c:pt idx="51">
                  <c:v>2701980.7562391218</c:v>
                </c:pt>
                <c:pt idx="52">
                  <c:v>2003453.7036245412</c:v>
                </c:pt>
                <c:pt idx="53">
                  <c:v>3348300.0367474952</c:v>
                </c:pt>
                <c:pt idx="54">
                  <c:v>1794323.8982165304</c:v>
                </c:pt>
                <c:pt idx="55">
                  <c:v>2683639.5726586096</c:v>
                </c:pt>
                <c:pt idx="56">
                  <c:v>1382600.7638578219</c:v>
                </c:pt>
                <c:pt idx="57">
                  <c:v>1232707.4700926775</c:v>
                </c:pt>
                <c:pt idx="58">
                  <c:v>816443.22330445587</c:v>
                </c:pt>
                <c:pt idx="59">
                  <c:v>659539.7334426723</c:v>
                </c:pt>
                <c:pt idx="60">
                  <c:v>1420920.271489149</c:v>
                </c:pt>
                <c:pt idx="61">
                  <c:v>1702180.4100898972</c:v>
                </c:pt>
                <c:pt idx="62">
                  <c:v>1587914.8449579652</c:v>
                </c:pt>
                <c:pt idx="63">
                  <c:v>1505232.4783333885</c:v>
                </c:pt>
                <c:pt idx="64">
                  <c:v>1449275.9871404259</c:v>
                </c:pt>
                <c:pt idx="65">
                  <c:v>2938495.2258277331</c:v>
                </c:pt>
                <c:pt idx="66">
                  <c:v>1068450.2983042465</c:v>
                </c:pt>
                <c:pt idx="67">
                  <c:v>787555.98977639445</c:v>
                </c:pt>
                <c:pt idx="68">
                  <c:v>325911.25786833616</c:v>
                </c:pt>
                <c:pt idx="69">
                  <c:v>674495.91978459386</c:v>
                </c:pt>
                <c:pt idx="70">
                  <c:v>700998.23639917164</c:v>
                </c:pt>
                <c:pt idx="71">
                  <c:v>1154090.649235846</c:v>
                </c:pt>
              </c:numCache>
            </c:numRef>
          </c:xVal>
          <c:yVal>
            <c:numRef>
              <c:f>'policy compare'!$T$2:$T$73</c:f>
              <c:numCache>
                <c:formatCode>General</c:formatCode>
                <c:ptCount val="72"/>
                <c:pt idx="0">
                  <c:v>0.85541857259886223</c:v>
                </c:pt>
                <c:pt idx="1">
                  <c:v>0.80987055016181231</c:v>
                </c:pt>
                <c:pt idx="2">
                  <c:v>0.85010162048180959</c:v>
                </c:pt>
                <c:pt idx="3">
                  <c:v>0.92122785146057928</c:v>
                </c:pt>
                <c:pt idx="4">
                  <c:v>0.72173186031694869</c:v>
                </c:pt>
                <c:pt idx="5">
                  <c:v>0.88341524341269584</c:v>
                </c:pt>
                <c:pt idx="6">
                  <c:v>0.72546965751403381</c:v>
                </c:pt>
                <c:pt idx="7">
                  <c:v>0.84030837988028484</c:v>
                </c:pt>
                <c:pt idx="8">
                  <c:v>0.76627554011374688</c:v>
                </c:pt>
                <c:pt idx="9">
                  <c:v>0.62944250781901845</c:v>
                </c:pt>
                <c:pt idx="10">
                  <c:v>0.59029190518995134</c:v>
                </c:pt>
                <c:pt idx="11">
                  <c:v>0.47697992689747593</c:v>
                </c:pt>
                <c:pt idx="12">
                  <c:v>0.43438055336526582</c:v>
                </c:pt>
                <c:pt idx="13">
                  <c:v>0.33592513645318611</c:v>
                </c:pt>
                <c:pt idx="14">
                  <c:v>0.24058496409967622</c:v>
                </c:pt>
                <c:pt idx="15">
                  <c:v>0.14043534504322719</c:v>
                </c:pt>
                <c:pt idx="16">
                  <c:v>0.33786063906527186</c:v>
                </c:pt>
                <c:pt idx="17">
                  <c:v>0.41875228158164224</c:v>
                </c:pt>
                <c:pt idx="18">
                  <c:v>0.4654732209378506</c:v>
                </c:pt>
                <c:pt idx="19">
                  <c:v>0.61554327758654503</c:v>
                </c:pt>
                <c:pt idx="20">
                  <c:v>0.22913721822490996</c:v>
                </c:pt>
                <c:pt idx="21">
                  <c:v>0.6864100398571662</c:v>
                </c:pt>
                <c:pt idx="22">
                  <c:v>0.82276901842119232</c:v>
                </c:pt>
                <c:pt idx="23">
                  <c:v>0.51199686844400116</c:v>
                </c:pt>
                <c:pt idx="24">
                  <c:v>0.60629289653002161</c:v>
                </c:pt>
                <c:pt idx="25">
                  <c:v>0.66074570448789605</c:v>
                </c:pt>
                <c:pt idx="26">
                  <c:v>0.17050361504478673</c:v>
                </c:pt>
                <c:pt idx="27">
                  <c:v>0.69711185152498722</c:v>
                </c:pt>
                <c:pt idx="28">
                  <c:v>0.17198735472837279</c:v>
                </c:pt>
                <c:pt idx="29">
                  <c:v>0.65468745360712499</c:v>
                </c:pt>
                <c:pt idx="30">
                  <c:v>0.12648144705569586</c:v>
                </c:pt>
                <c:pt idx="31">
                  <c:v>0.54912425363703044</c:v>
                </c:pt>
                <c:pt idx="32">
                  <c:v>0.2091699443311118</c:v>
                </c:pt>
                <c:pt idx="33">
                  <c:v>0.11639140147812588</c:v>
                </c:pt>
                <c:pt idx="34">
                  <c:v>0.24753948247023994</c:v>
                </c:pt>
                <c:pt idx="35">
                  <c:v>0.36912696063175421</c:v>
                </c:pt>
                <c:pt idx="36">
                  <c:v>0.24404667869525809</c:v>
                </c:pt>
                <c:pt idx="37">
                  <c:v>0.48945861844768335</c:v>
                </c:pt>
                <c:pt idx="38">
                  <c:v>0.32431410272221262</c:v>
                </c:pt>
                <c:pt idx="39">
                  <c:v>0.45953971602968235</c:v>
                </c:pt>
                <c:pt idx="40">
                  <c:v>0.23918884256231565</c:v>
                </c:pt>
                <c:pt idx="41">
                  <c:v>0.3341601755588095</c:v>
                </c:pt>
                <c:pt idx="42">
                  <c:v>0.3326310742532318</c:v>
                </c:pt>
                <c:pt idx="43">
                  <c:v>0.2741307408917748</c:v>
                </c:pt>
                <c:pt idx="44">
                  <c:v>0.1170538932934152</c:v>
                </c:pt>
                <c:pt idx="45">
                  <c:v>4.9872480261254348E-2</c:v>
                </c:pt>
                <c:pt idx="46">
                  <c:v>7.7844579785042778E-2</c:v>
                </c:pt>
                <c:pt idx="47">
                  <c:v>0.12498210487046357</c:v>
                </c:pt>
                <c:pt idx="48">
                  <c:v>3.1268282941623315E-2</c:v>
                </c:pt>
                <c:pt idx="49">
                  <c:v>0.147746699427311</c:v>
                </c:pt>
                <c:pt idx="50">
                  <c:v>7.1918279353250347E-2</c:v>
                </c:pt>
                <c:pt idx="51">
                  <c:v>0.14792153507775563</c:v>
                </c:pt>
                <c:pt idx="52">
                  <c:v>0.25509588830895702</c:v>
                </c:pt>
                <c:pt idx="53">
                  <c:v>0.18975647470329315</c:v>
                </c:pt>
                <c:pt idx="54">
                  <c:v>0.2621207108581336</c:v>
                </c:pt>
                <c:pt idx="55">
                  <c:v>0.26569915366442842</c:v>
                </c:pt>
                <c:pt idx="56">
                  <c:v>0.23533793702535577</c:v>
                </c:pt>
                <c:pt idx="57">
                  <c:v>0.20287027983265393</c:v>
                </c:pt>
                <c:pt idx="58">
                  <c:v>0.41909970141729669</c:v>
                </c:pt>
                <c:pt idx="59">
                  <c:v>8.0120544316124476E-2</c:v>
                </c:pt>
                <c:pt idx="60">
                  <c:v>0.24058744294460999</c:v>
                </c:pt>
                <c:pt idx="61">
                  <c:v>0.18856883391753065</c:v>
                </c:pt>
                <c:pt idx="62">
                  <c:v>0.27069681105165166</c:v>
                </c:pt>
                <c:pt idx="63">
                  <c:v>0.22700035149764719</c:v>
                </c:pt>
                <c:pt idx="64">
                  <c:v>0.34545149017060428</c:v>
                </c:pt>
                <c:pt idx="65">
                  <c:v>0.32921171050971265</c:v>
                </c:pt>
                <c:pt idx="66">
                  <c:v>0.38482371184271913</c:v>
                </c:pt>
                <c:pt idx="67">
                  <c:v>0.13248409423599394</c:v>
                </c:pt>
                <c:pt idx="68">
                  <c:v>6.8453816568776693E-2</c:v>
                </c:pt>
                <c:pt idx="69">
                  <c:v>0.1958100162343841</c:v>
                </c:pt>
                <c:pt idx="70">
                  <c:v>5.2634874494096096E-2</c:v>
                </c:pt>
                <c:pt idx="71">
                  <c:v>8.7425475424698362E-2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'policy compare'!$R$2:$R$73</c15:f>
                <c15:dlblRangeCache>
                  <c:ptCount val="72"/>
                  <c:pt idx="0">
                    <c:v>1951</c:v>
                  </c:pt>
                  <c:pt idx="1">
                    <c:v>1952</c:v>
                  </c:pt>
                  <c:pt idx="2">
                    <c:v>1953</c:v>
                  </c:pt>
                  <c:pt idx="3">
                    <c:v>1954</c:v>
                  </c:pt>
                  <c:pt idx="4">
                    <c:v>1955</c:v>
                  </c:pt>
                  <c:pt idx="5">
                    <c:v>1956</c:v>
                  </c:pt>
                  <c:pt idx="6">
                    <c:v>1957</c:v>
                  </c:pt>
                  <c:pt idx="7">
                    <c:v>1958</c:v>
                  </c:pt>
                  <c:pt idx="8">
                    <c:v>1959</c:v>
                  </c:pt>
                  <c:pt idx="9">
                    <c:v>1960</c:v>
                  </c:pt>
                  <c:pt idx="10">
                    <c:v>1961</c:v>
                  </c:pt>
                  <c:pt idx="11">
                    <c:v>1962</c:v>
                  </c:pt>
                  <c:pt idx="12">
                    <c:v>1963</c:v>
                  </c:pt>
                  <c:pt idx="13">
                    <c:v>1964</c:v>
                  </c:pt>
                  <c:pt idx="14">
                    <c:v>1965</c:v>
                  </c:pt>
                  <c:pt idx="15">
                    <c:v>1966</c:v>
                  </c:pt>
                  <c:pt idx="16">
                    <c:v>1967</c:v>
                  </c:pt>
                  <c:pt idx="17">
                    <c:v>1968</c:v>
                  </c:pt>
                  <c:pt idx="18">
                    <c:v>1969</c:v>
                  </c:pt>
                  <c:pt idx="19">
                    <c:v>1970</c:v>
                  </c:pt>
                  <c:pt idx="20">
                    <c:v>1971</c:v>
                  </c:pt>
                  <c:pt idx="21">
                    <c:v>1972</c:v>
                  </c:pt>
                  <c:pt idx="22">
                    <c:v>1973</c:v>
                  </c:pt>
                  <c:pt idx="23">
                    <c:v>1974</c:v>
                  </c:pt>
                  <c:pt idx="24">
                    <c:v>1975</c:v>
                  </c:pt>
                  <c:pt idx="25">
                    <c:v>1976</c:v>
                  </c:pt>
                  <c:pt idx="26">
                    <c:v>1977</c:v>
                  </c:pt>
                  <c:pt idx="27">
                    <c:v>1978</c:v>
                  </c:pt>
                  <c:pt idx="28">
                    <c:v>1979</c:v>
                  </c:pt>
                  <c:pt idx="29">
                    <c:v>1980</c:v>
                  </c:pt>
                  <c:pt idx="30">
                    <c:v>1981</c:v>
                  </c:pt>
                  <c:pt idx="31">
                    <c:v>1982</c:v>
                  </c:pt>
                  <c:pt idx="32">
                    <c:v>1983</c:v>
                  </c:pt>
                  <c:pt idx="33">
                    <c:v>1984</c:v>
                  </c:pt>
                  <c:pt idx="34">
                    <c:v>1985</c:v>
                  </c:pt>
                  <c:pt idx="35">
                    <c:v>1986</c:v>
                  </c:pt>
                  <c:pt idx="36">
                    <c:v>1987</c:v>
                  </c:pt>
                  <c:pt idx="37">
                    <c:v>1988</c:v>
                  </c:pt>
                  <c:pt idx="38">
                    <c:v>1989</c:v>
                  </c:pt>
                  <c:pt idx="39">
                    <c:v>1990</c:v>
                  </c:pt>
                  <c:pt idx="40">
                    <c:v>1991</c:v>
                  </c:pt>
                  <c:pt idx="41">
                    <c:v>1992</c:v>
                  </c:pt>
                  <c:pt idx="42">
                    <c:v>1993</c:v>
                  </c:pt>
                  <c:pt idx="43">
                    <c:v>1994</c:v>
                  </c:pt>
                  <c:pt idx="44">
                    <c:v>1995</c:v>
                  </c:pt>
                  <c:pt idx="45">
                    <c:v>1996</c:v>
                  </c:pt>
                  <c:pt idx="46">
                    <c:v>1997</c:v>
                  </c:pt>
                  <c:pt idx="47">
                    <c:v>1998</c:v>
                  </c:pt>
                  <c:pt idx="48">
                    <c:v>1999</c:v>
                  </c:pt>
                  <c:pt idx="49">
                    <c:v>2000</c:v>
                  </c:pt>
                  <c:pt idx="50">
                    <c:v>2001</c:v>
                  </c:pt>
                  <c:pt idx="51">
                    <c:v>2002</c:v>
                  </c:pt>
                  <c:pt idx="52">
                    <c:v>2003</c:v>
                  </c:pt>
                  <c:pt idx="53">
                    <c:v>2004</c:v>
                  </c:pt>
                  <c:pt idx="54">
                    <c:v>2005</c:v>
                  </c:pt>
                  <c:pt idx="55">
                    <c:v>2006</c:v>
                  </c:pt>
                  <c:pt idx="56">
                    <c:v>2007</c:v>
                  </c:pt>
                  <c:pt idx="57">
                    <c:v>2008</c:v>
                  </c:pt>
                  <c:pt idx="58">
                    <c:v>2009</c:v>
                  </c:pt>
                  <c:pt idx="59">
                    <c:v>2010</c:v>
                  </c:pt>
                  <c:pt idx="60">
                    <c:v>2011</c:v>
                  </c:pt>
                  <c:pt idx="61">
                    <c:v>2012</c:v>
                  </c:pt>
                  <c:pt idx="62">
                    <c:v>2013</c:v>
                  </c:pt>
                  <c:pt idx="63">
                    <c:v>2014</c:v>
                  </c:pt>
                  <c:pt idx="64">
                    <c:v>2015</c:v>
                  </c:pt>
                  <c:pt idx="65">
                    <c:v>2016</c:v>
                  </c:pt>
                  <c:pt idx="66">
                    <c:v>2017</c:v>
                  </c:pt>
                  <c:pt idx="67">
                    <c:v>2018</c:v>
                  </c:pt>
                  <c:pt idx="68">
                    <c:v>2019</c:v>
                  </c:pt>
                  <c:pt idx="69">
                    <c:v>2020</c:v>
                  </c:pt>
                  <c:pt idx="70">
                    <c:v>2021</c:v>
                  </c:pt>
                  <c:pt idx="71">
                    <c:v>2022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E4E3-464B-81F5-1A87C4DC3659}"/>
            </c:ext>
          </c:extLst>
        </c:ser>
        <c:ser>
          <c:idx val="1"/>
          <c:order val="1"/>
          <c:tx>
            <c:v>Const U</c:v>
          </c:tx>
          <c:spPr>
            <a:ln w="2540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compare'!$I$1:$I$2</c:f>
              <c:numCache>
                <c:formatCode>0.00E+00</c:formatCode>
                <c:ptCount val="2"/>
                <c:pt idx="0" formatCode="General">
                  <c:v>0</c:v>
                </c:pt>
                <c:pt idx="1">
                  <c:v>4000000</c:v>
                </c:pt>
              </c:numCache>
            </c:numRef>
          </c:xVal>
          <c:yVal>
            <c:numRef>
              <c:f>'policy compare'!$J$1:$J$2</c:f>
              <c:numCache>
                <c:formatCode>0.00E+00</c:formatCode>
                <c:ptCount val="2"/>
                <c:pt idx="0" formatCode="General">
                  <c:v>0.5</c:v>
                </c:pt>
                <c:pt idx="1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E3-464B-81F5-1A87C4DC3659}"/>
            </c:ext>
          </c:extLst>
        </c:ser>
        <c:ser>
          <c:idx val="2"/>
          <c:order val="2"/>
          <c:tx>
            <c:v>Max Yield</c:v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compare'!$L$1:$L$15</c:f>
              <c:numCache>
                <c:formatCode>General</c:formatCode>
                <c:ptCount val="15"/>
                <c:pt idx="0">
                  <c:v>0</c:v>
                </c:pt>
                <c:pt idx="1">
                  <c:v>841001</c:v>
                </c:pt>
                <c:pt idx="2">
                  <c:v>1091001</c:v>
                </c:pt>
                <c:pt idx="3">
                  <c:v>1341001</c:v>
                </c:pt>
                <c:pt idx="4">
                  <c:v>1591001</c:v>
                </c:pt>
                <c:pt idx="5">
                  <c:v>1841001</c:v>
                </c:pt>
                <c:pt idx="6">
                  <c:v>2091001</c:v>
                </c:pt>
                <c:pt idx="7">
                  <c:v>2341001</c:v>
                </c:pt>
                <c:pt idx="8">
                  <c:v>2591001</c:v>
                </c:pt>
                <c:pt idx="9">
                  <c:v>2841001</c:v>
                </c:pt>
                <c:pt idx="10">
                  <c:v>3091001</c:v>
                </c:pt>
                <c:pt idx="11">
                  <c:v>3341001</c:v>
                </c:pt>
                <c:pt idx="12">
                  <c:v>3591001</c:v>
                </c:pt>
                <c:pt idx="13">
                  <c:v>3841001</c:v>
                </c:pt>
                <c:pt idx="14">
                  <c:v>4091001</c:v>
                </c:pt>
              </c:numCache>
            </c:numRef>
          </c:xVal>
          <c:yVal>
            <c:numRef>
              <c:f>'policy compare'!$M$1:$M$15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0.23304286613852782</c:v>
                </c:pt>
                <c:pt idx="3">
                  <c:v>0.37919434810264863</c:v>
                </c:pt>
                <c:pt idx="4">
                  <c:v>0.47941516064414785</c:v>
                </c:pt>
                <c:pt idx="5">
                  <c:v>0.55241686452098604</c:v>
                </c:pt>
                <c:pt idx="6">
                  <c:v>0.60796240652204359</c:v>
                </c:pt>
                <c:pt idx="7">
                  <c:v>0.65164431796483635</c:v>
                </c:pt>
                <c:pt idx="8">
                  <c:v>0.68689668587545882</c:v>
                </c:pt>
                <c:pt idx="9">
                  <c:v>0.71594483775260898</c:v>
                </c:pt>
                <c:pt idx="10">
                  <c:v>0.74029416360589984</c:v>
                </c:pt>
                <c:pt idx="11">
                  <c:v>0.76099947291245928</c:v>
                </c:pt>
                <c:pt idx="12">
                  <c:v>0.77882183825624096</c:v>
                </c:pt>
                <c:pt idx="13">
                  <c:v>0.79432418788748027</c:v>
                </c:pt>
                <c:pt idx="14">
                  <c:v>0.80793184846447108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E3-464B-81F5-1A87C4DC3659}"/>
            </c:ext>
          </c:extLst>
        </c:ser>
        <c:ser>
          <c:idx val="3"/>
          <c:order val="3"/>
          <c:tx>
            <c:v>Max Utility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'policy compare'!$O$1:$O$16</c:f>
              <c:numCache>
                <c:formatCode>General</c:formatCode>
                <c:ptCount val="16"/>
                <c:pt idx="0">
                  <c:v>0</c:v>
                </c:pt>
                <c:pt idx="1">
                  <c:v>487692</c:v>
                </c:pt>
                <c:pt idx="2">
                  <c:v>737692</c:v>
                </c:pt>
                <c:pt idx="3">
                  <c:v>987692</c:v>
                </c:pt>
                <c:pt idx="4">
                  <c:v>1237692</c:v>
                </c:pt>
                <c:pt idx="5">
                  <c:v>1487692</c:v>
                </c:pt>
                <c:pt idx="6">
                  <c:v>1737692</c:v>
                </c:pt>
                <c:pt idx="7">
                  <c:v>1987692</c:v>
                </c:pt>
                <c:pt idx="8">
                  <c:v>2237692</c:v>
                </c:pt>
                <c:pt idx="9">
                  <c:v>2487692</c:v>
                </c:pt>
                <c:pt idx="10">
                  <c:v>2737692</c:v>
                </c:pt>
                <c:pt idx="11">
                  <c:v>2987692</c:v>
                </c:pt>
                <c:pt idx="12">
                  <c:v>3237692</c:v>
                </c:pt>
                <c:pt idx="13">
                  <c:v>3487692</c:v>
                </c:pt>
                <c:pt idx="14">
                  <c:v>3737692</c:v>
                </c:pt>
                <c:pt idx="15">
                  <c:v>3987692</c:v>
                </c:pt>
              </c:numCache>
            </c:numRef>
          </c:xVal>
          <c:yVal>
            <c:numRef>
              <c:f>'policy compare'!$P$1:$P$16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0.26298238289150483</c:v>
                </c:pt>
                <c:pt idx="3">
                  <c:v>0.39283501334424092</c:v>
                </c:pt>
                <c:pt idx="4">
                  <c:v>0.47023007339467332</c:v>
                </c:pt>
                <c:pt idx="5">
                  <c:v>0.52161334469769283</c:v>
                </c:pt>
                <c:pt idx="6">
                  <c:v>0.55821169689450145</c:v>
                </c:pt>
                <c:pt idx="7">
                  <c:v>0.58560380582102256</c:v>
                </c:pt>
                <c:pt idx="8">
                  <c:v>0.60687529829842535</c:v>
                </c:pt>
                <c:pt idx="9">
                  <c:v>0.62387144389257188</c:v>
                </c:pt>
                <c:pt idx="10">
                  <c:v>0.63776348836903496</c:v>
                </c:pt>
                <c:pt idx="11">
                  <c:v>0.64933065389605082</c:v>
                </c:pt>
                <c:pt idx="12">
                  <c:v>0.65911149053090901</c:v>
                </c:pt>
                <c:pt idx="13">
                  <c:v>0.66749013387650058</c:v>
                </c:pt>
                <c:pt idx="14">
                  <c:v>0.67474794605869082</c:v>
                </c:pt>
                <c:pt idx="15">
                  <c:v>0.68109573156602865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E3-464B-81F5-1A87C4DC3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041391"/>
        <c:axId val="834473967"/>
      </c:scatterChart>
      <c:valAx>
        <c:axId val="82804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3967"/>
        <c:crosses val="autoZero"/>
        <c:crossBetween val="midCat"/>
      </c:valAx>
      <c:valAx>
        <c:axId val="83447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Exploitation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041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Utility vs Yield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'policy compare'!$F$9</c:f>
              <c:strCache>
                <c:ptCount val="1"/>
                <c:pt idx="0">
                  <c:v>Utility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D948D0D-C4F3-4BB7-BFC7-B9408FF53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3B6-4303-BECE-6EFE92F73B8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521C3CF-4F33-4390-B7FB-0C59318980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3B6-4303-BECE-6EFE92F73B8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939F874-C5E1-4ABE-9474-083086AF4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3B6-4303-BECE-6EFE92F73B8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54E0BC-9A41-4C1B-AE0D-57B17D05D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3B6-4303-BECE-6EFE92F73B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'policy compare'!$E$10:$E$13</c:f>
              <c:numCache>
                <c:formatCode>General</c:formatCode>
                <c:ptCount val="4"/>
                <c:pt idx="0">
                  <c:v>0.42431139815479518</c:v>
                </c:pt>
                <c:pt idx="1">
                  <c:v>0.81956536290388893</c:v>
                </c:pt>
                <c:pt idx="2">
                  <c:v>1</c:v>
                </c:pt>
                <c:pt idx="3">
                  <c:v>0.94630287046865524</c:v>
                </c:pt>
              </c:numCache>
            </c:numRef>
          </c:xVal>
          <c:yVal>
            <c:numRef>
              <c:f>'policy compare'!$F$10:$F$13</c:f>
              <c:numCache>
                <c:formatCode>General</c:formatCode>
                <c:ptCount val="4"/>
                <c:pt idx="0">
                  <c:v>0.62209008022977519</c:v>
                </c:pt>
                <c:pt idx="1">
                  <c:v>0.96018385055073152</c:v>
                </c:pt>
                <c:pt idx="2">
                  <c:v>0.94656707445517452</c:v>
                </c:pt>
                <c:pt idx="3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'policy compare'!$D$10:$D$13</c15:f>
                <c15:dlblRangeCache>
                  <c:ptCount val="4"/>
                  <c:pt idx="0">
                    <c:v>hist</c:v>
                  </c:pt>
                  <c:pt idx="1">
                    <c:v>umsy</c:v>
                  </c:pt>
                  <c:pt idx="2">
                    <c:v>maxY</c:v>
                  </c:pt>
                  <c:pt idx="3">
                    <c:v>maxU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43B6-4303-BECE-6EFE92F73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8570959"/>
        <c:axId val="834471055"/>
      </c:scatterChart>
      <c:valAx>
        <c:axId val="96857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Yield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71055"/>
        <c:crosses val="autoZero"/>
        <c:crossBetween val="midCat"/>
      </c:valAx>
      <c:valAx>
        <c:axId val="83447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Utility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5709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harrison chinook and fraser chum lnRS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Fraser chum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regression!$C$35:$C$64</c:f>
              <c:numCache>
                <c:formatCode>General</c:formatCode>
                <c:ptCount val="3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</c:numCache>
            </c:numRef>
          </c:xVal>
          <c:yVal>
            <c:numRef>
              <c:f>regression!$F$35:$F$64</c:f>
              <c:numCache>
                <c:formatCode>0.0000</c:formatCode>
                <c:ptCount val="30"/>
                <c:pt idx="0">
                  <c:v>0.47975629213268117</c:v>
                </c:pt>
                <c:pt idx="1">
                  <c:v>-0.20544103293288771</c:v>
                </c:pt>
                <c:pt idx="2">
                  <c:v>0.36087270519729242</c:v>
                </c:pt>
                <c:pt idx="3">
                  <c:v>1.4213204341551198</c:v>
                </c:pt>
                <c:pt idx="4">
                  <c:v>1.0547388588728643</c:v>
                </c:pt>
                <c:pt idx="5">
                  <c:v>0.76042506219402317</c:v>
                </c:pt>
                <c:pt idx="6">
                  <c:v>0.84398491289388511</c:v>
                </c:pt>
                <c:pt idx="7">
                  <c:v>0.55131031643518247</c:v>
                </c:pt>
                <c:pt idx="8">
                  <c:v>0.31246929451189542</c:v>
                </c:pt>
                <c:pt idx="9">
                  <c:v>0.39440543013072316</c:v>
                </c:pt>
                <c:pt idx="10">
                  <c:v>0.61782930909398082</c:v>
                </c:pt>
                <c:pt idx="11">
                  <c:v>0.66074625557688782</c:v>
                </c:pt>
                <c:pt idx="12">
                  <c:v>0.39316069207370369</c:v>
                </c:pt>
                <c:pt idx="13">
                  <c:v>0.89411171124051547</c:v>
                </c:pt>
                <c:pt idx="14">
                  <c:v>-0.25231074320517038</c:v>
                </c:pt>
                <c:pt idx="15">
                  <c:v>0.18612596226474895</c:v>
                </c:pt>
                <c:pt idx="16">
                  <c:v>1.1819744052431649</c:v>
                </c:pt>
                <c:pt idx="17">
                  <c:v>-0.52278051581601337</c:v>
                </c:pt>
                <c:pt idx="18">
                  <c:v>0.20514067570148103</c:v>
                </c:pt>
                <c:pt idx="19">
                  <c:v>-0.12273454111898989</c:v>
                </c:pt>
                <c:pt idx="20">
                  <c:v>-0.75655925962537551</c:v>
                </c:pt>
                <c:pt idx="21">
                  <c:v>-0.47641922268505188</c:v>
                </c:pt>
                <c:pt idx="22">
                  <c:v>-1.1041036041238916</c:v>
                </c:pt>
                <c:pt idx="23">
                  <c:v>0.59618044680644766</c:v>
                </c:pt>
                <c:pt idx="24">
                  <c:v>0.31199234632089623</c:v>
                </c:pt>
                <c:pt idx="25">
                  <c:v>1.2187407304265099</c:v>
                </c:pt>
                <c:pt idx="26">
                  <c:v>0.96451789450628955</c:v>
                </c:pt>
                <c:pt idx="27">
                  <c:v>5.2434168798394749E-2</c:v>
                </c:pt>
                <c:pt idx="28">
                  <c:v>0.7849032116775021</c:v>
                </c:pt>
                <c:pt idx="29">
                  <c:v>-0.37187559005235787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C8-4BF2-8EB3-F4C51CF56B7C}"/>
            </c:ext>
          </c:extLst>
        </c:ser>
        <c:ser>
          <c:idx val="1"/>
          <c:order val="1"/>
          <c:tx>
            <c:v>Harrison chinook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regression!$C$35:$C$64</c:f>
              <c:numCache>
                <c:formatCode>General</c:formatCode>
                <c:ptCount val="3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</c:numCache>
            </c:numRef>
          </c:xVal>
          <c:yVal>
            <c:numRef>
              <c:f>regression!$O$35:$O$64</c:f>
              <c:numCache>
                <c:formatCode>General</c:formatCode>
                <c:ptCount val="30"/>
                <c:pt idx="0">
                  <c:v>0.51358296864290698</c:v>
                </c:pt>
                <c:pt idx="1">
                  <c:v>-0.78412903611477358</c:v>
                </c:pt>
                <c:pt idx="2">
                  <c:v>1.4488043392771719</c:v>
                </c:pt>
                <c:pt idx="3">
                  <c:v>1.0208269312611349</c:v>
                </c:pt>
                <c:pt idx="4">
                  <c:v>2.551997335775019</c:v>
                </c:pt>
                <c:pt idx="5">
                  <c:v>1.6265740345345301</c:v>
                </c:pt>
                <c:pt idx="6">
                  <c:v>1.1739809471065379</c:v>
                </c:pt>
                <c:pt idx="7">
                  <c:v>-0.14584017486814516</c:v>
                </c:pt>
                <c:pt idx="8">
                  <c:v>-0.82836923463564427</c:v>
                </c:pt>
                <c:pt idx="9">
                  <c:v>-0.33494283699094279</c:v>
                </c:pt>
                <c:pt idx="10">
                  <c:v>1.330630072928602</c:v>
                </c:pt>
                <c:pt idx="11">
                  <c:v>1.0524857505823424</c:v>
                </c:pt>
                <c:pt idx="12">
                  <c:v>1.7873473568138736</c:v>
                </c:pt>
                <c:pt idx="13">
                  <c:v>0.70384093885931664</c:v>
                </c:pt>
                <c:pt idx="14">
                  <c:v>0.43817767373875721</c:v>
                </c:pt>
                <c:pt idx="15">
                  <c:v>1.5313319122850217</c:v>
                </c:pt>
                <c:pt idx="16">
                  <c:v>1.2344662419895547</c:v>
                </c:pt>
                <c:pt idx="17">
                  <c:v>0.25508651617605416</c:v>
                </c:pt>
                <c:pt idx="18">
                  <c:v>0.85385720682966193</c:v>
                </c:pt>
                <c:pt idx="19">
                  <c:v>-0.20522381807240997</c:v>
                </c:pt>
                <c:pt idx="20">
                  <c:v>-1.2700359171698723</c:v>
                </c:pt>
                <c:pt idx="21">
                  <c:v>0.66245494827694229</c:v>
                </c:pt>
                <c:pt idx="22">
                  <c:v>2.5954928059624675E-2</c:v>
                </c:pt>
                <c:pt idx="23">
                  <c:v>1.3788479090752337</c:v>
                </c:pt>
                <c:pt idx="24">
                  <c:v>0.60693384986174859</c:v>
                </c:pt>
                <c:pt idx="25">
                  <c:v>0.20151571102967264</c:v>
                </c:pt>
                <c:pt idx="26">
                  <c:v>-0.33382430112496392</c:v>
                </c:pt>
                <c:pt idx="27">
                  <c:v>0.33253279551898224</c:v>
                </c:pt>
                <c:pt idx="28">
                  <c:v>-7.2697207565282588E-3</c:v>
                </c:pt>
                <c:pt idx="29">
                  <c:v>-2.4200765283126261E-2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C8-4BF2-8EB3-F4C51CF56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694816"/>
        <c:axId val="123399808"/>
      </c:scatterChart>
      <c:valAx>
        <c:axId val="77269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399808"/>
        <c:crosses val="autoZero"/>
        <c:crossBetween val="midCat"/>
      </c:valAx>
      <c:valAx>
        <c:axId val="12339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lnR/S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94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Harrison chinook and Fraser chum spawners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Chum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regression!$C$35:$C$64</c:f>
              <c:numCache>
                <c:formatCode>General</c:formatCode>
                <c:ptCount val="3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</c:numCache>
            </c:numRef>
          </c:xVal>
          <c:yVal>
            <c:numRef>
              <c:f>regression!$E$35:$E$64</c:f>
              <c:numCache>
                <c:formatCode>#,##0</c:formatCode>
                <c:ptCount val="30"/>
                <c:pt idx="0">
                  <c:v>541478</c:v>
                </c:pt>
                <c:pt idx="1">
                  <c:v>1383808</c:v>
                </c:pt>
                <c:pt idx="2">
                  <c:v>997327</c:v>
                </c:pt>
                <c:pt idx="3">
                  <c:v>363671</c:v>
                </c:pt>
                <c:pt idx="4">
                  <c:v>528467</c:v>
                </c:pt>
                <c:pt idx="5">
                  <c:v>739647</c:v>
                </c:pt>
                <c:pt idx="6">
                  <c:v>861972</c:v>
                </c:pt>
                <c:pt idx="7">
                  <c:v>1106348</c:v>
                </c:pt>
                <c:pt idx="8">
                  <c:v>1035859</c:v>
                </c:pt>
                <c:pt idx="9">
                  <c:v>985479</c:v>
                </c:pt>
                <c:pt idx="10">
                  <c:v>1666079</c:v>
                </c:pt>
                <c:pt idx="11">
                  <c:v>1628542</c:v>
                </c:pt>
                <c:pt idx="12">
                  <c:v>1186180</c:v>
                </c:pt>
                <c:pt idx="13">
                  <c:v>1045815</c:v>
                </c:pt>
                <c:pt idx="14">
                  <c:v>3561043</c:v>
                </c:pt>
                <c:pt idx="15">
                  <c:v>2987256</c:v>
                </c:pt>
                <c:pt idx="16">
                  <c:v>699976</c:v>
                </c:pt>
                <c:pt idx="17">
                  <c:v>3151893</c:v>
                </c:pt>
                <c:pt idx="18">
                  <c:v>2302250</c:v>
                </c:pt>
                <c:pt idx="19">
                  <c:v>1494491</c:v>
                </c:pt>
                <c:pt idx="20">
                  <c:v>2716634</c:v>
                </c:pt>
                <c:pt idx="21">
                  <c:v>1331383</c:v>
                </c:pt>
                <c:pt idx="22">
                  <c:v>1970621</c:v>
                </c:pt>
                <c:pt idx="23">
                  <c:v>1057248</c:v>
                </c:pt>
                <c:pt idx="24">
                  <c:v>982016</c:v>
                </c:pt>
                <c:pt idx="25">
                  <c:v>474550</c:v>
                </c:pt>
                <c:pt idx="26">
                  <c:v>608718</c:v>
                </c:pt>
                <c:pt idx="27">
                  <c:v>1079068</c:v>
                </c:pt>
                <c:pt idx="28">
                  <c:v>1381072</c:v>
                </c:pt>
                <c:pt idx="29">
                  <c:v>1167839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2D-4C9A-A860-E52AF22E8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923935"/>
        <c:axId val="645004079"/>
      </c:scatterChart>
      <c:scatterChart>
        <c:scatterStyle val="lineMarker"/>
        <c:varyColors val="0"/>
        <c:ser>
          <c:idx val="1"/>
          <c:order val="1"/>
          <c:tx>
            <c:v>Harrison chinook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regression!$C$35:$C$64</c:f>
              <c:numCache>
                <c:formatCode>General</c:formatCode>
                <c:ptCount val="30"/>
                <c:pt idx="0">
                  <c:v>1984</c:v>
                </c:pt>
                <c:pt idx="1">
                  <c:v>1985</c:v>
                </c:pt>
                <c:pt idx="2">
                  <c:v>1986</c:v>
                </c:pt>
                <c:pt idx="3">
                  <c:v>1987</c:v>
                </c:pt>
                <c:pt idx="4">
                  <c:v>1988</c:v>
                </c:pt>
                <c:pt idx="5">
                  <c:v>1989</c:v>
                </c:pt>
                <c:pt idx="6">
                  <c:v>1990</c:v>
                </c:pt>
                <c:pt idx="7">
                  <c:v>1991</c:v>
                </c:pt>
                <c:pt idx="8">
                  <c:v>1992</c:v>
                </c:pt>
                <c:pt idx="9">
                  <c:v>1993</c:v>
                </c:pt>
                <c:pt idx="10">
                  <c:v>1994</c:v>
                </c:pt>
                <c:pt idx="11">
                  <c:v>1995</c:v>
                </c:pt>
                <c:pt idx="12">
                  <c:v>1996</c:v>
                </c:pt>
                <c:pt idx="13">
                  <c:v>1997</c:v>
                </c:pt>
                <c:pt idx="14">
                  <c:v>1998</c:v>
                </c:pt>
                <c:pt idx="15">
                  <c:v>1999</c:v>
                </c:pt>
                <c:pt idx="16">
                  <c:v>2000</c:v>
                </c:pt>
                <c:pt idx="17">
                  <c:v>2001</c:v>
                </c:pt>
                <c:pt idx="18">
                  <c:v>2002</c:v>
                </c:pt>
                <c:pt idx="19">
                  <c:v>2003</c:v>
                </c:pt>
                <c:pt idx="20">
                  <c:v>2004</c:v>
                </c:pt>
                <c:pt idx="21">
                  <c:v>2005</c:v>
                </c:pt>
                <c:pt idx="22">
                  <c:v>2006</c:v>
                </c:pt>
                <c:pt idx="23">
                  <c:v>2007</c:v>
                </c:pt>
                <c:pt idx="24">
                  <c:v>2008</c:v>
                </c:pt>
                <c:pt idx="25">
                  <c:v>2009</c:v>
                </c:pt>
                <c:pt idx="26">
                  <c:v>2010</c:v>
                </c:pt>
                <c:pt idx="27">
                  <c:v>2011</c:v>
                </c:pt>
                <c:pt idx="28">
                  <c:v>2012</c:v>
                </c:pt>
                <c:pt idx="29">
                  <c:v>2013</c:v>
                </c:pt>
              </c:numCache>
            </c:numRef>
          </c:xVal>
          <c:yVal>
            <c:numRef>
              <c:f>regression!$P$35:$P$64</c:f>
              <c:numCache>
                <c:formatCode>General</c:formatCode>
                <c:ptCount val="30"/>
                <c:pt idx="0">
                  <c:v>121616</c:v>
                </c:pt>
                <c:pt idx="1">
                  <c:v>174839</c:v>
                </c:pt>
                <c:pt idx="2">
                  <c:v>162774</c:v>
                </c:pt>
                <c:pt idx="3">
                  <c:v>79711</c:v>
                </c:pt>
                <c:pt idx="4">
                  <c:v>35262</c:v>
                </c:pt>
                <c:pt idx="5">
                  <c:v>75782</c:v>
                </c:pt>
                <c:pt idx="6">
                  <c:v>178173</c:v>
                </c:pt>
                <c:pt idx="7">
                  <c:v>91810</c:v>
                </c:pt>
                <c:pt idx="8">
                  <c:v>131928</c:v>
                </c:pt>
                <c:pt idx="9">
                  <c:v>120086</c:v>
                </c:pt>
                <c:pt idx="10">
                  <c:v>99315</c:v>
                </c:pt>
                <c:pt idx="11">
                  <c:v>28757</c:v>
                </c:pt>
                <c:pt idx="12">
                  <c:v>41114</c:v>
                </c:pt>
                <c:pt idx="13">
                  <c:v>72969</c:v>
                </c:pt>
                <c:pt idx="14">
                  <c:v>203768</c:v>
                </c:pt>
                <c:pt idx="15">
                  <c:v>106650</c:v>
                </c:pt>
                <c:pt idx="16">
                  <c:v>86209</c:v>
                </c:pt>
                <c:pt idx="17">
                  <c:v>115809</c:v>
                </c:pt>
                <c:pt idx="18">
                  <c:v>92128</c:v>
                </c:pt>
                <c:pt idx="19">
                  <c:v>248600</c:v>
                </c:pt>
                <c:pt idx="20">
                  <c:v>143244</c:v>
                </c:pt>
                <c:pt idx="21">
                  <c:v>89112</c:v>
                </c:pt>
                <c:pt idx="22">
                  <c:v>61115</c:v>
                </c:pt>
                <c:pt idx="23">
                  <c:v>81954</c:v>
                </c:pt>
                <c:pt idx="24">
                  <c:v>43498</c:v>
                </c:pt>
                <c:pt idx="25">
                  <c:v>77857</c:v>
                </c:pt>
                <c:pt idx="26">
                  <c:v>107036</c:v>
                </c:pt>
                <c:pt idx="27">
                  <c:v>125791</c:v>
                </c:pt>
                <c:pt idx="28">
                  <c:v>48044</c:v>
                </c:pt>
                <c:pt idx="29">
                  <c:v>48682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2D-4C9A-A860-E52AF22E8C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3167471"/>
        <c:axId val="643154991"/>
      </c:scatterChart>
      <c:valAx>
        <c:axId val="914923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004079"/>
        <c:crosses val="autoZero"/>
        <c:crossBetween val="midCat"/>
      </c:valAx>
      <c:valAx>
        <c:axId val="6450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Chum 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923935"/>
        <c:crosses val="autoZero"/>
        <c:crossBetween val="midCat"/>
      </c:valAx>
      <c:valAx>
        <c:axId val="64315499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Chinook 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67471"/>
        <c:crosses val="max"/>
        <c:crossBetween val="midCat"/>
      </c:valAx>
      <c:valAx>
        <c:axId val="6431674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3154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SSL-spawner covariation Fraser chum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regression!$E$1</c:f>
              <c:strCache>
                <c:ptCount val="1"/>
                <c:pt idx="0">
                  <c:v>Spawners (D)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6843832020997374E-3"/>
                  <c:y val="-8.97798191892680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regression!$D$2:$D$68</c:f>
              <c:numCache>
                <c:formatCode>0</c:formatCode>
                <c:ptCount val="67"/>
                <c:pt idx="0">
                  <c:v>17243.253910066778</c:v>
                </c:pt>
                <c:pt idx="1">
                  <c:v>17747.772545448432</c:v>
                </c:pt>
                <c:pt idx="2">
                  <c:v>18200.242688963703</c:v>
                </c:pt>
                <c:pt idx="3">
                  <c:v>18877.275544212891</c:v>
                </c:pt>
                <c:pt idx="4">
                  <c:v>19634.010763062572</c:v>
                </c:pt>
                <c:pt idx="5">
                  <c:v>20266.026674062883</c:v>
                </c:pt>
                <c:pt idx="6">
                  <c:v>20594.874962207177</c:v>
                </c:pt>
                <c:pt idx="7">
                  <c:v>20038.595444513936</c:v>
                </c:pt>
                <c:pt idx="8">
                  <c:v>15904.25189342765</c:v>
                </c:pt>
                <c:pt idx="9">
                  <c:v>13108.04591053178</c:v>
                </c:pt>
                <c:pt idx="10">
                  <c:v>12157.237595706409</c:v>
                </c:pt>
                <c:pt idx="11">
                  <c:v>10463.341029007956</c:v>
                </c:pt>
                <c:pt idx="12">
                  <c:v>9070.6091210970008</c:v>
                </c:pt>
                <c:pt idx="13">
                  <c:v>7710.0915778237313</c:v>
                </c:pt>
                <c:pt idx="14">
                  <c:v>7002.9849246813255</c:v>
                </c:pt>
                <c:pt idx="15">
                  <c:v>6693.7965896649594</c:v>
                </c:pt>
                <c:pt idx="16">
                  <c:v>6634.821204707031</c:v>
                </c:pt>
                <c:pt idx="17">
                  <c:v>6677.8906045999411</c:v>
                </c:pt>
                <c:pt idx="18">
                  <c:v>6755.3387066492078</c:v>
                </c:pt>
                <c:pt idx="19">
                  <c:v>6841.2164344214461</c:v>
                </c:pt>
                <c:pt idx="20">
                  <c:v>6933.9203253009564</c:v>
                </c:pt>
                <c:pt idx="21">
                  <c:v>7033.9929705273489</c:v>
                </c:pt>
                <c:pt idx="22">
                  <c:v>7142.0200902911065</c:v>
                </c:pt>
                <c:pt idx="23">
                  <c:v>7258.6339619245909</c:v>
                </c:pt>
                <c:pt idx="24">
                  <c:v>7384.5171205896513</c:v>
                </c:pt>
                <c:pt idx="25">
                  <c:v>7520.4063541218184</c:v>
                </c:pt>
                <c:pt idx="26">
                  <c:v>7667.0970154126744</c:v>
                </c:pt>
                <c:pt idx="27">
                  <c:v>7825.4476775705843</c:v>
                </c:pt>
                <c:pt idx="28">
                  <c:v>7996.3851591061639</c:v>
                </c:pt>
                <c:pt idx="29">
                  <c:v>8180.9099485547176</c:v>
                </c:pt>
                <c:pt idx="30">
                  <c:v>8380.1020602856097</c:v>
                </c:pt>
                <c:pt idx="31">
                  <c:v>8595.1273557723962</c:v>
                </c:pt>
                <c:pt idx="32">
                  <c:v>8827.2443673217513</c:v>
                </c:pt>
                <c:pt idx="33">
                  <c:v>9077.8116642001532</c:v>
                </c:pt>
                <c:pt idx="34">
                  <c:v>9348.2958042718892</c:v>
                </c:pt>
                <c:pt idx="35">
                  <c:v>9640.2799176889421</c:v>
                </c:pt>
                <c:pt idx="36">
                  <c:v>9955.4729728726197</c:v>
                </c:pt>
                <c:pt idx="37">
                  <c:v>10295.71977902033</c:v>
                </c:pt>
                <c:pt idx="38">
                  <c:v>10663.011783681579</c:v>
                </c:pt>
                <c:pt idx="39">
                  <c:v>11059.498728600949</c:v>
                </c:pt>
                <c:pt idx="40">
                  <c:v>11487.501232049079</c:v>
                </c:pt>
                <c:pt idx="41">
                  <c:v>11949.524371285395</c:v>
                </c:pt>
                <c:pt idx="42">
                  <c:v>12448.272344650122</c:v>
                </c:pt>
                <c:pt idx="43">
                  <c:v>12986.664299101971</c:v>
                </c:pt>
                <c:pt idx="44">
                  <c:v>13567.851415839403</c:v>
                </c:pt>
                <c:pt idx="45">
                  <c:v>14195.235354006662</c:v>
                </c:pt>
                <c:pt idx="46">
                  <c:v>14872.488160434723</c:v>
                </c:pt>
                <c:pt idx="47">
                  <c:v>15603.573761947853</c:v>
                </c:pt>
                <c:pt idx="48">
                  <c:v>16392.771166029168</c:v>
                </c:pt>
                <c:pt idx="49">
                  <c:v>17244.699505637574</c:v>
                </c:pt>
                <c:pt idx="50">
                  <c:v>18164.345074762063</c:v>
                </c:pt>
                <c:pt idx="51">
                  <c:v>19157.090512951214</c:v>
                </c:pt>
                <c:pt idx="52">
                  <c:v>20228.746309633436</c:v>
                </c:pt>
                <c:pt idx="53">
                  <c:v>21385.584812621124</c:v>
                </c:pt>
                <c:pt idx="54">
                  <c:v>22634.376939848931</c:v>
                </c:pt>
                <c:pt idx="55">
                  <c:v>23982.431809217978</c:v>
                </c:pt>
                <c:pt idx="56">
                  <c:v>25437.639518497599</c:v>
                </c:pt>
                <c:pt idx="57">
                  <c:v>27008.517325673194</c:v>
                </c:pt>
                <c:pt idx="58">
                  <c:v>28704.259500031516</c:v>
                </c:pt>
                <c:pt idx="59">
                  <c:v>30534.791135759224</c:v>
                </c:pt>
                <c:pt idx="60">
                  <c:v>32510.826243023046</c:v>
                </c:pt>
                <c:pt idx="61">
                  <c:v>34643.930456535789</c:v>
                </c:pt>
                <c:pt idx="62">
                  <c:v>36946.58872863822</c:v>
                </c:pt>
                <c:pt idx="63">
                  <c:v>39432.278403101001</c:v>
                </c:pt>
                <c:pt idx="64">
                  <c:v>39987.216497848218</c:v>
                </c:pt>
                <c:pt idx="65">
                  <c:v>40556.312534959594</c:v>
                </c:pt>
                <c:pt idx="66">
                  <c:v>41139.927721088432</c:v>
                </c:pt>
              </c:numCache>
            </c:numRef>
          </c:xVal>
          <c:yVal>
            <c:numRef>
              <c:f>regression!$E$2:$E$68</c:f>
              <c:numCache>
                <c:formatCode>#,##0</c:formatCode>
                <c:ptCount val="67"/>
                <c:pt idx="0">
                  <c:v>171725</c:v>
                </c:pt>
                <c:pt idx="1">
                  <c:v>176250</c:v>
                </c:pt>
                <c:pt idx="2">
                  <c:v>137625</c:v>
                </c:pt>
                <c:pt idx="3">
                  <c:v>86375</c:v>
                </c:pt>
                <c:pt idx="4">
                  <c:v>110500</c:v>
                </c:pt>
                <c:pt idx="5">
                  <c:v>32950</c:v>
                </c:pt>
                <c:pt idx="6">
                  <c:v>84655</c:v>
                </c:pt>
                <c:pt idx="7">
                  <c:v>89400</c:v>
                </c:pt>
                <c:pt idx="8">
                  <c:v>152300</c:v>
                </c:pt>
                <c:pt idx="9">
                  <c:v>144782</c:v>
                </c:pt>
                <c:pt idx="10">
                  <c:v>103920</c:v>
                </c:pt>
                <c:pt idx="11">
                  <c:v>130357</c:v>
                </c:pt>
                <c:pt idx="12">
                  <c:v>192245</c:v>
                </c:pt>
                <c:pt idx="13">
                  <c:v>246741</c:v>
                </c:pt>
                <c:pt idx="14">
                  <c:v>129459</c:v>
                </c:pt>
                <c:pt idx="15">
                  <c:v>360810</c:v>
                </c:pt>
                <c:pt idx="16">
                  <c:v>213873</c:v>
                </c:pt>
                <c:pt idx="17">
                  <c:v>670328</c:v>
                </c:pt>
                <c:pt idx="18">
                  <c:v>309220</c:v>
                </c:pt>
                <c:pt idx="19">
                  <c:v>284250</c:v>
                </c:pt>
                <c:pt idx="20">
                  <c:v>290125</c:v>
                </c:pt>
                <c:pt idx="21">
                  <c:v>423290</c:v>
                </c:pt>
                <c:pt idx="22">
                  <c:v>267080</c:v>
                </c:pt>
                <c:pt idx="23">
                  <c:v>350315</c:v>
                </c:pt>
                <c:pt idx="24">
                  <c:v>191420</c:v>
                </c:pt>
                <c:pt idx="25">
                  <c:v>340517</c:v>
                </c:pt>
                <c:pt idx="26">
                  <c:v>599341</c:v>
                </c:pt>
                <c:pt idx="27">
                  <c:v>358990</c:v>
                </c:pt>
                <c:pt idx="28">
                  <c:v>255634</c:v>
                </c:pt>
                <c:pt idx="29">
                  <c:v>314011</c:v>
                </c:pt>
                <c:pt idx="30">
                  <c:v>436996</c:v>
                </c:pt>
                <c:pt idx="31">
                  <c:v>326439</c:v>
                </c:pt>
                <c:pt idx="32">
                  <c:v>371770</c:v>
                </c:pt>
                <c:pt idx="33">
                  <c:v>541478</c:v>
                </c:pt>
                <c:pt idx="34">
                  <c:v>1383808</c:v>
                </c:pt>
                <c:pt idx="35">
                  <c:v>997327</c:v>
                </c:pt>
                <c:pt idx="36">
                  <c:v>363671</c:v>
                </c:pt>
                <c:pt idx="37">
                  <c:v>528467</c:v>
                </c:pt>
                <c:pt idx="38">
                  <c:v>739647</c:v>
                </c:pt>
                <c:pt idx="39">
                  <c:v>861972</c:v>
                </c:pt>
                <c:pt idx="40">
                  <c:v>1106348</c:v>
                </c:pt>
                <c:pt idx="41">
                  <c:v>1035859</c:v>
                </c:pt>
                <c:pt idx="42">
                  <c:v>985479</c:v>
                </c:pt>
                <c:pt idx="43">
                  <c:v>1666079</c:v>
                </c:pt>
                <c:pt idx="44">
                  <c:v>1628542</c:v>
                </c:pt>
                <c:pt idx="45">
                  <c:v>1186180</c:v>
                </c:pt>
                <c:pt idx="46">
                  <c:v>1045815</c:v>
                </c:pt>
                <c:pt idx="47">
                  <c:v>3561043</c:v>
                </c:pt>
                <c:pt idx="48">
                  <c:v>2987256</c:v>
                </c:pt>
                <c:pt idx="49">
                  <c:v>699976</c:v>
                </c:pt>
                <c:pt idx="50">
                  <c:v>3151893</c:v>
                </c:pt>
                <c:pt idx="51">
                  <c:v>2302250</c:v>
                </c:pt>
                <c:pt idx="52">
                  <c:v>1494491</c:v>
                </c:pt>
                <c:pt idx="53">
                  <c:v>2716634</c:v>
                </c:pt>
                <c:pt idx="54">
                  <c:v>1331383</c:v>
                </c:pt>
                <c:pt idx="55">
                  <c:v>1970621</c:v>
                </c:pt>
                <c:pt idx="56">
                  <c:v>1057248</c:v>
                </c:pt>
                <c:pt idx="57">
                  <c:v>982016</c:v>
                </c:pt>
                <c:pt idx="58">
                  <c:v>474550</c:v>
                </c:pt>
                <c:pt idx="59">
                  <c:v>608718</c:v>
                </c:pt>
                <c:pt idx="60">
                  <c:v>1079068</c:v>
                </c:pt>
                <c:pt idx="61">
                  <c:v>1381072</c:v>
                </c:pt>
                <c:pt idx="62">
                  <c:v>1167839</c:v>
                </c:pt>
                <c:pt idx="63">
                  <c:v>1165580</c:v>
                </c:pt>
                <c:pt idx="64">
                  <c:v>950865</c:v>
                </c:pt>
                <c:pt idx="65">
                  <c:v>1975386</c:v>
                </c:pt>
                <c:pt idx="66">
                  <c:v>659667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1-4015-A08C-9A72B44DD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0102287"/>
        <c:axId val="646592223"/>
      </c:scatterChart>
      <c:valAx>
        <c:axId val="118010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SSL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6592223"/>
        <c:crosses val="autoZero"/>
        <c:crossBetween val="midCat"/>
      </c:valAx>
      <c:valAx>
        <c:axId val="6465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Spawnres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010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 due to covariates and residual Wt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regression!$K$1</c:f>
              <c:strCache>
                <c:ptCount val="1"/>
                <c:pt idx="0">
                  <c:v>Mssl+density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regression!$H$2:$H$68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regression!$K$2:$K$68</c:f>
              <c:numCache>
                <c:formatCode>General</c:formatCode>
                <c:ptCount val="67"/>
                <c:pt idx="0">
                  <c:v>0.44497520868192375</c:v>
                </c:pt>
                <c:pt idx="1">
                  <c:v>0.45772674389379669</c:v>
                </c:pt>
                <c:pt idx="2">
                  <c:v>0.44626527056949788</c:v>
                </c:pt>
                <c:pt idx="3">
                  <c:v>0.43262636511232866</c:v>
                </c:pt>
                <c:pt idx="4">
                  <c:v>0.4610535395625725</c:v>
                </c:pt>
                <c:pt idx="5">
                  <c:v>0.43238473933086241</c:v>
                </c:pt>
                <c:pt idx="6">
                  <c:v>0.46685132092965254</c:v>
                </c:pt>
                <c:pt idx="7">
                  <c:v>0.45801350536023561</c:v>
                </c:pt>
                <c:pt idx="8">
                  <c:v>0.40715429427084676</c:v>
                </c:pt>
                <c:pt idx="9">
                  <c:v>0.34590180158125905</c:v>
                </c:pt>
                <c:pt idx="10">
                  <c:v>0.30452465585920857</c:v>
                </c:pt>
                <c:pt idx="11">
                  <c:v>0.28404423496459053</c:v>
                </c:pt>
                <c:pt idx="12">
                  <c:v>0.28874439906152688</c:v>
                </c:pt>
                <c:pt idx="13">
                  <c:v>0.29013831626762571</c:v>
                </c:pt>
                <c:pt idx="14">
                  <c:v>0.21275239286681424</c:v>
                </c:pt>
                <c:pt idx="15">
                  <c:v>0.33053423110884905</c:v>
                </c:pt>
                <c:pt idx="16">
                  <c:v>0.25050267490432376</c:v>
                </c:pt>
                <c:pt idx="17">
                  <c:v>0.49625046393538774</c:v>
                </c:pt>
                <c:pt idx="18">
                  <c:v>0.3041179952646379</c:v>
                </c:pt>
                <c:pt idx="19">
                  <c:v>0.29248011186003742</c:v>
                </c:pt>
                <c:pt idx="20">
                  <c:v>0.29752879284345757</c:v>
                </c:pt>
                <c:pt idx="21">
                  <c:v>0.37101330772951191</c:v>
                </c:pt>
                <c:pt idx="22">
                  <c:v>0.28942463984387429</c:v>
                </c:pt>
                <c:pt idx="23">
                  <c:v>0.33646256596386132</c:v>
                </c:pt>
                <c:pt idx="24">
                  <c:v>0.25379891543962085</c:v>
                </c:pt>
                <c:pt idx="25">
                  <c:v>0.33656311592629151</c:v>
                </c:pt>
                <c:pt idx="26">
                  <c:v>0.47841167778203758</c:v>
                </c:pt>
                <c:pt idx="27">
                  <c:v>0.35271513862777992</c:v>
                </c:pt>
                <c:pt idx="28">
                  <c:v>0.30076748392188202</c:v>
                </c:pt>
                <c:pt idx="29">
                  <c:v>0.33585995012559666</c:v>
                </c:pt>
                <c:pt idx="30">
                  <c:v>0.40591168376204001</c:v>
                </c:pt>
                <c:pt idx="31">
                  <c:v>0.35100321388078759</c:v>
                </c:pt>
                <c:pt idx="32">
                  <c:v>0.38007101130050691</c:v>
                </c:pt>
                <c:pt idx="33">
                  <c:v>0.47623872040098075</c:v>
                </c:pt>
                <c:pt idx="34">
                  <c:v>0.93364378085941702</c:v>
                </c:pt>
                <c:pt idx="35">
                  <c:v>0.73229000412238354</c:v>
                </c:pt>
                <c:pt idx="36">
                  <c:v>0.39881349816002742</c:v>
                </c:pt>
                <c:pt idx="37">
                  <c:v>0.49418128591419652</c:v>
                </c:pt>
                <c:pt idx="38">
                  <c:v>0.61498532128959305</c:v>
                </c:pt>
                <c:pt idx="39">
                  <c:v>0.68872028834915777</c:v>
                </c:pt>
                <c:pt idx="40">
                  <c:v>0.82857473631435796</c:v>
                </c:pt>
                <c:pt idx="41">
                  <c:v>0.80021522415862434</c:v>
                </c:pt>
                <c:pt idx="42">
                  <c:v>0.78339474556644495</c:v>
                </c:pt>
                <c:pt idx="43">
                  <c:v>1.1595215975537221</c:v>
                </c:pt>
                <c:pt idx="44">
                  <c:v>1.1512777513022519</c:v>
                </c:pt>
                <c:pt idx="45">
                  <c:v>0.92680983763383762</c:v>
                </c:pt>
                <c:pt idx="46">
                  <c:v>0.86536946395600089</c:v>
                </c:pt>
                <c:pt idx="47">
                  <c:v>2.2296303246821072</c:v>
                </c:pt>
                <c:pt idx="48">
                  <c:v>1.9379703626886968</c:v>
                </c:pt>
                <c:pt idx="49">
                  <c:v>0.72838638708610548</c:v>
                </c:pt>
                <c:pt idx="50">
                  <c:v>2.0625424487490043</c:v>
                </c:pt>
                <c:pt idx="51">
                  <c:v>1.6270640845606454</c:v>
                </c:pt>
                <c:pt idx="52">
                  <c:v>1.2156692608814046</c:v>
                </c:pt>
                <c:pt idx="53">
                  <c:v>1.8949636589984558</c:v>
                </c:pt>
                <c:pt idx="54">
                  <c:v>1.1773965621652978</c:v>
                </c:pt>
                <c:pt idx="55">
                  <c:v>1.5479029926609222</c:v>
                </c:pt>
                <c:pt idx="56">
                  <c:v>1.0876999851748619</c:v>
                </c:pt>
                <c:pt idx="57">
                  <c:v>1.0794868410492655</c:v>
                </c:pt>
                <c:pt idx="58">
                  <c:v>0.84195579462231274</c:v>
                </c:pt>
                <c:pt idx="59">
                  <c:v>0.95138917418030555</c:v>
                </c:pt>
                <c:pt idx="60">
                  <c:v>1.2441457183276672</c:v>
                </c:pt>
                <c:pt idx="61">
                  <c:v>1.4498067645081827</c:v>
                </c:pt>
                <c:pt idx="62">
                  <c:v>1.3825372332608565</c:v>
                </c:pt>
                <c:pt idx="63">
                  <c:v>1.4321906586896349</c:v>
                </c:pt>
                <c:pt idx="64">
                  <c:v>1.3283620821377116</c:v>
                </c:pt>
                <c:pt idx="65">
                  <c:v>1.8896145372243693</c:v>
                </c:pt>
                <c:pt idx="66">
                  <c:v>1.195736381848399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A0-4E32-8A02-CF315C62912C}"/>
            </c:ext>
          </c:extLst>
        </c:ser>
        <c:ser>
          <c:idx val="1"/>
          <c:order val="1"/>
          <c:tx>
            <c:strRef>
              <c:f>regression!$L$1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regression!$H$2:$H$68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regression!$L$2:$L$68</c:f>
              <c:numCache>
                <c:formatCode>0.0000</c:formatCode>
                <c:ptCount val="67"/>
                <c:pt idx="0">
                  <c:v>0.29487808283510708</c:v>
                </c:pt>
                <c:pt idx="1">
                  <c:v>-0.3408532179814191</c:v>
                </c:pt>
                <c:pt idx="2">
                  <c:v>-8.5583872470258004E-2</c:v>
                </c:pt>
                <c:pt idx="3">
                  <c:v>0.78202387006793495</c:v>
                </c:pt>
                <c:pt idx="4">
                  <c:v>0.75605170182365167</c:v>
                </c:pt>
                <c:pt idx="5">
                  <c:v>1.6647389081504227</c:v>
                </c:pt>
                <c:pt idx="6">
                  <c:v>0.31938418085432874</c:v>
                </c:pt>
                <c:pt idx="7">
                  <c:v>0.13056523872144143</c:v>
                </c:pt>
                <c:pt idx="8">
                  <c:v>-0.25697203657756007</c:v>
                </c:pt>
                <c:pt idx="9">
                  <c:v>-0.18824039804756409</c:v>
                </c:pt>
                <c:pt idx="10">
                  <c:v>-0.18855641541624779</c:v>
                </c:pt>
                <c:pt idx="11">
                  <c:v>-0.16478087125187912</c:v>
                </c:pt>
                <c:pt idx="12">
                  <c:v>-0.28811914824955676</c:v>
                </c:pt>
                <c:pt idx="13">
                  <c:v>0.12958488340829533</c:v>
                </c:pt>
                <c:pt idx="14">
                  <c:v>0.59832005058470683</c:v>
                </c:pt>
                <c:pt idx="15">
                  <c:v>-0.467057417445366</c:v>
                </c:pt>
                <c:pt idx="16">
                  <c:v>-0.14093288474778598</c:v>
                </c:pt>
                <c:pt idx="17">
                  <c:v>-0.4264055385276333</c:v>
                </c:pt>
                <c:pt idx="18">
                  <c:v>0.4069952292354897</c:v>
                </c:pt>
                <c:pt idx="19">
                  <c:v>8.5770738031646365E-2</c:v>
                </c:pt>
                <c:pt idx="20">
                  <c:v>-0.35708269280981164</c:v>
                </c:pt>
                <c:pt idx="21">
                  <c:v>-0.36088327028636291</c:v>
                </c:pt>
                <c:pt idx="22">
                  <c:v>5.7258223427796962E-2</c:v>
                </c:pt>
                <c:pt idx="23">
                  <c:v>-5.0287132067974527E-2</c:v>
                </c:pt>
                <c:pt idx="24">
                  <c:v>5.4243215212086859E-2</c:v>
                </c:pt>
                <c:pt idx="25">
                  <c:v>-0.3533033075412364</c:v>
                </c:pt>
                <c:pt idx="26">
                  <c:v>-0.84116173120985227</c:v>
                </c:pt>
                <c:pt idx="27">
                  <c:v>-0.47605048625195445</c:v>
                </c:pt>
                <c:pt idx="28">
                  <c:v>-0.3076370191695379</c:v>
                </c:pt>
                <c:pt idx="29">
                  <c:v>-0.26665747871262224</c:v>
                </c:pt>
                <c:pt idx="30">
                  <c:v>0.20853139780015084</c:v>
                </c:pt>
                <c:pt idx="31">
                  <c:v>0.51413394761876496</c:v>
                </c:pt>
                <c:pt idx="32">
                  <c:v>-0.16740380651059872</c:v>
                </c:pt>
                <c:pt idx="33">
                  <c:v>-0.43757085412193991</c:v>
                </c:pt>
                <c:pt idx="34">
                  <c:v>-0.6653631187290725</c:v>
                </c:pt>
                <c:pt idx="35">
                  <c:v>-0.30040315733592593</c:v>
                </c:pt>
                <c:pt idx="36">
                  <c:v>0.42656806565954541</c:v>
                </c:pt>
                <c:pt idx="37">
                  <c:v>0.15535427813145886</c:v>
                </c:pt>
                <c:pt idx="38">
                  <c:v>-1.8155483171985565E-2</c:v>
                </c:pt>
                <c:pt idx="39">
                  <c:v>0.1391393345874411</c:v>
                </c:pt>
                <c:pt idx="40">
                  <c:v>-1.3680813906061462E-2</c:v>
                </c:pt>
                <c:pt idx="41">
                  <c:v>-0.28088134798508213</c:v>
                </c:pt>
                <c:pt idx="42">
                  <c:v>-0.21576569095843379</c:v>
                </c:pt>
                <c:pt idx="43">
                  <c:v>0.3837850399921009</c:v>
                </c:pt>
                <c:pt idx="44">
                  <c:v>0.41845814022353789</c:v>
                </c:pt>
                <c:pt idx="45">
                  <c:v>-7.3595336948060586E-2</c:v>
                </c:pt>
                <c:pt idx="46">
                  <c:v>0.36591530854091447</c:v>
                </c:pt>
                <c:pt idx="47">
                  <c:v>0.58375371482133498</c:v>
                </c:pt>
                <c:pt idx="48">
                  <c:v>0.73053045829784391</c:v>
                </c:pt>
                <c:pt idx="49">
                  <c:v>0.51679492567366858</c:v>
                </c:pt>
                <c:pt idx="50">
                  <c:v>0.14619606627738901</c:v>
                </c:pt>
                <c:pt idx="51">
                  <c:v>0.43863889360652436</c:v>
                </c:pt>
                <c:pt idx="52">
                  <c:v>-0.3006311468931871</c:v>
                </c:pt>
                <c:pt idx="53">
                  <c:v>-0.25516146728252165</c:v>
                </c:pt>
                <c:pt idx="54">
                  <c:v>-0.69258852717535613</c:v>
                </c:pt>
                <c:pt idx="55">
                  <c:v>-0.94976647811857129</c:v>
                </c:pt>
                <c:pt idx="56">
                  <c:v>0.29031456532570776</c:v>
                </c:pt>
                <c:pt idx="57">
                  <c:v>-2.0866792854401517E-3</c:v>
                </c:pt>
                <c:pt idx="58">
                  <c:v>0.66713065839322072</c:v>
                </c:pt>
                <c:pt idx="59">
                  <c:v>0.52234120203099321</c:v>
                </c:pt>
                <c:pt idx="60">
                  <c:v>-9.6985979529539967E-2</c:v>
                </c:pt>
                <c:pt idx="61">
                  <c:v>0.8411441095300829</c:v>
                </c:pt>
                <c:pt idx="62">
                  <c:v>-0.38290422344710323</c:v>
                </c:pt>
                <c:pt idx="63">
                  <c:v>-0.19696196318354942</c:v>
                </c:pt>
                <c:pt idx="64">
                  <c:v>-0.95610338952288954</c:v>
                </c:pt>
                <c:pt idx="65">
                  <c:v>-0.51512942955568863</c:v>
                </c:pt>
                <c:pt idx="66">
                  <c:v>-0.54684061643798021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A0-4E32-8A02-CF315C629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6408831"/>
        <c:axId val="2126357615"/>
      </c:scatterChart>
      <c:valAx>
        <c:axId val="2126408831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357615"/>
        <c:crosses val="autoZero"/>
        <c:crossBetween val="midCat"/>
      </c:valAx>
      <c:valAx>
        <c:axId val="2126357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6408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Mortality components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regression!$J$1</c:f>
              <c:strCache>
                <c:ptCount val="1"/>
                <c:pt idx="0">
                  <c:v>Mssl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regression!$H$2:$H$68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regression!$J$2:$J$68</c:f>
              <c:numCache>
                <c:formatCode>General</c:formatCode>
                <c:ptCount val="67"/>
                <c:pt idx="0">
                  <c:v>0.35285289425986477</c:v>
                </c:pt>
                <c:pt idx="1">
                  <c:v>0.36317698167578594</c:v>
                </c:pt>
                <c:pt idx="2">
                  <c:v>0.37243598815671075</c:v>
                </c:pt>
                <c:pt idx="3">
                  <c:v>0.38629027596860849</c:v>
                </c:pt>
                <c:pt idx="4">
                  <c:v>0.40177553261170618</c:v>
                </c:pt>
                <c:pt idx="5">
                  <c:v>0.41470862775592082</c:v>
                </c:pt>
                <c:pt idx="6">
                  <c:v>0.42143793017466985</c:v>
                </c:pt>
                <c:pt idx="7">
                  <c:v>0.41005464724795099</c:v>
                </c:pt>
                <c:pt idx="8">
                  <c:v>0.32545257066345362</c:v>
                </c:pt>
                <c:pt idx="9">
                  <c:v>0.26823312825673118</c:v>
                </c:pt>
                <c:pt idx="10">
                  <c:v>0.24877650669781465</c:v>
                </c:pt>
                <c:pt idx="11">
                  <c:v>0.21411388969677075</c:v>
                </c:pt>
                <c:pt idx="12">
                  <c:v>0.18561407828080925</c:v>
                </c:pt>
                <c:pt idx="13">
                  <c:v>0.15777347723537496</c:v>
                </c:pt>
                <c:pt idx="14">
                  <c:v>0.14330378199032373</c:v>
                </c:pt>
                <c:pt idx="15">
                  <c:v>0.13697678596910173</c:v>
                </c:pt>
                <c:pt idx="16">
                  <c:v>0.13576995833778407</c:v>
                </c:pt>
                <c:pt idx="17">
                  <c:v>0.13665129793212691</c:v>
                </c:pt>
                <c:pt idx="18">
                  <c:v>0.13823613726149866</c:v>
                </c:pt>
                <c:pt idx="19">
                  <c:v>0.13999347407013918</c:v>
                </c:pt>
                <c:pt idx="20">
                  <c:v>0.14189049631295897</c:v>
                </c:pt>
                <c:pt idx="21">
                  <c:v>0.14393830716632455</c:v>
                </c:pt>
                <c:pt idx="22">
                  <c:v>0.146148892364803</c:v>
                </c:pt>
                <c:pt idx="23">
                  <c:v>0.14853519035306731</c:v>
                </c:pt>
                <c:pt idx="24">
                  <c:v>0.15111116801396626</c:v>
                </c:pt>
                <c:pt idx="25">
                  <c:v>0.15389190241599154</c:v>
                </c:pt>
                <c:pt idx="26">
                  <c:v>0.15689366905860613</c:v>
                </c:pt>
                <c:pt idx="27">
                  <c:v>0.16013403713192925</c:v>
                </c:pt>
                <c:pt idx="28">
                  <c:v>0.16363197234832763</c:v>
                </c:pt>
                <c:pt idx="29">
                  <c:v>0.16740794794778235</c:v>
                </c:pt>
                <c:pt idx="30">
                  <c:v>0.17148406452673884</c:v>
                </c:pt>
                <c:pt idx="31">
                  <c:v>0.17588417939179343</c:v>
                </c:pt>
                <c:pt idx="32">
                  <c:v>0.1806340461953162</c:v>
                </c:pt>
                <c:pt idx="33">
                  <c:v>0.18576146567029117</c:v>
                </c:pt>
                <c:pt idx="34">
                  <c:v>0.19129644834661674</c:v>
                </c:pt>
                <c:pt idx="35">
                  <c:v>0.1972713902012373</c:v>
                </c:pt>
                <c:pt idx="36">
                  <c:v>0.2037212622701767</c:v>
                </c:pt>
                <c:pt idx="37">
                  <c:v>0.21068381533226463</c:v>
                </c:pt>
                <c:pt idx="38">
                  <c:v>0.21819980086255758</c:v>
                </c:pt>
                <c:pt idx="39">
                  <c:v>0.22631320954868586</c:v>
                </c:pt>
                <c:pt idx="40">
                  <c:v>0.23507152876614937</c:v>
                </c:pt>
                <c:pt idx="41">
                  <c:v>0.24452602051955249</c:v>
                </c:pt>
                <c:pt idx="42">
                  <c:v>0.25473202147655544</c:v>
                </c:pt>
                <c:pt idx="43">
                  <c:v>0.26574926685062322</c:v>
                </c:pt>
                <c:pt idx="44">
                  <c:v>0.27764224002824517</c:v>
                </c:pt>
                <c:pt idx="45">
                  <c:v>0.2904805499869722</c:v>
                </c:pt>
                <c:pt idx="46">
                  <c:v>0.30433933871328356</c:v>
                </c:pt>
                <c:pt idx="47">
                  <c:v>0.31929972100487758</c:v>
                </c:pt>
                <c:pt idx="48">
                  <c:v>0.33544925923152807</c:v>
                </c:pt>
                <c:pt idx="49">
                  <c:v>0.35288247583325838</c:v>
                </c:pt>
                <c:pt idx="50">
                  <c:v>0.37170140655545753</c:v>
                </c:pt>
                <c:pt idx="51">
                  <c:v>0.39201619765899831</c:v>
                </c:pt>
                <c:pt idx="52">
                  <c:v>0.4139457506007968</c:v>
                </c:pt>
                <c:pt idx="53">
                  <c:v>0.43761841795809575</c:v>
                </c:pt>
                <c:pt idx="54">
                  <c:v>0.46317275466968444</c:v>
                </c:pt>
                <c:pt idx="55">
                  <c:v>0.49075832899102956</c:v>
                </c:pt>
                <c:pt idx="56">
                  <c:v>0.52053659790979845</c:v>
                </c:pt>
                <c:pt idx="57">
                  <c:v>0.55268185214553756</c:v>
                </c:pt>
                <c:pt idx="58">
                  <c:v>0.58738223626454245</c:v>
                </c:pt>
                <c:pt idx="59">
                  <c:v>0.62484084988060007</c:v>
                </c:pt>
                <c:pt idx="60">
                  <c:v>0.66527693638687602</c:v>
                </c:pt>
                <c:pt idx="61">
                  <c:v>0.70892716617653695</c:v>
                </c:pt>
                <c:pt idx="62">
                  <c:v>0.75604702186273187</c:v>
                </c:pt>
                <c:pt idx="63">
                  <c:v>0.8069122936055555</c:v>
                </c:pt>
                <c:pt idx="64">
                  <c:v>0.81826812666861182</c:v>
                </c:pt>
                <c:pt idx="65">
                  <c:v>0.82991367714614295</c:v>
                </c:pt>
                <c:pt idx="66">
                  <c:v>0.84185633649765579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75-46A8-B439-C90657EFFFE9}"/>
            </c:ext>
          </c:extLst>
        </c:ser>
        <c:ser>
          <c:idx val="1"/>
          <c:order val="1"/>
          <c:tx>
            <c:strRef>
              <c:f>regression!$K$1</c:f>
              <c:strCache>
                <c:ptCount val="1"/>
                <c:pt idx="0">
                  <c:v>Mssl+density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regression!$H$2:$H$68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regression!$K$2:$K$68</c:f>
              <c:numCache>
                <c:formatCode>General</c:formatCode>
                <c:ptCount val="67"/>
                <c:pt idx="0">
                  <c:v>0.44497520868192375</c:v>
                </c:pt>
                <c:pt idx="1">
                  <c:v>0.45772674389379669</c:v>
                </c:pt>
                <c:pt idx="2">
                  <c:v>0.44626527056949788</c:v>
                </c:pt>
                <c:pt idx="3">
                  <c:v>0.43262636511232866</c:v>
                </c:pt>
                <c:pt idx="4">
                  <c:v>0.4610535395625725</c:v>
                </c:pt>
                <c:pt idx="5">
                  <c:v>0.43238473933086241</c:v>
                </c:pt>
                <c:pt idx="6">
                  <c:v>0.46685132092965254</c:v>
                </c:pt>
                <c:pt idx="7">
                  <c:v>0.45801350536023561</c:v>
                </c:pt>
                <c:pt idx="8">
                  <c:v>0.40715429427084676</c:v>
                </c:pt>
                <c:pt idx="9">
                  <c:v>0.34590180158125905</c:v>
                </c:pt>
                <c:pt idx="10">
                  <c:v>0.30452465585920857</c:v>
                </c:pt>
                <c:pt idx="11">
                  <c:v>0.28404423496459053</c:v>
                </c:pt>
                <c:pt idx="12">
                  <c:v>0.28874439906152688</c:v>
                </c:pt>
                <c:pt idx="13">
                  <c:v>0.29013831626762571</c:v>
                </c:pt>
                <c:pt idx="14">
                  <c:v>0.21275239286681424</c:v>
                </c:pt>
                <c:pt idx="15">
                  <c:v>0.33053423110884905</c:v>
                </c:pt>
                <c:pt idx="16">
                  <c:v>0.25050267490432376</c:v>
                </c:pt>
                <c:pt idx="17">
                  <c:v>0.49625046393538774</c:v>
                </c:pt>
                <c:pt idx="18">
                  <c:v>0.3041179952646379</c:v>
                </c:pt>
                <c:pt idx="19">
                  <c:v>0.29248011186003742</c:v>
                </c:pt>
                <c:pt idx="20">
                  <c:v>0.29752879284345757</c:v>
                </c:pt>
                <c:pt idx="21">
                  <c:v>0.37101330772951191</c:v>
                </c:pt>
                <c:pt idx="22">
                  <c:v>0.28942463984387429</c:v>
                </c:pt>
                <c:pt idx="23">
                  <c:v>0.33646256596386132</c:v>
                </c:pt>
                <c:pt idx="24">
                  <c:v>0.25379891543962085</c:v>
                </c:pt>
                <c:pt idx="25">
                  <c:v>0.33656311592629151</c:v>
                </c:pt>
                <c:pt idx="26">
                  <c:v>0.47841167778203758</c:v>
                </c:pt>
                <c:pt idx="27">
                  <c:v>0.35271513862777992</c:v>
                </c:pt>
                <c:pt idx="28">
                  <c:v>0.30076748392188202</c:v>
                </c:pt>
                <c:pt idx="29">
                  <c:v>0.33585995012559666</c:v>
                </c:pt>
                <c:pt idx="30">
                  <c:v>0.40591168376204001</c:v>
                </c:pt>
                <c:pt idx="31">
                  <c:v>0.35100321388078759</c:v>
                </c:pt>
                <c:pt idx="32">
                  <c:v>0.38007101130050691</c:v>
                </c:pt>
                <c:pt idx="33">
                  <c:v>0.47623872040098075</c:v>
                </c:pt>
                <c:pt idx="34">
                  <c:v>0.93364378085941702</c:v>
                </c:pt>
                <c:pt idx="35">
                  <c:v>0.73229000412238354</c:v>
                </c:pt>
                <c:pt idx="36">
                  <c:v>0.39881349816002742</c:v>
                </c:pt>
                <c:pt idx="37">
                  <c:v>0.49418128591419652</c:v>
                </c:pt>
                <c:pt idx="38">
                  <c:v>0.61498532128959305</c:v>
                </c:pt>
                <c:pt idx="39">
                  <c:v>0.68872028834915777</c:v>
                </c:pt>
                <c:pt idx="40">
                  <c:v>0.82857473631435796</c:v>
                </c:pt>
                <c:pt idx="41">
                  <c:v>0.80021522415862434</c:v>
                </c:pt>
                <c:pt idx="42">
                  <c:v>0.78339474556644495</c:v>
                </c:pt>
                <c:pt idx="43">
                  <c:v>1.1595215975537221</c:v>
                </c:pt>
                <c:pt idx="44">
                  <c:v>1.1512777513022519</c:v>
                </c:pt>
                <c:pt idx="45">
                  <c:v>0.92680983763383762</c:v>
                </c:pt>
                <c:pt idx="46">
                  <c:v>0.86536946395600089</c:v>
                </c:pt>
                <c:pt idx="47">
                  <c:v>2.2296303246821072</c:v>
                </c:pt>
                <c:pt idx="48">
                  <c:v>1.9379703626886968</c:v>
                </c:pt>
                <c:pt idx="49">
                  <c:v>0.72838638708610548</c:v>
                </c:pt>
                <c:pt idx="50">
                  <c:v>2.0625424487490043</c:v>
                </c:pt>
                <c:pt idx="51">
                  <c:v>1.6270640845606454</c:v>
                </c:pt>
                <c:pt idx="52">
                  <c:v>1.2156692608814046</c:v>
                </c:pt>
                <c:pt idx="53">
                  <c:v>1.8949636589984558</c:v>
                </c:pt>
                <c:pt idx="54">
                  <c:v>1.1773965621652978</c:v>
                </c:pt>
                <c:pt idx="55">
                  <c:v>1.5479029926609222</c:v>
                </c:pt>
                <c:pt idx="56">
                  <c:v>1.0876999851748619</c:v>
                </c:pt>
                <c:pt idx="57">
                  <c:v>1.0794868410492655</c:v>
                </c:pt>
                <c:pt idx="58">
                  <c:v>0.84195579462231274</c:v>
                </c:pt>
                <c:pt idx="59">
                  <c:v>0.95138917418030555</c:v>
                </c:pt>
                <c:pt idx="60">
                  <c:v>1.2441457183276672</c:v>
                </c:pt>
                <c:pt idx="61">
                  <c:v>1.4498067645081827</c:v>
                </c:pt>
                <c:pt idx="62">
                  <c:v>1.3825372332608565</c:v>
                </c:pt>
                <c:pt idx="63">
                  <c:v>1.4321906586896349</c:v>
                </c:pt>
                <c:pt idx="64">
                  <c:v>1.3283620821377116</c:v>
                </c:pt>
                <c:pt idx="65">
                  <c:v>1.8896145372243693</c:v>
                </c:pt>
                <c:pt idx="66">
                  <c:v>1.195736381848399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75-46A8-B439-C90657EFF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700783"/>
        <c:axId val="1777601775"/>
      </c:scatterChart>
      <c:valAx>
        <c:axId val="2118700783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7601775"/>
        <c:crosses val="autoZero"/>
        <c:crossBetween val="midCat"/>
      </c:valAx>
      <c:valAx>
        <c:axId val="177760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700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regression!$F$1</c:f>
              <c:strCache>
                <c:ptCount val="1"/>
                <c:pt idx="0">
                  <c:v>ln(R/S)(D)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regression!$C$2:$C$68</c:f>
              <c:numCache>
                <c:formatCode>General</c:formatCode>
                <c:ptCount val="67"/>
                <c:pt idx="0">
                  <c:v>1951</c:v>
                </c:pt>
                <c:pt idx="1">
                  <c:v>1952</c:v>
                </c:pt>
                <c:pt idx="2">
                  <c:v>1953</c:v>
                </c:pt>
                <c:pt idx="3">
                  <c:v>1954</c:v>
                </c:pt>
                <c:pt idx="4">
                  <c:v>1955</c:v>
                </c:pt>
                <c:pt idx="5">
                  <c:v>1956</c:v>
                </c:pt>
                <c:pt idx="6">
                  <c:v>1957</c:v>
                </c:pt>
                <c:pt idx="7">
                  <c:v>1958</c:v>
                </c:pt>
                <c:pt idx="8">
                  <c:v>1959</c:v>
                </c:pt>
                <c:pt idx="9">
                  <c:v>1960</c:v>
                </c:pt>
                <c:pt idx="10">
                  <c:v>1961</c:v>
                </c:pt>
                <c:pt idx="11">
                  <c:v>1962</c:v>
                </c:pt>
                <c:pt idx="12">
                  <c:v>1963</c:v>
                </c:pt>
                <c:pt idx="13">
                  <c:v>1964</c:v>
                </c:pt>
                <c:pt idx="14">
                  <c:v>1965</c:v>
                </c:pt>
                <c:pt idx="15">
                  <c:v>1966</c:v>
                </c:pt>
                <c:pt idx="16">
                  <c:v>1967</c:v>
                </c:pt>
                <c:pt idx="17">
                  <c:v>1968</c:v>
                </c:pt>
                <c:pt idx="18">
                  <c:v>1969</c:v>
                </c:pt>
                <c:pt idx="19">
                  <c:v>1970</c:v>
                </c:pt>
                <c:pt idx="20">
                  <c:v>1971</c:v>
                </c:pt>
                <c:pt idx="21">
                  <c:v>1972</c:v>
                </c:pt>
                <c:pt idx="22">
                  <c:v>1973</c:v>
                </c:pt>
                <c:pt idx="23">
                  <c:v>1974</c:v>
                </c:pt>
                <c:pt idx="24">
                  <c:v>1975</c:v>
                </c:pt>
                <c:pt idx="25">
                  <c:v>1976</c:v>
                </c:pt>
                <c:pt idx="26">
                  <c:v>1977</c:v>
                </c:pt>
                <c:pt idx="27">
                  <c:v>1978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1986</c:v>
                </c:pt>
                <c:pt idx="36">
                  <c:v>1987</c:v>
                </c:pt>
                <c:pt idx="37">
                  <c:v>1988</c:v>
                </c:pt>
                <c:pt idx="38">
                  <c:v>1989</c:v>
                </c:pt>
                <c:pt idx="39">
                  <c:v>1990</c:v>
                </c:pt>
                <c:pt idx="40">
                  <c:v>1991</c:v>
                </c:pt>
                <c:pt idx="41">
                  <c:v>1992</c:v>
                </c:pt>
                <c:pt idx="42">
                  <c:v>1993</c:v>
                </c:pt>
                <c:pt idx="43">
                  <c:v>1994</c:v>
                </c:pt>
                <c:pt idx="44">
                  <c:v>1995</c:v>
                </c:pt>
                <c:pt idx="45">
                  <c:v>1996</c:v>
                </c:pt>
                <c:pt idx="46">
                  <c:v>1997</c:v>
                </c:pt>
                <c:pt idx="47">
                  <c:v>1998</c:v>
                </c:pt>
                <c:pt idx="48">
                  <c:v>1999</c:v>
                </c:pt>
                <c:pt idx="49">
                  <c:v>2000</c:v>
                </c:pt>
                <c:pt idx="50">
                  <c:v>2001</c:v>
                </c:pt>
                <c:pt idx="51">
                  <c:v>2002</c:v>
                </c:pt>
                <c:pt idx="52">
                  <c:v>2003</c:v>
                </c:pt>
                <c:pt idx="53">
                  <c:v>2004</c:v>
                </c:pt>
                <c:pt idx="54">
                  <c:v>2005</c:v>
                </c:pt>
                <c:pt idx="55">
                  <c:v>2006</c:v>
                </c:pt>
                <c:pt idx="56">
                  <c:v>2007</c:v>
                </c:pt>
                <c:pt idx="57">
                  <c:v>2008</c:v>
                </c:pt>
                <c:pt idx="58">
                  <c:v>2009</c:v>
                </c:pt>
                <c:pt idx="59">
                  <c:v>2010</c:v>
                </c:pt>
                <c:pt idx="60">
                  <c:v>2011</c:v>
                </c:pt>
                <c:pt idx="61">
                  <c:v>2012</c:v>
                </c:pt>
                <c:pt idx="62">
                  <c:v>2013</c:v>
                </c:pt>
                <c:pt idx="63">
                  <c:v>2014</c:v>
                </c:pt>
                <c:pt idx="64">
                  <c:v>2015</c:v>
                </c:pt>
                <c:pt idx="65">
                  <c:v>2016</c:v>
                </c:pt>
                <c:pt idx="66">
                  <c:v>2017</c:v>
                </c:pt>
              </c:numCache>
            </c:numRef>
          </c:xVal>
          <c:yVal>
            <c:numRef>
              <c:f>regression!$F$2:$F$68</c:f>
              <c:numCache>
                <c:formatCode>0.0000</c:formatCode>
                <c:ptCount val="67"/>
                <c:pt idx="0">
                  <c:v>1.2434687408087852</c:v>
                </c:pt>
                <c:pt idx="1">
                  <c:v>0.59498590478038604</c:v>
                </c:pt>
                <c:pt idx="2">
                  <c:v>0.86171672361584606</c:v>
                </c:pt>
                <c:pt idx="3">
                  <c:v>1.7429633716112083</c:v>
                </c:pt>
                <c:pt idx="4">
                  <c:v>1.688564028916681</c:v>
                </c:pt>
                <c:pt idx="5">
                  <c:v>2.6259200354751622</c:v>
                </c:pt>
                <c:pt idx="6">
                  <c:v>1.2460987265802781</c:v>
                </c:pt>
                <c:pt idx="7">
                  <c:v>1.0661176000168078</c:v>
                </c:pt>
                <c:pt idx="8">
                  <c:v>0.72943953580719501</c:v>
                </c:pt>
                <c:pt idx="9">
                  <c:v>0.85942366702677886</c:v>
                </c:pt>
                <c:pt idx="10">
                  <c:v>0.90048479538014536</c:v>
                </c:pt>
                <c:pt idx="11">
                  <c:v>0.94474076043913235</c:v>
                </c:pt>
                <c:pt idx="12">
                  <c:v>0.81670231934451809</c:v>
                </c:pt>
                <c:pt idx="13">
                  <c:v>1.2330124337962716</c:v>
                </c:pt>
                <c:pt idx="14">
                  <c:v>1.7791335243734945</c:v>
                </c:pt>
                <c:pt idx="15">
                  <c:v>0.59597421810138684</c:v>
                </c:pt>
                <c:pt idx="16">
                  <c:v>1.0021303070034921</c:v>
                </c:pt>
                <c:pt idx="17">
                  <c:v>0.47090986419258096</c:v>
                </c:pt>
                <c:pt idx="18">
                  <c:v>1.4964431006264538</c:v>
                </c:pt>
                <c:pt idx="19">
                  <c:v>1.186856492827211</c:v>
                </c:pt>
                <c:pt idx="20">
                  <c:v>0.73895438100233268</c:v>
                </c:pt>
                <c:pt idx="21">
                  <c:v>0.66166928863972707</c:v>
                </c:pt>
                <c:pt idx="22">
                  <c:v>1.1613994502395246</c:v>
                </c:pt>
                <c:pt idx="23">
                  <c:v>1.006816168623766</c:v>
                </c:pt>
                <c:pt idx="24">
                  <c:v>1.1940101664280678</c:v>
                </c:pt>
                <c:pt idx="25">
                  <c:v>0.70369944318807409</c:v>
                </c:pt>
                <c:pt idx="26">
                  <c:v>7.3992457663711819E-2</c:v>
                </c:pt>
                <c:pt idx="27">
                  <c:v>0.56480024177586741</c:v>
                </c:pt>
                <c:pt idx="28">
                  <c:v>0.78516136356418187</c:v>
                </c:pt>
                <c:pt idx="29">
                  <c:v>0.79104843781738288</c:v>
                </c:pt>
                <c:pt idx="30">
                  <c:v>1.1961855806937127</c:v>
                </c:pt>
                <c:pt idx="31">
                  <c:v>1.5566966003935794</c:v>
                </c:pt>
                <c:pt idx="32">
                  <c:v>0.84609104884449615</c:v>
                </c:pt>
                <c:pt idx="33">
                  <c:v>0.47975629213268117</c:v>
                </c:pt>
                <c:pt idx="34">
                  <c:v>-0.20544103293288771</c:v>
                </c:pt>
                <c:pt idx="35">
                  <c:v>0.36087270519729242</c:v>
                </c:pt>
                <c:pt idx="36">
                  <c:v>1.4213204341551198</c:v>
                </c:pt>
                <c:pt idx="37">
                  <c:v>1.0547388588728643</c:v>
                </c:pt>
                <c:pt idx="38">
                  <c:v>0.76042506219402317</c:v>
                </c:pt>
                <c:pt idx="39">
                  <c:v>0.84398491289388511</c:v>
                </c:pt>
                <c:pt idx="40">
                  <c:v>0.55131031643518247</c:v>
                </c:pt>
                <c:pt idx="41">
                  <c:v>0.31246929451189542</c:v>
                </c:pt>
                <c:pt idx="42">
                  <c:v>0.39440543013072316</c:v>
                </c:pt>
                <c:pt idx="43">
                  <c:v>0.61782930909398082</c:v>
                </c:pt>
                <c:pt idx="44">
                  <c:v>0.66074625557688782</c:v>
                </c:pt>
                <c:pt idx="45">
                  <c:v>0.39316069207370369</c:v>
                </c:pt>
                <c:pt idx="46">
                  <c:v>0.89411171124051547</c:v>
                </c:pt>
                <c:pt idx="47">
                  <c:v>-0.25231074320517038</c:v>
                </c:pt>
                <c:pt idx="48">
                  <c:v>0.18612596226474895</c:v>
                </c:pt>
                <c:pt idx="49">
                  <c:v>1.1819744052431649</c:v>
                </c:pt>
                <c:pt idx="50">
                  <c:v>-0.52278051581601337</c:v>
                </c:pt>
                <c:pt idx="51">
                  <c:v>0.20514067570148103</c:v>
                </c:pt>
                <c:pt idx="52">
                  <c:v>-0.12273454111898989</c:v>
                </c:pt>
                <c:pt idx="53">
                  <c:v>-0.75655925962537551</c:v>
                </c:pt>
                <c:pt idx="54">
                  <c:v>-0.47641922268505188</c:v>
                </c:pt>
                <c:pt idx="55">
                  <c:v>-1.1041036041238916</c:v>
                </c:pt>
                <c:pt idx="56">
                  <c:v>0.59618044680644766</c:v>
                </c:pt>
                <c:pt idx="57">
                  <c:v>0.31199234632089623</c:v>
                </c:pt>
                <c:pt idx="58">
                  <c:v>1.2187407304265099</c:v>
                </c:pt>
                <c:pt idx="59">
                  <c:v>0.96451789450628955</c:v>
                </c:pt>
                <c:pt idx="60">
                  <c:v>5.2434168798394749E-2</c:v>
                </c:pt>
                <c:pt idx="61">
                  <c:v>0.7849032116775021</c:v>
                </c:pt>
                <c:pt idx="62">
                  <c:v>-0.37187559005235787</c:v>
                </c:pt>
                <c:pt idx="63">
                  <c:v>-0.23558675521758243</c:v>
                </c:pt>
                <c:pt idx="64">
                  <c:v>-0.8908996050049991</c:v>
                </c:pt>
                <c:pt idx="65">
                  <c:v>-1.0111781001244562</c:v>
                </c:pt>
                <c:pt idx="66">
                  <c:v>-0.34901113163077735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65-4F96-BF2F-7DB0311FE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144831"/>
        <c:axId val="1631107311"/>
      </c:scatterChart>
      <c:valAx>
        <c:axId val="1632144831"/>
        <c:scaling>
          <c:orientation val="minMax"/>
          <c:max val="2020"/>
          <c:min val="19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107311"/>
        <c:crosses val="autoZero"/>
        <c:crossBetween val="midCat"/>
      </c:valAx>
      <c:valAx>
        <c:axId val="163110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44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464820</xdr:colOff>
      <xdr:row>12</xdr:row>
      <xdr:rowOff>45720</xdr:rowOff>
    </xdr:from>
    <xdr:to>
      <xdr:col>81</xdr:col>
      <xdr:colOff>160020</xdr:colOff>
      <xdr:row>27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BB3448-E897-457D-8219-5D07562B1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321128</xdr:colOff>
      <xdr:row>81</xdr:row>
      <xdr:rowOff>152401</xdr:rowOff>
    </xdr:from>
    <xdr:to>
      <xdr:col>20</xdr:col>
      <xdr:colOff>706582</xdr:colOff>
      <xdr:row>96</xdr:row>
      <xdr:rowOff>182469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E2BD5A-74F1-4752-9CE8-4C2CEA251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130628</xdr:colOff>
      <xdr:row>84</xdr:row>
      <xdr:rowOff>125183</xdr:rowOff>
    </xdr:from>
    <xdr:to>
      <xdr:col>10</xdr:col>
      <xdr:colOff>957940</xdr:colOff>
      <xdr:row>105</xdr:row>
      <xdr:rowOff>83273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DC7844-AE23-48F0-99E0-9D38E4A1D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478970</xdr:colOff>
      <xdr:row>79</xdr:row>
      <xdr:rowOff>141514</xdr:rowOff>
    </xdr:from>
    <xdr:to>
      <xdr:col>55</xdr:col>
      <xdr:colOff>353784</xdr:colOff>
      <xdr:row>104</xdr:row>
      <xdr:rowOff>16328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2E5C1A-AD3A-45A2-B625-BF947E98CF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446314</xdr:colOff>
      <xdr:row>77</xdr:row>
      <xdr:rowOff>54429</xdr:rowOff>
    </xdr:from>
    <xdr:to>
      <xdr:col>29</xdr:col>
      <xdr:colOff>772885</xdr:colOff>
      <xdr:row>101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8242B27-9737-4655-89F1-9229DBCE3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446314</xdr:colOff>
      <xdr:row>101</xdr:row>
      <xdr:rowOff>97972</xdr:rowOff>
    </xdr:from>
    <xdr:to>
      <xdr:col>29</xdr:col>
      <xdr:colOff>772885</xdr:colOff>
      <xdr:row>125</xdr:row>
      <xdr:rowOff>157842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A01AD62-D4B1-4FC1-9B4B-2B65B8160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94</xdr:row>
      <xdr:rowOff>0</xdr:rowOff>
    </xdr:from>
    <xdr:to>
      <xdr:col>18</xdr:col>
      <xdr:colOff>342407</xdr:colOff>
      <xdr:row>109</xdr:row>
      <xdr:rowOff>30068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9056B62-1CF3-4697-919A-E5C4BD6C8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272143</xdr:colOff>
      <xdr:row>11</xdr:row>
      <xdr:rowOff>57150</xdr:rowOff>
    </xdr:from>
    <xdr:to>
      <xdr:col>13</xdr:col>
      <xdr:colOff>489858</xdr:colOff>
      <xdr:row>26</xdr:row>
      <xdr:rowOff>24492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538717-4BF0-4D17-90E4-521BB2080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740229</xdr:colOff>
      <xdr:row>7</xdr:row>
      <xdr:rowOff>51709</xdr:rowOff>
    </xdr:from>
    <xdr:to>
      <xdr:col>20</xdr:col>
      <xdr:colOff>163286</xdr:colOff>
      <xdr:row>22</xdr:row>
      <xdr:rowOff>19052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FA1CAC0-98D8-401E-BE44-45FAD353A6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201384</xdr:colOff>
      <xdr:row>26</xdr:row>
      <xdr:rowOff>81641</xdr:rowOff>
    </xdr:from>
    <xdr:to>
      <xdr:col>21</xdr:col>
      <xdr:colOff>119740</xdr:colOff>
      <xdr:row>43</xdr:row>
      <xdr:rowOff>92527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683950-25C9-4FC1-B4BD-905AD787E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560614</xdr:colOff>
      <xdr:row>21</xdr:row>
      <xdr:rowOff>8</xdr:rowOff>
    </xdr:from>
    <xdr:to>
      <xdr:col>7</xdr:col>
      <xdr:colOff>108856</xdr:colOff>
      <xdr:row>35</xdr:row>
      <xdr:rowOff>38100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330F96F-DE56-4ED6-88F4-5BEA5F8F5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212270</xdr:colOff>
      <xdr:row>11</xdr:row>
      <xdr:rowOff>87087</xdr:rowOff>
    </xdr:from>
    <xdr:to>
      <xdr:col>26</xdr:col>
      <xdr:colOff>223156</xdr:colOff>
      <xdr:row>27</xdr:row>
      <xdr:rowOff>130620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BAD651C-BDE9-4465-A380-9E10EF7043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201386</xdr:colOff>
      <xdr:row>10</xdr:row>
      <xdr:rowOff>174172</xdr:rowOff>
    </xdr:from>
    <xdr:to>
      <xdr:col>32</xdr:col>
      <xdr:colOff>854529</xdr:colOff>
      <xdr:row>30</xdr:row>
      <xdr:rowOff>304791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7B3B382-2B75-4EE3-8080-C15C06A177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37</xdr:col>
      <xdr:colOff>125187</xdr:colOff>
      <xdr:row>44</xdr:row>
      <xdr:rowOff>94159</xdr:rowOff>
    </xdr:from>
    <xdr:to>
      <xdr:col>45</xdr:col>
      <xdr:colOff>72390</xdr:colOff>
      <xdr:row>64</xdr:row>
      <xdr:rowOff>27223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35A1F27-665D-4855-BB86-96BFCB29E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37</xdr:col>
      <xdr:colOff>397328</xdr:colOff>
      <xdr:row>19</xdr:row>
      <xdr:rowOff>168730</xdr:rowOff>
    </xdr:from>
    <xdr:to>
      <xdr:col>45</xdr:col>
      <xdr:colOff>344531</xdr:colOff>
      <xdr:row>38</xdr:row>
      <xdr:rowOff>5454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05CD392-292B-49ED-908A-AEBD621185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48</xdr:col>
      <xdr:colOff>16328</xdr:colOff>
      <xdr:row>5</xdr:row>
      <xdr:rowOff>130629</xdr:rowOff>
    </xdr:from>
    <xdr:to>
      <xdr:col>54</xdr:col>
      <xdr:colOff>446313</xdr:colOff>
      <xdr:row>18</xdr:row>
      <xdr:rowOff>103414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4FFA475-EBD7-426F-B99D-C4319363C7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7</xdr:col>
      <xdr:colOff>21772</xdr:colOff>
      <xdr:row>81</xdr:row>
      <xdr:rowOff>76200</xdr:rowOff>
    </xdr:from>
    <xdr:to>
      <xdr:col>13</xdr:col>
      <xdr:colOff>349976</xdr:colOff>
      <xdr:row>102</xdr:row>
      <xdr:rowOff>11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CBD8EE4-88CF-417B-89C7-7F24868C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47</xdr:col>
      <xdr:colOff>27213</xdr:colOff>
      <xdr:row>20</xdr:row>
      <xdr:rowOff>122462</xdr:rowOff>
    </xdr:from>
    <xdr:to>
      <xdr:col>54</xdr:col>
      <xdr:colOff>359227</xdr:colOff>
      <xdr:row>38</xdr:row>
      <xdr:rowOff>174171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DAB6B5-554F-4F36-AE36-7CC01DA636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54</xdr:col>
      <xdr:colOff>364670</xdr:colOff>
      <xdr:row>8</xdr:row>
      <xdr:rowOff>59879</xdr:rowOff>
    </xdr:from>
    <xdr:to>
      <xdr:col>61</xdr:col>
      <xdr:colOff>97970</xdr:colOff>
      <xdr:row>26</xdr:row>
      <xdr:rowOff>146956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CEA64D-5DA0-4671-A45A-2B0BBD236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0</xdr:colOff>
      <xdr:row>11</xdr:row>
      <xdr:rowOff>10885</xdr:rowOff>
    </xdr:from>
    <xdr:to>
      <xdr:col>5</xdr:col>
      <xdr:colOff>517071</xdr:colOff>
      <xdr:row>25</xdr:row>
      <xdr:rowOff>163285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F12A42F8-C978-4471-AF88-693540051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14</xdr:row>
      <xdr:rowOff>32659</xdr:rowOff>
    </xdr:from>
    <xdr:to>
      <xdr:col>5</xdr:col>
      <xdr:colOff>517071</xdr:colOff>
      <xdr:row>29</xdr:row>
      <xdr:rowOff>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4A0029C-02D5-4E97-8D88-5FB333A915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136072</xdr:colOff>
      <xdr:row>8</xdr:row>
      <xdr:rowOff>32656</xdr:rowOff>
    </xdr:from>
    <xdr:to>
      <xdr:col>12</xdr:col>
      <xdr:colOff>685801</xdr:colOff>
      <xdr:row>27</xdr:row>
      <xdr:rowOff>108855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D7B30EB-7F86-4857-8E4F-CCC552F0F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</xdr:col>
      <xdr:colOff>457199</xdr:colOff>
      <xdr:row>18</xdr:row>
      <xdr:rowOff>43543</xdr:rowOff>
    </xdr:from>
    <xdr:to>
      <xdr:col>11</xdr:col>
      <xdr:colOff>185056</xdr:colOff>
      <xdr:row>30</xdr:row>
      <xdr:rowOff>566057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9E84AAFE-0A4E-4BC4-A582-7CB03CFCA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</xdr:row>
      <xdr:rowOff>148590</xdr:rowOff>
    </xdr:from>
    <xdr:to>
      <xdr:col>13</xdr:col>
      <xdr:colOff>624840</xdr:colOff>
      <xdr:row>22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FC9A9A-DCB3-46D0-9D39-46248A47B7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114300</xdr:colOff>
      <xdr:row>13</xdr:row>
      <xdr:rowOff>80010</xdr:rowOff>
    </xdr:from>
    <xdr:to>
      <xdr:col>6</xdr:col>
      <xdr:colOff>316230</xdr:colOff>
      <xdr:row>33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76F152-263A-436E-AC4C-725FBEA43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590550</xdr:colOff>
      <xdr:row>29</xdr:row>
      <xdr:rowOff>137160</xdr:rowOff>
    </xdr:from>
    <xdr:to>
      <xdr:col>13</xdr:col>
      <xdr:colOff>586740</xdr:colOff>
      <xdr:row>64</xdr:row>
      <xdr:rowOff>106680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E927B9E-A5B4-48D7-B3D4-2745DA7D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24550" y="5440680"/>
          <a:ext cx="3836670" cy="6370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287655</xdr:colOff>
      <xdr:row>32</xdr:row>
      <xdr:rowOff>44450</xdr:rowOff>
    </xdr:from>
    <xdr:to>
      <xdr:col>23</xdr:col>
      <xdr:colOff>455295</xdr:colOff>
      <xdr:row>47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ABD8DE-E526-4378-A4E4-9521B6B6B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568960</xdr:colOff>
      <xdr:row>32</xdr:row>
      <xdr:rowOff>8890</xdr:rowOff>
    </xdr:from>
    <xdr:to>
      <xdr:col>28</xdr:col>
      <xdr:colOff>426720</xdr:colOff>
      <xdr:row>47</xdr:row>
      <xdr:rowOff>8890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F8EE0-10EA-49C2-9A9B-85C2D1FBF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374015</xdr:colOff>
      <xdr:row>0</xdr:row>
      <xdr:rowOff>152400</xdr:rowOff>
    </xdr:from>
    <xdr:to>
      <xdr:col>24</xdr:col>
      <xdr:colOff>525145</xdr:colOff>
      <xdr:row>15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964EC9-1FD1-426E-8E8E-946B742B8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361315</xdr:colOff>
      <xdr:row>15</xdr:row>
      <xdr:rowOff>160020</xdr:rowOff>
    </xdr:from>
    <xdr:to>
      <xdr:col>30</xdr:col>
      <xdr:colOff>561975</xdr:colOff>
      <xdr:row>30</xdr:row>
      <xdr:rowOff>170180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04BA15-1B97-4F59-BADB-5747821402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589280</xdr:colOff>
      <xdr:row>0</xdr:row>
      <xdr:rowOff>0</xdr:rowOff>
    </xdr:from>
    <xdr:to>
      <xdr:col>30</xdr:col>
      <xdr:colOff>66675</xdr:colOff>
      <xdr:row>14</xdr:row>
      <xdr:rowOff>168910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2C07A7-2368-4159-839F-E28A885F6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554990</xdr:colOff>
      <xdr:row>16</xdr:row>
      <xdr:rowOff>85725</xdr:rowOff>
    </xdr:from>
    <xdr:to>
      <xdr:col>25</xdr:col>
      <xdr:colOff>154940</xdr:colOff>
      <xdr:row>31</xdr:row>
      <xdr:rowOff>78740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B5E0A2-B050-47E8-914D-754BF126DF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3471-D828-4F1C-B0E7-C80085A14480}">
  <dimension ref="A1:DP81"/>
  <sheetViews>
    <sheetView zoomScale="70" zoomScaleNormal="70" workbookViewId="0">
      <pane ySplit="4" topLeftCell="A5" activePane="bottomLeft" state="frozen"/>
      <selection pane="bottomLeft" activeCell="J8" sqref="J8"/>
    </sheetView>
  </sheetViews>
  <sheetFormatPr defaultRowHeight="14.5" x14ac:dyDescent="0.35"/>
  <cols>
    <col min="3" max="3" width="13.81640625" customWidth="1"/>
    <col min="4" max="4" width="11.08984375" customWidth="1"/>
    <col min="5" max="11" width="13.36328125" customWidth="1"/>
    <col min="13" max="13" width="11.08984375" customWidth="1"/>
    <col min="14" max="14" width="11.90625" customWidth="1"/>
    <col min="18" max="18" width="11.90625" customWidth="1"/>
    <col min="19" max="22" width="11.54296875" customWidth="1"/>
    <col min="23" max="23" width="9.6328125" customWidth="1"/>
    <col min="24" max="24" width="10.6328125" customWidth="1"/>
    <col min="25" max="25" width="10.90625" customWidth="1"/>
    <col min="27" max="41" width="12.08984375" customWidth="1"/>
    <col min="42" max="42" width="10.36328125" customWidth="1"/>
    <col min="43" max="43" width="12.08984375" customWidth="1"/>
    <col min="44" max="44" width="10.36328125" customWidth="1"/>
    <col min="45" max="45" width="9.6328125" bestFit="1" customWidth="1"/>
    <col min="46" max="46" width="9.1796875" customWidth="1"/>
    <col min="47" max="47" width="12.90625" customWidth="1"/>
    <col min="48" max="48" width="10.90625" customWidth="1"/>
    <col min="50" max="50" width="11.36328125" bestFit="1" customWidth="1"/>
    <col min="54" max="54" width="11.1796875" customWidth="1"/>
    <col min="55" max="55" width="10.6328125" customWidth="1"/>
    <col min="56" max="56" width="10.81640625" bestFit="1" customWidth="1"/>
    <col min="58" max="58" width="15.26953125" bestFit="1" customWidth="1"/>
    <col min="59" max="59" width="9.6328125" customWidth="1"/>
    <col min="60" max="60" width="11.08984375" customWidth="1"/>
    <col min="62" max="62" width="14.36328125" customWidth="1"/>
    <col min="63" max="63" width="11.453125" bestFit="1" customWidth="1"/>
    <col min="67" max="67" width="10.36328125" customWidth="1"/>
    <col min="69" max="69" width="11.54296875" customWidth="1"/>
    <col min="71" max="71" width="9.6328125" customWidth="1"/>
    <col min="73" max="73" width="14.6328125" customWidth="1"/>
    <col min="83" max="83" width="12.08984375" customWidth="1"/>
    <col min="85" max="85" width="12.6328125" customWidth="1"/>
    <col min="87" max="87" width="10.36328125" customWidth="1"/>
    <col min="92" max="94" width="12.90625" customWidth="1"/>
    <col min="95" max="95" width="12.54296875" customWidth="1"/>
    <col min="96" max="96" width="10.81640625" customWidth="1"/>
    <col min="102" max="102" width="10.36328125" customWidth="1"/>
    <col min="103" max="103" width="10.08984375" customWidth="1"/>
    <col min="113" max="113" width="11.08984375" customWidth="1"/>
    <col min="114" max="114" width="12.90625" customWidth="1"/>
    <col min="115" max="116" width="10.6328125" customWidth="1"/>
    <col min="120" max="120" width="25.36328125" bestFit="1" customWidth="1"/>
  </cols>
  <sheetData>
    <row r="1" spans="1:98" ht="18.5" x14ac:dyDescent="0.45">
      <c r="A1" t="s">
        <v>88</v>
      </c>
      <c r="B1">
        <f>INTERCEPT(J5:J71,H5:H71)</f>
        <v>1.129052963556473</v>
      </c>
      <c r="C1" t="s">
        <v>90</v>
      </c>
      <c r="D1" s="46">
        <f>aa/bb*(1-0.07*aa)</f>
        <v>1688967.3715327287</v>
      </c>
      <c r="E1" t="s">
        <v>92</v>
      </c>
      <c r="F1" s="46">
        <f>D1/(1-D2)</f>
        <v>3218878.620993257</v>
      </c>
      <c r="G1" s="46"/>
      <c r="H1" s="45"/>
      <c r="I1" s="45"/>
      <c r="J1" s="45"/>
      <c r="K1" s="45"/>
      <c r="W1" s="9" t="s">
        <v>58</v>
      </c>
      <c r="X1" s="9" t="s">
        <v>59</v>
      </c>
      <c r="Y1" s="9" t="s">
        <v>60</v>
      </c>
      <c r="Z1" s="9" t="s">
        <v>61</v>
      </c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63" t="s">
        <v>110</v>
      </c>
      <c r="AN1" s="9"/>
      <c r="AO1" s="9"/>
      <c r="AP1" s="9"/>
      <c r="AQ1" s="9"/>
      <c r="AR1" s="9"/>
      <c r="AT1" s="61" t="s">
        <v>109</v>
      </c>
      <c r="AZ1" s="61" t="s">
        <v>115</v>
      </c>
      <c r="BA1" s="65">
        <f>SUMPRODUCT(AR5:AR76^0.6)</f>
        <v>226111.3717088706</v>
      </c>
      <c r="BC1" s="70" t="s">
        <v>137</v>
      </c>
      <c r="BD1" s="71">
        <f>SUM(U51:U76)</f>
        <v>8311103.7509343037</v>
      </c>
      <c r="BE1" s="70" t="s">
        <v>136</v>
      </c>
      <c r="BF1" s="71">
        <f>BD2-BD1</f>
        <v>11475186.588604938</v>
      </c>
      <c r="BH1">
        <f>500000/24000</f>
        <v>20.833333333333332</v>
      </c>
    </row>
    <row r="2" spans="1:98" ht="18.5" x14ac:dyDescent="0.45">
      <c r="A2" t="s">
        <v>89</v>
      </c>
      <c r="B2">
        <f>-SLOPE(J5:J71,H5:H71)</f>
        <v>6.1565412065761012E-7</v>
      </c>
      <c r="C2" t="s">
        <v>91</v>
      </c>
      <c r="D2">
        <f>0.5*aa-0.07*aa^2</f>
        <v>0.4752932401621407</v>
      </c>
      <c r="E2" t="s">
        <v>93</v>
      </c>
      <c r="F2" s="46">
        <f>F1-D1</f>
        <v>1529911.2494605284</v>
      </c>
      <c r="G2" s="46"/>
      <c r="H2" s="45" t="s">
        <v>86</v>
      </c>
      <c r="I2" s="45"/>
      <c r="J2" s="45"/>
      <c r="K2" s="45"/>
      <c r="W2" s="44">
        <v>0.3</v>
      </c>
      <c r="X2" s="44">
        <v>0.6</v>
      </c>
      <c r="Y2" s="44">
        <v>0.1</v>
      </c>
      <c r="Z2" s="44">
        <v>0</v>
      </c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64" t="s">
        <v>100</v>
      </c>
      <c r="AQ2" s="61">
        <v>0.5</v>
      </c>
      <c r="AT2" s="61" t="s">
        <v>108</v>
      </c>
      <c r="AU2" s="62">
        <v>2</v>
      </c>
      <c r="AV2" s="61" t="s">
        <v>111</v>
      </c>
      <c r="AZ2">
        <f>retroY</f>
        <v>51361534.879448593</v>
      </c>
      <c r="BA2">
        <f>retroUtil</f>
        <v>226111.3717088706</v>
      </c>
      <c r="BC2" s="70" t="s">
        <v>135</v>
      </c>
      <c r="BD2" s="71">
        <f>SUM(AR51:AR76)</f>
        <v>19786290.339539241</v>
      </c>
      <c r="BE2" s="70" t="s">
        <v>140</v>
      </c>
      <c r="BF2" s="71">
        <f>BF1*12</f>
        <v>137702239.06325924</v>
      </c>
    </row>
    <row r="3" spans="1:98" ht="18.5" x14ac:dyDescent="0.45">
      <c r="A3" t="s">
        <v>76</v>
      </c>
      <c r="F3" s="70" t="s">
        <v>142</v>
      </c>
      <c r="G3" s="70">
        <f>0.0000345*G71</f>
        <v>1.4193275063775508</v>
      </c>
      <c r="H3" s="45" t="s">
        <v>84</v>
      </c>
      <c r="I3" s="45"/>
      <c r="J3" s="45"/>
      <c r="K3" s="45"/>
      <c r="L3" t="s">
        <v>71</v>
      </c>
      <c r="W3" t="s">
        <v>66</v>
      </c>
      <c r="AP3" s="61" t="s">
        <v>101</v>
      </c>
      <c r="AQ3" s="66">
        <f>SUM(AR5:AR76)</f>
        <v>51361534.879448593</v>
      </c>
      <c r="AR3" t="s">
        <v>102</v>
      </c>
      <c r="AS3" s="5">
        <f>SUM(S5:S76)-SUM(H5:H76)</f>
        <v>26625163.697125509</v>
      </c>
      <c r="AU3" t="s">
        <v>114</v>
      </c>
      <c r="AV3" s="61" t="s">
        <v>112</v>
      </c>
      <c r="AW3" s="61">
        <v>0.77633553471873407</v>
      </c>
      <c r="AX3" s="61" t="s">
        <v>113</v>
      </c>
      <c r="AY3" s="61">
        <v>487692.73365257285</v>
      </c>
      <c r="BB3" t="s">
        <v>5</v>
      </c>
      <c r="BC3" t="s">
        <v>6</v>
      </c>
      <c r="BD3" t="s">
        <v>7</v>
      </c>
      <c r="BF3" t="s">
        <v>8</v>
      </c>
      <c r="BG3" t="s">
        <v>14</v>
      </c>
      <c r="BH3" t="s">
        <v>9</v>
      </c>
      <c r="BI3" t="s">
        <v>3</v>
      </c>
      <c r="BJ3" s="13" t="s">
        <v>17</v>
      </c>
      <c r="BK3" s="17" t="s">
        <v>19</v>
      </c>
      <c r="BL3" t="s">
        <v>12</v>
      </c>
      <c r="BM3" t="s">
        <v>5</v>
      </c>
      <c r="BN3" t="s">
        <v>22</v>
      </c>
      <c r="BP3" t="s">
        <v>12</v>
      </c>
      <c r="BS3" t="s">
        <v>5</v>
      </c>
      <c r="BT3" t="s">
        <v>22</v>
      </c>
    </row>
    <row r="4" spans="1:98" ht="73.5" x14ac:dyDescent="0.45">
      <c r="A4" t="s">
        <v>51</v>
      </c>
      <c r="B4" t="s">
        <v>72</v>
      </c>
      <c r="C4" t="s">
        <v>81</v>
      </c>
      <c r="D4" s="9" t="s">
        <v>85</v>
      </c>
      <c r="E4" t="s">
        <v>79</v>
      </c>
      <c r="F4" t="s">
        <v>51</v>
      </c>
      <c r="G4" t="s">
        <v>141</v>
      </c>
      <c r="H4" s="45" t="s">
        <v>81</v>
      </c>
      <c r="I4" s="45" t="s">
        <v>62</v>
      </c>
      <c r="J4" s="45" t="s">
        <v>80</v>
      </c>
      <c r="K4" s="45" t="s">
        <v>87</v>
      </c>
      <c r="L4" t="s">
        <v>29</v>
      </c>
      <c r="M4" t="s">
        <v>30</v>
      </c>
      <c r="N4" t="s">
        <v>57</v>
      </c>
      <c r="P4" s="9" t="s">
        <v>51</v>
      </c>
      <c r="Q4" s="9" t="s">
        <v>1</v>
      </c>
      <c r="R4" s="9" t="s">
        <v>44</v>
      </c>
      <c r="S4" s="9" t="s">
        <v>74</v>
      </c>
      <c r="T4" s="9" t="s">
        <v>130</v>
      </c>
      <c r="U4" s="9" t="s">
        <v>134</v>
      </c>
      <c r="V4" s="9" t="s">
        <v>77</v>
      </c>
      <c r="W4" s="9" t="s">
        <v>58</v>
      </c>
      <c r="X4" s="9" t="s">
        <v>59</v>
      </c>
      <c r="Y4" s="9" t="s">
        <v>60</v>
      </c>
      <c r="Z4" s="9" t="s">
        <v>61</v>
      </c>
      <c r="AA4" s="21" t="s">
        <v>94</v>
      </c>
      <c r="AB4" s="21"/>
      <c r="AC4" s="21"/>
      <c r="AD4" s="21"/>
      <c r="AE4" s="21"/>
      <c r="AF4" s="21" t="s">
        <v>75</v>
      </c>
      <c r="AG4" s="21" t="s">
        <v>98</v>
      </c>
      <c r="AH4" s="21" t="s">
        <v>97</v>
      </c>
      <c r="AI4" s="21" t="s">
        <v>95</v>
      </c>
      <c r="AJ4" s="21" t="s">
        <v>96</v>
      </c>
      <c r="AK4" s="21"/>
      <c r="AL4" s="21" t="s">
        <v>133</v>
      </c>
      <c r="AM4" s="21" t="s">
        <v>99</v>
      </c>
      <c r="AN4" s="21" t="s">
        <v>103</v>
      </c>
      <c r="AO4" s="21" t="s">
        <v>104</v>
      </c>
      <c r="AP4" s="9" t="s">
        <v>105</v>
      </c>
      <c r="AQ4" s="9" t="s">
        <v>106</v>
      </c>
      <c r="AR4" s="9" t="s">
        <v>107</v>
      </c>
      <c r="AS4" s="21"/>
      <c r="AT4" s="21"/>
      <c r="AZ4" t="s">
        <v>51</v>
      </c>
      <c r="BA4" t="s">
        <v>1</v>
      </c>
      <c r="BB4" t="s">
        <v>10</v>
      </c>
      <c r="BC4" t="s">
        <v>2</v>
      </c>
      <c r="BD4" t="s">
        <v>11</v>
      </c>
      <c r="BE4" t="s">
        <v>13</v>
      </c>
      <c r="BF4" t="s">
        <v>20</v>
      </c>
      <c r="BG4" t="s">
        <v>15</v>
      </c>
      <c r="BH4" t="s">
        <v>3</v>
      </c>
      <c r="BI4" t="s">
        <v>16</v>
      </c>
      <c r="BJ4" s="13" t="s">
        <v>18</v>
      </c>
      <c r="BK4" s="17" t="s">
        <v>4</v>
      </c>
      <c r="BL4" t="s">
        <v>23</v>
      </c>
      <c r="BM4" t="s">
        <v>21</v>
      </c>
      <c r="BN4" t="s">
        <v>23</v>
      </c>
      <c r="BO4" t="s">
        <v>24</v>
      </c>
      <c r="BP4" t="s">
        <v>31</v>
      </c>
      <c r="BQ4" t="s">
        <v>32</v>
      </c>
      <c r="BS4" t="s">
        <v>21</v>
      </c>
      <c r="BT4" t="s">
        <v>23</v>
      </c>
      <c r="BU4" t="s">
        <v>24</v>
      </c>
    </row>
    <row r="5" spans="1:98" x14ac:dyDescent="0.35">
      <c r="A5" s="37" t="str">
        <f>P5</f>
        <v>Cass</v>
      </c>
      <c r="B5" s="37">
        <f>L5</f>
        <v>1951</v>
      </c>
      <c r="C5" s="36">
        <f>M5</f>
        <v>171725</v>
      </c>
      <c r="D5" s="31">
        <f>N5</f>
        <v>498986</v>
      </c>
      <c r="E5" s="26">
        <f>LN(D5/C5)</f>
        <v>1.0666836791457688</v>
      </c>
      <c r="F5" s="26" t="str">
        <f>A5</f>
        <v>Cass</v>
      </c>
      <c r="G5" s="26">
        <v>17243.253910066778</v>
      </c>
      <c r="H5" s="5">
        <f>R5</f>
        <v>171725</v>
      </c>
      <c r="I5" s="5">
        <f>AA5</f>
        <v>595477.19999999995</v>
      </c>
      <c r="J5" s="26">
        <f>LN(I5/H5)</f>
        <v>1.2434687408087852</v>
      </c>
      <c r="K5" s="26">
        <f t="shared" ref="K5:K36" si="0">J5-(aa-bb*H5)</f>
        <v>0.22013898112224028</v>
      </c>
      <c r="L5">
        <v>1951</v>
      </c>
      <c r="M5" s="5">
        <v>171725</v>
      </c>
      <c r="N5" s="31">
        <v>498986</v>
      </c>
      <c r="P5" t="str">
        <f>AZ5</f>
        <v>Cass</v>
      </c>
      <c r="Q5">
        <f>BA5</f>
        <v>1951</v>
      </c>
      <c r="R5" s="36">
        <f>BJ5</f>
        <v>171725</v>
      </c>
      <c r="S5" s="40">
        <f>BK5</f>
        <v>1187739</v>
      </c>
      <c r="T5" s="57">
        <f>1-R5/S5</f>
        <v>0.85541857259886223</v>
      </c>
      <c r="U5" s="69">
        <f>S5-R5</f>
        <v>1016014</v>
      </c>
      <c r="V5" s="5"/>
      <c r="W5" s="5">
        <f>$S8*W$2</f>
        <v>328955.09999999998</v>
      </c>
      <c r="X5" s="5">
        <f>$S9*X$2</f>
        <v>238259.4</v>
      </c>
      <c r="Y5" s="5">
        <f>$S10*Y$2</f>
        <v>28262.7</v>
      </c>
      <c r="Z5" s="5">
        <f>$S11*Z$2</f>
        <v>0</v>
      </c>
      <c r="AA5" s="12">
        <f>SUM(W5:Z5)</f>
        <v>595477.19999999995</v>
      </c>
      <c r="AB5" s="29"/>
      <c r="AC5" s="29"/>
      <c r="AD5" s="29"/>
      <c r="AE5" s="29"/>
      <c r="AF5" s="12">
        <f>AA5</f>
        <v>595477.19999999995</v>
      </c>
      <c r="AG5" s="12">
        <f>B5</f>
        <v>1951</v>
      </c>
      <c r="AH5" s="56">
        <f>W5/$AA5</f>
        <v>0.5524226620263547</v>
      </c>
      <c r="AI5" s="56">
        <f>X5/$AA5</f>
        <v>0.4001150673778946</v>
      </c>
      <c r="AJ5" s="56">
        <f t="shared" ref="AJ5" si="1">Y5/$AA5</f>
        <v>4.7462270595750776E-2</v>
      </c>
      <c r="AK5" s="56"/>
      <c r="AL5" s="12">
        <f t="shared" ref="AL5:AL14" si="2">I5*AP5/H5*EXP(-bb*(AP5-H5))</f>
        <v>1588004.2817616009</v>
      </c>
      <c r="AM5" s="68">
        <f>B5</f>
        <v>1951</v>
      </c>
      <c r="AN5" s="31">
        <f>S5</f>
        <v>1187739</v>
      </c>
      <c r="AO5" s="56">
        <f t="shared" ref="AO5:AO36" si="3">CHOOSE(umethod,T5,retroU,MAX(0,cslope*(AN5-nlim)/AN5))</f>
        <v>0.5</v>
      </c>
      <c r="AP5">
        <f>AN5*(1-AO5)</f>
        <v>593869.5</v>
      </c>
      <c r="AQ5" s="59">
        <f t="shared" ref="AQ5:AQ36" si="4">AP5*EXP(aa-bb*AP5+K5)</f>
        <v>1588004.2817616006</v>
      </c>
      <c r="AR5" s="59">
        <f>AN5-AP5</f>
        <v>593869.5</v>
      </c>
      <c r="AS5" s="5"/>
      <c r="AT5" s="5"/>
      <c r="AZ5" t="s">
        <v>52</v>
      </c>
      <c r="BA5" s="19">
        <v>1951</v>
      </c>
      <c r="BB5" s="3">
        <v>523874</v>
      </c>
      <c r="BC5" s="4" t="s">
        <v>0</v>
      </c>
      <c r="BD5" s="4">
        <v>302</v>
      </c>
      <c r="BE5" s="4">
        <v>0</v>
      </c>
      <c r="BF5" s="4">
        <v>23</v>
      </c>
      <c r="BG5" s="3">
        <v>491815</v>
      </c>
      <c r="BH5" s="3">
        <v>1016014</v>
      </c>
      <c r="BI5" s="1">
        <v>0.86</v>
      </c>
      <c r="BJ5" s="16">
        <v>171725</v>
      </c>
      <c r="BK5" s="18">
        <v>1187739</v>
      </c>
      <c r="BL5" s="7">
        <f>BH5/BK5</f>
        <v>0.85541857259886223</v>
      </c>
      <c r="BM5" s="1">
        <f>BB5/BK5</f>
        <v>0.44106828183632935</v>
      </c>
      <c r="BN5" s="2">
        <f>BD5/(BK5-BB5)</f>
        <v>4.5491176669955487E-4</v>
      </c>
      <c r="BO5" s="1">
        <f>BG5/(BK5-BB5-BD5-BF5)</f>
        <v>0.74119872200620907</v>
      </c>
      <c r="BP5" s="8">
        <f>BH5/BK5</f>
        <v>0.85541857259886223</v>
      </c>
      <c r="BQ5" s="5">
        <f>BJ5*BP5/(1-BP5)</f>
        <v>1016014.0000000001</v>
      </c>
      <c r="BS5" s="6">
        <f>BM5/(SUM($BM5:$BO5))</f>
        <v>0.37292644705000533</v>
      </c>
      <c r="BT5" s="6">
        <f t="shared" ref="BT5:BU5" si="5">BN5/(SUM($BM5:$BO5))</f>
        <v>3.8463121440108171E-4</v>
      </c>
      <c r="BU5" s="6">
        <f t="shared" si="5"/>
        <v>0.62668892173559365</v>
      </c>
      <c r="CR5" t="s">
        <v>56</v>
      </c>
    </row>
    <row r="6" spans="1:98" ht="43.5" x14ac:dyDescent="0.35">
      <c r="A6" s="37" t="str">
        <f>P6</f>
        <v>Cass</v>
      </c>
      <c r="B6" s="37">
        <f t="shared" ref="B6:B69" si="6">L6</f>
        <v>1952</v>
      </c>
      <c r="C6" s="36">
        <f t="shared" ref="C6:C47" si="7">M6</f>
        <v>176250</v>
      </c>
      <c r="D6" s="31">
        <f t="shared" ref="D6:D42" si="8">N6</f>
        <v>283055</v>
      </c>
      <c r="E6" s="26">
        <f t="shared" ref="E6:E69" si="9">LN(D6/C6)</f>
        <v>0.47373778335781852</v>
      </c>
      <c r="F6" s="26" t="str">
        <f t="shared" ref="F6:F49" si="10">A6</f>
        <v>Cass</v>
      </c>
      <c r="G6" s="26">
        <v>17747.772545448432</v>
      </c>
      <c r="H6" s="5">
        <f>R6</f>
        <v>176250</v>
      </c>
      <c r="I6" s="5">
        <f t="shared" ref="I6:I69" si="11">AA6</f>
        <v>319542.19999999995</v>
      </c>
      <c r="J6" s="26">
        <f t="shared" ref="J6:J69" si="12">LN(I6/H6)</f>
        <v>0.59498590478038604</v>
      </c>
      <c r="K6" s="26">
        <f t="shared" si="0"/>
        <v>-0.42555802001018317</v>
      </c>
      <c r="L6">
        <v>1952</v>
      </c>
      <c r="M6" s="5">
        <v>176250</v>
      </c>
      <c r="N6" s="31">
        <v>283055</v>
      </c>
      <c r="P6" t="str">
        <f>AZ6</f>
        <v>Cass</v>
      </c>
      <c r="Q6">
        <f>BA6</f>
        <v>1952</v>
      </c>
      <c r="R6" s="36">
        <f>BJ6</f>
        <v>176250</v>
      </c>
      <c r="S6" s="40">
        <f>BK6</f>
        <v>927000</v>
      </c>
      <c r="T6" s="57">
        <f t="shared" ref="T6:T69" si="13">1-R6/S6</f>
        <v>0.80987055016181231</v>
      </c>
      <c r="U6" s="69">
        <f t="shared" ref="U6:U69" si="14">S6-R6</f>
        <v>750750</v>
      </c>
      <c r="V6" s="5"/>
      <c r="W6" s="5">
        <f>$S9*W$2</f>
        <v>119129.7</v>
      </c>
      <c r="X6" s="5">
        <f t="shared" ref="X6:X41" si="15">$S10*X$2</f>
        <v>169576.19999999998</v>
      </c>
      <c r="Y6" s="5">
        <f t="shared" ref="Y6:Y40" si="16">$S11*Y$2</f>
        <v>30836.300000000003</v>
      </c>
      <c r="Z6" s="5">
        <f t="shared" ref="Z6:Z41" si="17">$S12*Z$2</f>
        <v>0</v>
      </c>
      <c r="AA6" s="12">
        <f t="shared" ref="AA6:AA46" si="18">SUM(W6:Z6)</f>
        <v>319542.19999999995</v>
      </c>
      <c r="AB6" s="29"/>
      <c r="AC6" s="29"/>
      <c r="AD6" s="29"/>
      <c r="AE6" s="29"/>
      <c r="AF6" s="12">
        <f t="shared" ref="AF6:AF41" si="19">AA6</f>
        <v>319542.19999999995</v>
      </c>
      <c r="AG6" s="12">
        <f t="shared" ref="AG6:AG69" si="20">B6</f>
        <v>1952</v>
      </c>
      <c r="AH6" s="56">
        <f t="shared" ref="AH6:AH69" si="21">W6/$AA6</f>
        <v>0.37281366905529228</v>
      </c>
      <c r="AI6" s="56">
        <f t="shared" ref="AI6:AI69" si="22">X6/$AA6</f>
        <v>0.53068483599349325</v>
      </c>
      <c r="AJ6" s="56">
        <f t="shared" ref="AJ6:AJ69" si="23">Y6/$AA6</f>
        <v>9.65014949512146E-2</v>
      </c>
      <c r="AK6" s="56"/>
      <c r="AL6" s="12">
        <f t="shared" si="2"/>
        <v>704117.78022972948</v>
      </c>
      <c r="AM6" s="68">
        <f t="shared" ref="AM6:AM69" si="24">B6</f>
        <v>1952</v>
      </c>
      <c r="AN6" s="31">
        <f t="shared" ref="AN6:AN8" si="25">S6</f>
        <v>927000</v>
      </c>
      <c r="AO6" s="56">
        <f t="shared" si="3"/>
        <v>0.5</v>
      </c>
      <c r="AP6">
        <f t="shared" ref="AP6:AP69" si="26">AN6*(1-AO6)</f>
        <v>463500</v>
      </c>
      <c r="AQ6" s="59">
        <f t="shared" si="4"/>
        <v>704117.78022972948</v>
      </c>
      <c r="AR6" s="59">
        <f t="shared" ref="AR6:AR69" si="27">AN6-AP6</f>
        <v>463500</v>
      </c>
      <c r="AS6" s="5"/>
      <c r="AT6" s="5"/>
      <c r="AV6">
        <f>retroY</f>
        <v>51361534.879448593</v>
      </c>
      <c r="AZ6" t="s">
        <v>52</v>
      </c>
      <c r="BA6" s="19">
        <v>1952</v>
      </c>
      <c r="BB6" s="3">
        <v>191249</v>
      </c>
      <c r="BC6" s="4" t="s">
        <v>0</v>
      </c>
      <c r="BD6" s="4">
        <v>108</v>
      </c>
      <c r="BE6" s="4">
        <v>0</v>
      </c>
      <c r="BF6" s="4">
        <v>0</v>
      </c>
      <c r="BG6" s="3">
        <v>559393</v>
      </c>
      <c r="BH6" s="3">
        <v>750750</v>
      </c>
      <c r="BI6" s="1">
        <v>0.81</v>
      </c>
      <c r="BJ6" s="16">
        <v>176250</v>
      </c>
      <c r="BK6" s="18">
        <v>927000</v>
      </c>
      <c r="BL6" s="7">
        <f t="shared" ref="BL6:BL44" si="28">BH6/BK6</f>
        <v>0.80987055016181231</v>
      </c>
      <c r="BM6" s="1">
        <f t="shared" ref="BM6:BM44" si="29">BB6/BK6</f>
        <v>0.20630960086299893</v>
      </c>
      <c r="BN6" s="2">
        <f t="shared" ref="BN6:BN44" si="30">BD6/(BK6-BB6)</f>
        <v>1.467887913166275E-4</v>
      </c>
      <c r="BO6" s="1">
        <f t="shared" ref="BO6:BO44" si="31">BG6/(BK6-BB6-BD6-BF6)</f>
        <v>0.76041367891762712</v>
      </c>
      <c r="BP6" s="8">
        <f t="shared" ref="BP6:BP44" si="32">BH6/BK6</f>
        <v>0.80987055016181231</v>
      </c>
      <c r="BQ6" s="5">
        <f t="shared" ref="BQ6:BQ44" si="33">BJ6*BP6/(1-BP6)</f>
        <v>750750</v>
      </c>
      <c r="BS6" s="6">
        <f t="shared" ref="BS6:BS44" si="34">BM6/(SUM($BM6:$BO6))</f>
        <v>0.21337882676181727</v>
      </c>
      <c r="BT6" s="6">
        <f t="shared" ref="BT6:BT44" si="35">BN6/(SUM($BM6:$BO6))</f>
        <v>1.5181852876409036E-4</v>
      </c>
      <c r="BU6" s="6">
        <f t="shared" ref="BU6:BU44" si="36">BO6/(SUM($BM6:$BO6))</f>
        <v>0.7864693547094187</v>
      </c>
      <c r="CE6" t="s">
        <v>54</v>
      </c>
      <c r="CF6" s="9" t="s">
        <v>1</v>
      </c>
      <c r="CG6" s="11" t="s">
        <v>37</v>
      </c>
      <c r="CH6" s="9" t="s">
        <v>38</v>
      </c>
      <c r="CI6" s="9" t="s">
        <v>39</v>
      </c>
      <c r="CJ6" s="9" t="s">
        <v>40</v>
      </c>
      <c r="CK6" s="9" t="s">
        <v>41</v>
      </c>
      <c r="CL6" s="9" t="s">
        <v>42</v>
      </c>
      <c r="CM6" s="9" t="s">
        <v>43</v>
      </c>
      <c r="CN6" s="15" t="s">
        <v>44</v>
      </c>
      <c r="CO6" s="9" t="s">
        <v>48</v>
      </c>
      <c r="CP6" s="9"/>
      <c r="CQ6" s="9" t="s">
        <v>45</v>
      </c>
      <c r="CR6" s="9" t="s">
        <v>1</v>
      </c>
      <c r="CS6" s="10" t="s">
        <v>46</v>
      </c>
      <c r="CT6" s="9" t="s">
        <v>47</v>
      </c>
    </row>
    <row r="7" spans="1:98" x14ac:dyDescent="0.35">
      <c r="A7" t="str">
        <f>P7</f>
        <v>Grant</v>
      </c>
      <c r="B7">
        <f t="shared" si="6"/>
        <v>1953</v>
      </c>
      <c r="C7" s="36">
        <f t="shared" si="7"/>
        <v>137225</v>
      </c>
      <c r="D7" s="31">
        <f t="shared" si="8"/>
        <v>312122</v>
      </c>
      <c r="E7" s="26">
        <f t="shared" si="9"/>
        <v>0.82177222258395266</v>
      </c>
      <c r="F7" s="26" t="str">
        <f t="shared" si="10"/>
        <v>Grant</v>
      </c>
      <c r="G7" s="26">
        <v>18200.242688963703</v>
      </c>
      <c r="H7" s="5">
        <f>R7</f>
        <v>137625</v>
      </c>
      <c r="I7" s="5">
        <f t="shared" si="11"/>
        <v>325788.79999999999</v>
      </c>
      <c r="J7" s="26">
        <f t="shared" si="12"/>
        <v>0.86171672361584606</v>
      </c>
      <c r="K7" s="26">
        <f t="shared" si="0"/>
        <v>-0.18260684158512341</v>
      </c>
      <c r="L7">
        <v>1953</v>
      </c>
      <c r="M7" s="5">
        <v>137225</v>
      </c>
      <c r="N7" s="31">
        <v>312122</v>
      </c>
      <c r="P7" t="str">
        <f>CE7</f>
        <v>Grant</v>
      </c>
      <c r="Q7">
        <f>CF7</f>
        <v>1953</v>
      </c>
      <c r="R7" s="35">
        <f>CN7</f>
        <v>137625</v>
      </c>
      <c r="S7" s="39">
        <f>CG7</f>
        <v>918122</v>
      </c>
      <c r="T7" s="57">
        <f t="shared" si="13"/>
        <v>0.85010162048180959</v>
      </c>
      <c r="U7" s="69">
        <f t="shared" si="14"/>
        <v>780497</v>
      </c>
      <c r="V7" s="5"/>
      <c r="W7" s="5">
        <f t="shared" ref="W7:W40" si="37">$S10*W$2</f>
        <v>84788.099999999991</v>
      </c>
      <c r="X7" s="5">
        <f t="shared" si="15"/>
        <v>185017.8</v>
      </c>
      <c r="Y7" s="5">
        <f t="shared" si="16"/>
        <v>55982.9</v>
      </c>
      <c r="Z7" s="5">
        <f t="shared" si="17"/>
        <v>0</v>
      </c>
      <c r="AA7" s="12">
        <f t="shared" si="18"/>
        <v>325788.79999999999</v>
      </c>
      <c r="AB7" s="29"/>
      <c r="AC7" s="29"/>
      <c r="AD7" s="29"/>
      <c r="AE7" s="29"/>
      <c r="AF7" s="12">
        <f t="shared" si="19"/>
        <v>325788.79999999999</v>
      </c>
      <c r="AG7" s="12">
        <f t="shared" si="20"/>
        <v>1953</v>
      </c>
      <c r="AH7" s="56">
        <f t="shared" si="21"/>
        <v>0.26025480311170918</v>
      </c>
      <c r="AI7" s="56">
        <f t="shared" si="22"/>
        <v>0.56790718404070362</v>
      </c>
      <c r="AJ7" s="56">
        <f t="shared" si="23"/>
        <v>0.17183801284758715</v>
      </c>
      <c r="AK7" s="56"/>
      <c r="AL7" s="12">
        <f t="shared" si="2"/>
        <v>891590.034651728</v>
      </c>
      <c r="AM7" s="68">
        <f t="shared" si="24"/>
        <v>1953</v>
      </c>
      <c r="AN7" s="31">
        <f t="shared" si="25"/>
        <v>918122</v>
      </c>
      <c r="AO7" s="56">
        <f t="shared" si="3"/>
        <v>0.5</v>
      </c>
      <c r="AP7">
        <f t="shared" si="26"/>
        <v>459061</v>
      </c>
      <c r="AQ7" s="59">
        <f t="shared" si="4"/>
        <v>891590.03465172788</v>
      </c>
      <c r="AR7" s="59">
        <f t="shared" si="27"/>
        <v>459061</v>
      </c>
      <c r="AS7" s="5"/>
      <c r="AT7" s="5"/>
      <c r="AU7">
        <v>0.05</v>
      </c>
      <c r="AV7">
        <f t="dataTable" ref="AV7:AV21" dt2D="0" dtr="0" r1="AQ2"/>
        <v>6404262.3421115242</v>
      </c>
      <c r="AZ7" t="s">
        <v>52</v>
      </c>
      <c r="BA7">
        <v>1953</v>
      </c>
      <c r="BB7" s="3">
        <v>465021</v>
      </c>
      <c r="BC7" s="4" t="s">
        <v>0</v>
      </c>
      <c r="BD7" s="4">
        <v>404</v>
      </c>
      <c r="BE7" s="4">
        <v>0</v>
      </c>
      <c r="BF7" s="4">
        <v>0</v>
      </c>
      <c r="BG7" s="3">
        <v>331804</v>
      </c>
      <c r="BH7" s="3">
        <v>797229</v>
      </c>
      <c r="BI7" s="1">
        <v>0.85</v>
      </c>
      <c r="BJ7" s="16">
        <v>137225</v>
      </c>
      <c r="BK7" s="18">
        <v>934454</v>
      </c>
      <c r="BL7" s="7">
        <f t="shared" si="28"/>
        <v>0.85314953973122276</v>
      </c>
      <c r="BM7" s="1">
        <f t="shared" si="29"/>
        <v>0.49763926314189888</v>
      </c>
      <c r="BN7" s="2">
        <f t="shared" si="30"/>
        <v>8.6061269659355006E-4</v>
      </c>
      <c r="BO7" s="1">
        <f t="shared" si="31"/>
        <v>0.70742747250170035</v>
      </c>
      <c r="BP7" s="8">
        <f t="shared" si="32"/>
        <v>0.85314953973122276</v>
      </c>
      <c r="BQ7" s="5">
        <f t="shared" si="33"/>
        <v>797229.00000000023</v>
      </c>
      <c r="BS7" s="6">
        <f t="shared" si="34"/>
        <v>0.41266106438902539</v>
      </c>
      <c r="BT7" s="6">
        <f t="shared" si="35"/>
        <v>7.1365219287718715E-4</v>
      </c>
      <c r="BU7" s="6">
        <f t="shared" si="36"/>
        <v>0.5866252834180975</v>
      </c>
      <c r="CE7" t="s">
        <v>55</v>
      </c>
      <c r="CF7" s="19">
        <v>1953</v>
      </c>
      <c r="CG7" s="12">
        <v>918122</v>
      </c>
      <c r="CH7" s="5">
        <v>434551</v>
      </c>
      <c r="CI7" s="5">
        <v>10184</v>
      </c>
      <c r="CJ7" s="5">
        <v>3947</v>
      </c>
      <c r="CK7">
        <v>0</v>
      </c>
      <c r="CL7">
        <v>0</v>
      </c>
      <c r="CM7" s="5">
        <v>331815</v>
      </c>
      <c r="CN7" s="14">
        <v>137625</v>
      </c>
      <c r="CO7" s="5">
        <f>SUM(CH7:CN7)</f>
        <v>918122</v>
      </c>
      <c r="CP7" s="5"/>
      <c r="CQ7" s="41">
        <v>0.85</v>
      </c>
      <c r="CR7">
        <f>CF7</f>
        <v>1953</v>
      </c>
      <c r="CS7" s="6">
        <f t="shared" ref="CS7:CS44" si="38">(CG7-BK7)/BK7</f>
        <v>-1.7477585841571656E-2</v>
      </c>
      <c r="CT7" s="6">
        <f>(CN7-BJ7)/BJ7</f>
        <v>2.9149207505920934E-3</v>
      </c>
    </row>
    <row r="8" spans="1:98" x14ac:dyDescent="0.35">
      <c r="A8" t="str">
        <f t="shared" ref="A8:A49" si="39">P8</f>
        <v>Grant</v>
      </c>
      <c r="B8">
        <f t="shared" si="6"/>
        <v>1954</v>
      </c>
      <c r="C8" s="36">
        <f t="shared" si="7"/>
        <v>86375</v>
      </c>
      <c r="D8" s="31">
        <f t="shared" si="8"/>
        <v>504589</v>
      </c>
      <c r="E8" s="26">
        <f t="shared" si="9"/>
        <v>1.765045954436407</v>
      </c>
      <c r="F8" s="26" t="str">
        <f t="shared" si="10"/>
        <v>Grant</v>
      </c>
      <c r="G8" s="26">
        <v>18877.275544212891</v>
      </c>
      <c r="H8" s="5">
        <f t="shared" ref="H8:H49" si="40">R8</f>
        <v>86375</v>
      </c>
      <c r="I8" s="5">
        <f t="shared" si="11"/>
        <v>493568.49999999994</v>
      </c>
      <c r="J8" s="26">
        <f t="shared" si="12"/>
        <v>1.7429633716112083</v>
      </c>
      <c r="K8" s="26">
        <f t="shared" si="0"/>
        <v>0.66708753272653643</v>
      </c>
      <c r="L8">
        <v>1954</v>
      </c>
      <c r="M8" s="5">
        <v>86375</v>
      </c>
      <c r="N8" s="31">
        <v>504589</v>
      </c>
      <c r="P8" t="str">
        <f t="shared" ref="P8:P49" si="41">CE8</f>
        <v>Grant</v>
      </c>
      <c r="Q8">
        <f t="shared" ref="Q8:Q48" si="42">CF8</f>
        <v>1954</v>
      </c>
      <c r="R8" s="35">
        <f t="shared" ref="R8:R48" si="43">CN8</f>
        <v>86375</v>
      </c>
      <c r="S8" s="39">
        <f t="shared" ref="S8:S41" si="44">CG8</f>
        <v>1096517</v>
      </c>
      <c r="T8" s="57">
        <f t="shared" si="13"/>
        <v>0.92122785146057928</v>
      </c>
      <c r="U8" s="69">
        <f t="shared" si="14"/>
        <v>1010142</v>
      </c>
      <c r="V8" s="5"/>
      <c r="W8" s="5">
        <f t="shared" si="37"/>
        <v>92508.9</v>
      </c>
      <c r="X8" s="5">
        <f t="shared" si="15"/>
        <v>335897.39999999997</v>
      </c>
      <c r="Y8" s="5">
        <f>$S13*Y$2</f>
        <v>65162.200000000004</v>
      </c>
      <c r="Z8" s="5">
        <f t="shared" si="17"/>
        <v>0</v>
      </c>
      <c r="AA8" s="12">
        <f t="shared" si="18"/>
        <v>493568.49999999994</v>
      </c>
      <c r="AB8" s="29"/>
      <c r="AC8" s="29"/>
      <c r="AD8" s="29"/>
      <c r="AE8" s="29"/>
      <c r="AF8" s="12">
        <f t="shared" si="19"/>
        <v>493568.49999999994</v>
      </c>
      <c r="AG8" s="12">
        <f t="shared" si="20"/>
        <v>1954</v>
      </c>
      <c r="AH8" s="56">
        <f t="shared" si="21"/>
        <v>0.1874286953077435</v>
      </c>
      <c r="AI8" s="56">
        <f t="shared" si="22"/>
        <v>0.68054869790110184</v>
      </c>
      <c r="AJ8" s="56">
        <f t="shared" si="23"/>
        <v>0.13202260679115466</v>
      </c>
      <c r="AK8" s="56"/>
      <c r="AL8" s="12">
        <f t="shared" si="2"/>
        <v>2357482.9509012932</v>
      </c>
      <c r="AM8" s="68">
        <f t="shared" si="24"/>
        <v>1954</v>
      </c>
      <c r="AN8" s="31">
        <f t="shared" si="25"/>
        <v>1096517</v>
      </c>
      <c r="AO8" s="56">
        <f t="shared" si="3"/>
        <v>0.5</v>
      </c>
      <c r="AP8">
        <f t="shared" si="26"/>
        <v>548258.5</v>
      </c>
      <c r="AQ8" s="59">
        <f t="shared" si="4"/>
        <v>2357482.9509012937</v>
      </c>
      <c r="AR8" s="59">
        <f t="shared" si="27"/>
        <v>548258.5</v>
      </c>
      <c r="AS8" s="5"/>
      <c r="AT8" s="5"/>
      <c r="AU8">
        <v>0.1</v>
      </c>
      <c r="AV8">
        <v>12808817.638219269</v>
      </c>
      <c r="AZ8" t="s">
        <v>52</v>
      </c>
      <c r="BA8">
        <v>1954</v>
      </c>
      <c r="BB8" s="3">
        <v>590473</v>
      </c>
      <c r="BC8" s="4" t="s">
        <v>0</v>
      </c>
      <c r="BD8" s="4">
        <v>253</v>
      </c>
      <c r="BE8" s="4">
        <v>0</v>
      </c>
      <c r="BF8" s="4">
        <v>0</v>
      </c>
      <c r="BG8" s="3">
        <v>457750</v>
      </c>
      <c r="BH8" s="3">
        <v>1048476</v>
      </c>
      <c r="BI8" s="1">
        <v>0.92</v>
      </c>
      <c r="BJ8" s="16">
        <v>86375</v>
      </c>
      <c r="BK8" s="18">
        <v>1134851</v>
      </c>
      <c r="BL8" s="7">
        <f t="shared" si="28"/>
        <v>0.92388868670865165</v>
      </c>
      <c r="BM8" s="1">
        <f t="shared" si="29"/>
        <v>0.52030883349444113</v>
      </c>
      <c r="BN8" s="2">
        <f t="shared" si="30"/>
        <v>4.6475059609315584E-4</v>
      </c>
      <c r="BO8" s="1">
        <f t="shared" si="31"/>
        <v>0.84125890190673103</v>
      </c>
      <c r="BP8" s="8">
        <f t="shared" si="32"/>
        <v>0.92388868670865165</v>
      </c>
      <c r="BQ8" s="5">
        <f t="shared" si="33"/>
        <v>1048476.0000000003</v>
      </c>
      <c r="BS8" s="6">
        <f t="shared" si="34"/>
        <v>0.38200912154710959</v>
      </c>
      <c r="BT8" s="6">
        <f t="shared" si="35"/>
        <v>3.4121843705722668E-4</v>
      </c>
      <c r="BU8" s="6">
        <f t="shared" si="36"/>
        <v>0.61764966001583321</v>
      </c>
      <c r="CE8" t="s">
        <v>55</v>
      </c>
      <c r="CF8" s="19">
        <v>1954</v>
      </c>
      <c r="CG8" s="12">
        <v>1096517</v>
      </c>
      <c r="CH8" s="5">
        <v>542719</v>
      </c>
      <c r="CI8" s="5">
        <v>8768</v>
      </c>
      <c r="CJ8" s="5">
        <v>1248</v>
      </c>
      <c r="CK8">
        <v>0</v>
      </c>
      <c r="CL8">
        <v>0</v>
      </c>
      <c r="CM8" s="5">
        <v>457407</v>
      </c>
      <c r="CN8" s="14">
        <v>86375</v>
      </c>
      <c r="CO8" s="5">
        <f t="shared" ref="CO8:CO60" si="45">SUM(CH8:CN8)</f>
        <v>1096517</v>
      </c>
      <c r="CP8" s="5"/>
      <c r="CQ8" s="41">
        <v>0.92100000000000004</v>
      </c>
      <c r="CR8">
        <f t="shared" ref="CR8:CR44" si="46">CF8</f>
        <v>1954</v>
      </c>
      <c r="CS8" s="6">
        <f t="shared" si="38"/>
        <v>-3.3778883747734287E-2</v>
      </c>
      <c r="CT8" s="6">
        <f t="shared" ref="CT8:CT44" si="47">(CN8-BJ8)/BJ8</f>
        <v>0</v>
      </c>
    </row>
    <row r="9" spans="1:98" x14ac:dyDescent="0.35">
      <c r="A9" t="str">
        <f t="shared" si="39"/>
        <v>Grant</v>
      </c>
      <c r="B9">
        <f t="shared" si="6"/>
        <v>1955</v>
      </c>
      <c r="C9" s="36">
        <f t="shared" si="7"/>
        <v>110500</v>
      </c>
      <c r="D9" s="31">
        <f t="shared" si="8"/>
        <v>592568</v>
      </c>
      <c r="E9" s="26">
        <f t="shared" si="9"/>
        <v>1.6794501133986328</v>
      </c>
      <c r="F9" s="26" t="str">
        <f t="shared" si="10"/>
        <v>Grant</v>
      </c>
      <c r="G9" s="26">
        <v>19634.010763062572</v>
      </c>
      <c r="H9" s="5">
        <f t="shared" si="40"/>
        <v>110500</v>
      </c>
      <c r="I9" s="5">
        <f t="shared" si="11"/>
        <v>597993.30000000005</v>
      </c>
      <c r="J9" s="26">
        <f t="shared" si="12"/>
        <v>1.688564028916681</v>
      </c>
      <c r="K9" s="26">
        <f t="shared" si="0"/>
        <v>0.62754084569287394</v>
      </c>
      <c r="L9">
        <v>1955</v>
      </c>
      <c r="M9" s="5">
        <v>110500</v>
      </c>
      <c r="N9" s="31">
        <v>592568</v>
      </c>
      <c r="P9" t="str">
        <f t="shared" si="41"/>
        <v>Grant</v>
      </c>
      <c r="Q9">
        <f t="shared" si="42"/>
        <v>1955</v>
      </c>
      <c r="R9" s="35">
        <f t="shared" si="43"/>
        <v>110500</v>
      </c>
      <c r="S9" s="39">
        <f t="shared" si="44"/>
        <v>397099</v>
      </c>
      <c r="T9" s="57">
        <f t="shared" si="13"/>
        <v>0.72173186031694869</v>
      </c>
      <c r="U9" s="69">
        <f t="shared" si="14"/>
        <v>286599</v>
      </c>
      <c r="V9" s="5"/>
      <c r="W9" s="5">
        <f t="shared" si="37"/>
        <v>167948.69999999998</v>
      </c>
      <c r="X9" s="5">
        <f>$S13*X$2</f>
        <v>390973.2</v>
      </c>
      <c r="Y9" s="5">
        <f t="shared" si="16"/>
        <v>39071.4</v>
      </c>
      <c r="Z9" s="5">
        <f t="shared" si="17"/>
        <v>0</v>
      </c>
      <c r="AA9" s="12">
        <f t="shared" si="18"/>
        <v>597993.30000000005</v>
      </c>
      <c r="AB9" s="29"/>
      <c r="AC9" s="29"/>
      <c r="AD9" s="29"/>
      <c r="AE9" s="29"/>
      <c r="AF9" s="12">
        <f t="shared" si="19"/>
        <v>597993.30000000005</v>
      </c>
      <c r="AG9" s="12">
        <f t="shared" si="20"/>
        <v>1955</v>
      </c>
      <c r="AH9" s="56">
        <f t="shared" si="21"/>
        <v>0.28085381558622807</v>
      </c>
      <c r="AI9" s="56">
        <f t="shared" si="22"/>
        <v>0.65380866307364982</v>
      </c>
      <c r="AJ9" s="56">
        <f t="shared" si="23"/>
        <v>6.5337521340122037E-2</v>
      </c>
      <c r="AK9" s="56"/>
      <c r="AL9" s="12">
        <f t="shared" si="2"/>
        <v>1972582.1304835961</v>
      </c>
      <c r="AM9" s="68">
        <f t="shared" si="24"/>
        <v>1955</v>
      </c>
      <c r="AN9" s="56">
        <f>AH6*AQ6+AI5*AQ5</f>
        <v>897889.17328794138</v>
      </c>
      <c r="AO9" s="56">
        <f t="shared" si="3"/>
        <v>0.5</v>
      </c>
      <c r="AP9">
        <f t="shared" si="26"/>
        <v>448944.58664397069</v>
      </c>
      <c r="AQ9" s="59">
        <f t="shared" si="4"/>
        <v>1972582.1304835961</v>
      </c>
      <c r="AR9" s="59">
        <f t="shared" si="27"/>
        <v>448944.58664397069</v>
      </c>
      <c r="AS9" s="5"/>
      <c r="AT9" s="5"/>
      <c r="AU9">
        <v>0.15</v>
      </c>
      <c r="AV9">
        <v>19166297.41746974</v>
      </c>
      <c r="AZ9" t="s">
        <v>52</v>
      </c>
      <c r="BA9">
        <v>1955</v>
      </c>
      <c r="BB9" s="3">
        <v>143565</v>
      </c>
      <c r="BC9" s="4" t="s">
        <v>0</v>
      </c>
      <c r="BD9" s="4">
        <v>759</v>
      </c>
      <c r="BE9" s="4">
        <v>0</v>
      </c>
      <c r="BF9" s="4">
        <v>9</v>
      </c>
      <c r="BG9" s="3">
        <v>103297</v>
      </c>
      <c r="BH9" s="3">
        <v>247630</v>
      </c>
      <c r="BI9" s="1">
        <v>0.69</v>
      </c>
      <c r="BJ9" s="16">
        <v>110500</v>
      </c>
      <c r="BK9" s="18">
        <v>358130</v>
      </c>
      <c r="BL9" s="7">
        <f t="shared" si="28"/>
        <v>0.69145282439337674</v>
      </c>
      <c r="BM9" s="1">
        <f t="shared" si="29"/>
        <v>0.40087398430737442</v>
      </c>
      <c r="BN9" s="2">
        <f t="shared" si="30"/>
        <v>3.5373896022184419E-3</v>
      </c>
      <c r="BO9" s="1">
        <f t="shared" si="31"/>
        <v>0.48315458121489074</v>
      </c>
      <c r="BP9" s="8">
        <f t="shared" si="32"/>
        <v>0.69145282439337674</v>
      </c>
      <c r="BQ9" s="5">
        <f t="shared" si="33"/>
        <v>247630.00000000003</v>
      </c>
      <c r="BS9" s="6">
        <f t="shared" si="34"/>
        <v>0.45165543134329739</v>
      </c>
      <c r="BT9" s="6">
        <f t="shared" si="35"/>
        <v>3.9854949165127823E-3</v>
      </c>
      <c r="BU9" s="6">
        <f t="shared" si="36"/>
        <v>0.54435907374018977</v>
      </c>
      <c r="CE9" t="s">
        <v>55</v>
      </c>
      <c r="CF9" s="19">
        <v>1955</v>
      </c>
      <c r="CG9" s="12">
        <v>397099</v>
      </c>
      <c r="CH9" s="5">
        <v>174665</v>
      </c>
      <c r="CI9">
        <v>634</v>
      </c>
      <c r="CJ9" s="5">
        <v>8217</v>
      </c>
      <c r="CK9">
        <v>0</v>
      </c>
      <c r="CL9">
        <v>0</v>
      </c>
      <c r="CM9" s="5">
        <v>103084</v>
      </c>
      <c r="CN9" s="14">
        <v>110500</v>
      </c>
      <c r="CO9" s="5">
        <f t="shared" si="45"/>
        <v>397100</v>
      </c>
      <c r="CP9" s="5"/>
      <c r="CQ9" s="41">
        <v>0.72199999999999998</v>
      </c>
      <c r="CR9">
        <f t="shared" si="46"/>
        <v>1955</v>
      </c>
      <c r="CS9" s="6">
        <f t="shared" si="38"/>
        <v>0.10881244240918102</v>
      </c>
      <c r="CT9" s="6">
        <f t="shared" si="47"/>
        <v>0</v>
      </c>
    </row>
    <row r="10" spans="1:98" x14ac:dyDescent="0.35">
      <c r="A10" t="str">
        <f t="shared" si="39"/>
        <v>Grant</v>
      </c>
      <c r="B10">
        <f t="shared" si="6"/>
        <v>1956</v>
      </c>
      <c r="C10" s="36">
        <f t="shared" si="7"/>
        <v>32925</v>
      </c>
      <c r="D10" s="31">
        <f t="shared" si="8"/>
        <v>518932</v>
      </c>
      <c r="E10" s="26">
        <f t="shared" si="9"/>
        <v>2.7575406057579124</v>
      </c>
      <c r="F10" s="26" t="str">
        <f t="shared" si="10"/>
        <v>Grant</v>
      </c>
      <c r="G10" s="26">
        <v>20266.026674062883</v>
      </c>
      <c r="H10" s="5">
        <f t="shared" si="40"/>
        <v>32950</v>
      </c>
      <c r="I10" s="5">
        <f t="shared" si="11"/>
        <v>455279.4</v>
      </c>
      <c r="J10" s="26">
        <f t="shared" si="12"/>
        <v>2.6259200354751622</v>
      </c>
      <c r="K10" s="26">
        <f t="shared" si="0"/>
        <v>1.5171528751943575</v>
      </c>
      <c r="L10">
        <v>1956</v>
      </c>
      <c r="M10" s="5">
        <v>32925</v>
      </c>
      <c r="N10" s="31">
        <v>518932</v>
      </c>
      <c r="P10" t="str">
        <f t="shared" si="41"/>
        <v>Grant</v>
      </c>
      <c r="Q10">
        <f t="shared" si="42"/>
        <v>1956</v>
      </c>
      <c r="R10" s="35">
        <f t="shared" si="43"/>
        <v>32950</v>
      </c>
      <c r="S10" s="39">
        <f t="shared" si="44"/>
        <v>282627</v>
      </c>
      <c r="T10" s="57">
        <f t="shared" si="13"/>
        <v>0.88341524341269584</v>
      </c>
      <c r="U10" s="69">
        <f t="shared" si="14"/>
        <v>249677</v>
      </c>
      <c r="V10" s="5"/>
      <c r="W10" s="5">
        <f t="shared" si="37"/>
        <v>195486.6</v>
      </c>
      <c r="X10" s="5">
        <f t="shared" si="15"/>
        <v>234428.4</v>
      </c>
      <c r="Y10" s="5">
        <f t="shared" si="16"/>
        <v>25364.400000000001</v>
      </c>
      <c r="Z10" s="5">
        <f t="shared" si="17"/>
        <v>0</v>
      </c>
      <c r="AA10" s="12">
        <f t="shared" si="18"/>
        <v>455279.4</v>
      </c>
      <c r="AB10" s="29"/>
      <c r="AC10" s="29"/>
      <c r="AD10" s="29"/>
      <c r="AE10" s="29"/>
      <c r="AF10" s="12">
        <f t="shared" si="19"/>
        <v>455279.4</v>
      </c>
      <c r="AG10" s="12">
        <f t="shared" si="20"/>
        <v>1956</v>
      </c>
      <c r="AH10" s="56">
        <f t="shared" si="21"/>
        <v>0.429377213201388</v>
      </c>
      <c r="AI10" s="56">
        <f t="shared" si="22"/>
        <v>0.51491106340414261</v>
      </c>
      <c r="AJ10" s="56">
        <f t="shared" si="23"/>
        <v>5.571172339446942E-2</v>
      </c>
      <c r="AK10" s="56"/>
      <c r="AL10" s="12">
        <f t="shared" si="2"/>
        <v>3893556.7993881479</v>
      </c>
      <c r="AM10" s="68">
        <f t="shared" si="24"/>
        <v>1956</v>
      </c>
      <c r="AN10" s="60">
        <f>AH7*AQ7+AI6*AQ6+AJ5*AQ5</f>
        <v>681075.50657414389</v>
      </c>
      <c r="AO10" s="56">
        <f t="shared" si="3"/>
        <v>0.5</v>
      </c>
      <c r="AP10">
        <f t="shared" si="26"/>
        <v>340537.75328707194</v>
      </c>
      <c r="AQ10" s="59">
        <f t="shared" si="4"/>
        <v>3893556.7993881474</v>
      </c>
      <c r="AR10" s="59">
        <f t="shared" si="27"/>
        <v>340537.75328707194</v>
      </c>
      <c r="AS10" s="5"/>
      <c r="AU10">
        <v>0.2</v>
      </c>
      <c r="AV10">
        <v>25410623.992367096</v>
      </c>
      <c r="AZ10" t="s">
        <v>52</v>
      </c>
      <c r="BA10">
        <v>1956</v>
      </c>
      <c r="BB10" s="3">
        <v>155668</v>
      </c>
      <c r="BC10" s="4" t="s">
        <v>0</v>
      </c>
      <c r="BD10" s="4">
        <v>61</v>
      </c>
      <c r="BE10" s="4">
        <v>0</v>
      </c>
      <c r="BF10" s="4">
        <v>0</v>
      </c>
      <c r="BG10" s="3">
        <v>72958</v>
      </c>
      <c r="BH10" s="3">
        <v>228687</v>
      </c>
      <c r="BI10" s="1">
        <v>0.87</v>
      </c>
      <c r="BJ10" s="16">
        <v>32925</v>
      </c>
      <c r="BK10" s="18">
        <v>261612</v>
      </c>
      <c r="BL10" s="7">
        <f t="shared" si="28"/>
        <v>0.87414568139076188</v>
      </c>
      <c r="BM10" s="1">
        <f t="shared" si="29"/>
        <v>0.59503386694799931</v>
      </c>
      <c r="BN10" s="2">
        <f t="shared" si="30"/>
        <v>5.7577588159782528E-4</v>
      </c>
      <c r="BO10" s="1">
        <f t="shared" si="31"/>
        <v>0.68904356695597968</v>
      </c>
      <c r="BP10" s="8">
        <f t="shared" si="32"/>
        <v>0.87414568139076188</v>
      </c>
      <c r="BQ10" s="5">
        <f t="shared" si="33"/>
        <v>228686.99999999997</v>
      </c>
      <c r="BS10" s="6">
        <f t="shared" si="34"/>
        <v>0.46318637778308835</v>
      </c>
      <c r="BT10" s="6">
        <f t="shared" si="35"/>
        <v>4.481955731025097E-4</v>
      </c>
      <c r="BU10" s="6">
        <f t="shared" si="36"/>
        <v>0.53636542664380904</v>
      </c>
      <c r="CE10" t="s">
        <v>55</v>
      </c>
      <c r="CF10" s="19">
        <v>1956</v>
      </c>
      <c r="CG10" s="12">
        <v>282627</v>
      </c>
      <c r="CH10" s="5">
        <v>175589</v>
      </c>
      <c r="CI10">
        <v>685</v>
      </c>
      <c r="CJ10">
        <v>591</v>
      </c>
      <c r="CK10">
        <v>0</v>
      </c>
      <c r="CL10">
        <v>0</v>
      </c>
      <c r="CM10" s="5">
        <v>72812</v>
      </c>
      <c r="CN10" s="14">
        <v>32950</v>
      </c>
      <c r="CO10" s="5">
        <f t="shared" si="45"/>
        <v>282627</v>
      </c>
      <c r="CP10" s="5"/>
      <c r="CQ10" s="41">
        <v>0.88300000000000001</v>
      </c>
      <c r="CR10">
        <f t="shared" si="46"/>
        <v>1956</v>
      </c>
      <c r="CS10" s="6">
        <f t="shared" si="38"/>
        <v>8.032888399614696E-2</v>
      </c>
      <c r="CT10" s="6">
        <f t="shared" si="47"/>
        <v>7.5930144267274111E-4</v>
      </c>
    </row>
    <row r="11" spans="1:98" x14ac:dyDescent="0.35">
      <c r="A11" t="str">
        <f t="shared" si="39"/>
        <v>Grant</v>
      </c>
      <c r="B11">
        <f t="shared" si="6"/>
        <v>1957</v>
      </c>
      <c r="C11" s="36">
        <f t="shared" si="7"/>
        <v>84630</v>
      </c>
      <c r="D11" s="31">
        <f t="shared" si="8"/>
        <v>353281</v>
      </c>
      <c r="E11" s="26">
        <f t="shared" si="9"/>
        <v>1.4289749605785971</v>
      </c>
      <c r="F11" s="26" t="str">
        <f t="shared" si="10"/>
        <v>Grant</v>
      </c>
      <c r="G11" s="26">
        <v>20594.874962207177</v>
      </c>
      <c r="H11" s="5">
        <f t="shared" si="40"/>
        <v>84655</v>
      </c>
      <c r="I11" s="5">
        <f t="shared" si="11"/>
        <v>294324.5</v>
      </c>
      <c r="J11" s="26">
        <f t="shared" si="12"/>
        <v>1.2460987265802781</v>
      </c>
      <c r="K11" s="26">
        <f t="shared" si="0"/>
        <v>0.16916396260807498</v>
      </c>
      <c r="L11">
        <v>1957</v>
      </c>
      <c r="M11" s="5">
        <v>84630</v>
      </c>
      <c r="N11" s="31">
        <v>353281</v>
      </c>
      <c r="P11" t="str">
        <f t="shared" si="41"/>
        <v>Grant</v>
      </c>
      <c r="Q11">
        <f t="shared" si="42"/>
        <v>1957</v>
      </c>
      <c r="R11" s="35">
        <f t="shared" si="43"/>
        <v>84655</v>
      </c>
      <c r="S11" s="39">
        <f>CG11</f>
        <v>308363</v>
      </c>
      <c r="T11" s="57">
        <f t="shared" si="13"/>
        <v>0.72546965751403381</v>
      </c>
      <c r="U11" s="69">
        <f t="shared" si="14"/>
        <v>223708</v>
      </c>
      <c r="V11" s="5"/>
      <c r="W11" s="5">
        <f t="shared" si="37"/>
        <v>117214.2</v>
      </c>
      <c r="X11" s="5">
        <f t="shared" si="15"/>
        <v>152186.4</v>
      </c>
      <c r="Y11" s="5">
        <f t="shared" si="16"/>
        <v>24923.9</v>
      </c>
      <c r="Z11" s="5">
        <f t="shared" si="17"/>
        <v>0</v>
      </c>
      <c r="AA11" s="12">
        <f t="shared" si="18"/>
        <v>294324.5</v>
      </c>
      <c r="AB11" s="29"/>
      <c r="AC11" s="29"/>
      <c r="AD11" s="29"/>
      <c r="AE11" s="29"/>
      <c r="AF11" s="12">
        <f t="shared" si="19"/>
        <v>294324.5</v>
      </c>
      <c r="AG11" s="12">
        <f t="shared" si="20"/>
        <v>1957</v>
      </c>
      <c r="AH11" s="56">
        <f t="shared" si="21"/>
        <v>0.39824819204653367</v>
      </c>
      <c r="AI11" s="56">
        <f t="shared" si="22"/>
        <v>0.51707010459543801</v>
      </c>
      <c r="AJ11" s="56">
        <f t="shared" si="23"/>
        <v>8.4681703358028299E-2</v>
      </c>
      <c r="AK11" s="56"/>
      <c r="AL11" s="12">
        <f t="shared" si="2"/>
        <v>1361097.5745438719</v>
      </c>
      <c r="AM11" s="68">
        <f t="shared" si="24"/>
        <v>1957</v>
      </c>
      <c r="AN11" s="60">
        <f t="shared" ref="AN11:AN74" si="48">AH8*AQ8+AI7*AQ7+AJ6*AQ6</f>
        <v>1016148.7580093944</v>
      </c>
      <c r="AO11" s="56">
        <f t="shared" si="3"/>
        <v>0.5</v>
      </c>
      <c r="AP11">
        <f t="shared" si="26"/>
        <v>508074.3790046972</v>
      </c>
      <c r="AQ11" s="59">
        <f t="shared" si="4"/>
        <v>1361097.5745438717</v>
      </c>
      <c r="AR11" s="59">
        <f t="shared" si="27"/>
        <v>508074.3790046972</v>
      </c>
      <c r="AS11" s="5"/>
      <c r="AU11">
        <v>0.25</v>
      </c>
      <c r="AV11">
        <v>31449194.814267121</v>
      </c>
      <c r="AZ11" t="s">
        <v>52</v>
      </c>
      <c r="BA11">
        <v>1957</v>
      </c>
      <c r="BB11" s="3">
        <v>92528</v>
      </c>
      <c r="BC11" s="4" t="s">
        <v>0</v>
      </c>
      <c r="BD11" s="4">
        <v>123</v>
      </c>
      <c r="BE11" s="4">
        <v>0</v>
      </c>
      <c r="BF11" s="4">
        <v>48</v>
      </c>
      <c r="BG11" s="3">
        <v>124319</v>
      </c>
      <c r="BH11" s="3">
        <v>217018</v>
      </c>
      <c r="BI11" s="1">
        <v>0.72</v>
      </c>
      <c r="BJ11" s="16">
        <v>84630</v>
      </c>
      <c r="BK11" s="18">
        <v>301648</v>
      </c>
      <c r="BL11" s="7">
        <f t="shared" si="28"/>
        <v>0.71944120299156633</v>
      </c>
      <c r="BM11" s="1">
        <f t="shared" si="29"/>
        <v>0.30674163263141146</v>
      </c>
      <c r="BN11" s="2">
        <f t="shared" si="30"/>
        <v>5.8817903596021428E-4</v>
      </c>
      <c r="BO11" s="1">
        <f t="shared" si="31"/>
        <v>0.59497293597959311</v>
      </c>
      <c r="BP11" s="8">
        <f t="shared" si="32"/>
        <v>0.71944120299156633</v>
      </c>
      <c r="BQ11" s="5">
        <f t="shared" si="33"/>
        <v>217018</v>
      </c>
      <c r="BS11" s="6">
        <f t="shared" si="34"/>
        <v>0.33995422648477547</v>
      </c>
      <c r="BT11" s="6">
        <f t="shared" si="35"/>
        <v>6.5186439639475127E-4</v>
      </c>
      <c r="BU11" s="6">
        <f t="shared" si="36"/>
        <v>0.65939390911882989</v>
      </c>
      <c r="CE11" t="s">
        <v>55</v>
      </c>
      <c r="CF11" s="19">
        <v>1957</v>
      </c>
      <c r="CG11" s="12">
        <v>308363</v>
      </c>
      <c r="CH11" s="5">
        <v>97399</v>
      </c>
      <c r="CI11">
        <v>600</v>
      </c>
      <c r="CJ11" s="5">
        <v>1444</v>
      </c>
      <c r="CK11">
        <v>0</v>
      </c>
      <c r="CL11">
        <v>0</v>
      </c>
      <c r="CM11" s="5">
        <v>124265</v>
      </c>
      <c r="CN11" s="14">
        <v>84655</v>
      </c>
      <c r="CO11" s="5">
        <f t="shared" si="45"/>
        <v>308363</v>
      </c>
      <c r="CP11" s="5"/>
      <c r="CQ11" s="41">
        <v>0.72499999999999998</v>
      </c>
      <c r="CR11">
        <f t="shared" si="46"/>
        <v>1957</v>
      </c>
      <c r="CS11" s="6">
        <f t="shared" si="38"/>
        <v>2.2261045987376014E-2</v>
      </c>
      <c r="CT11" s="6">
        <f t="shared" si="47"/>
        <v>2.9540352120997282E-4</v>
      </c>
    </row>
    <row r="12" spans="1:98" x14ac:dyDescent="0.35">
      <c r="A12" t="str">
        <f t="shared" si="39"/>
        <v>Grant</v>
      </c>
      <c r="B12">
        <f t="shared" si="6"/>
        <v>1958</v>
      </c>
      <c r="C12" s="36">
        <f t="shared" si="7"/>
        <v>89375</v>
      </c>
      <c r="D12" s="31">
        <f t="shared" si="8"/>
        <v>302174</v>
      </c>
      <c r="E12" s="26">
        <f t="shared" si="9"/>
        <v>1.2181620093852592</v>
      </c>
      <c r="F12" s="26" t="str">
        <f t="shared" si="10"/>
        <v>Grant</v>
      </c>
      <c r="G12" s="26">
        <v>20038.595444513936</v>
      </c>
      <c r="H12" s="5">
        <f t="shared" si="40"/>
        <v>89400</v>
      </c>
      <c r="I12" s="5">
        <f t="shared" si="11"/>
        <v>259624.99999999997</v>
      </c>
      <c r="J12" s="26">
        <f t="shared" si="12"/>
        <v>1.0661176000168078</v>
      </c>
      <c r="K12" s="26">
        <f t="shared" si="0"/>
        <v>-7.8958851528749818E-3</v>
      </c>
      <c r="L12">
        <v>1958</v>
      </c>
      <c r="M12" s="5">
        <v>89375</v>
      </c>
      <c r="N12" s="31">
        <v>302174</v>
      </c>
      <c r="P12" t="str">
        <f t="shared" si="41"/>
        <v>Grant</v>
      </c>
      <c r="Q12">
        <f t="shared" si="42"/>
        <v>1958</v>
      </c>
      <c r="R12" s="35">
        <f t="shared" si="43"/>
        <v>89400</v>
      </c>
      <c r="S12" s="39">
        <f>CG12</f>
        <v>559829</v>
      </c>
      <c r="T12" s="57">
        <f t="shared" si="13"/>
        <v>0.84030837988028484</v>
      </c>
      <c r="U12" s="69">
        <f t="shared" si="14"/>
        <v>470429</v>
      </c>
      <c r="V12" s="5"/>
      <c r="W12" s="5">
        <f t="shared" si="37"/>
        <v>76093.2</v>
      </c>
      <c r="X12" s="5">
        <f t="shared" si="15"/>
        <v>149543.4</v>
      </c>
      <c r="Y12" s="5">
        <f t="shared" si="16"/>
        <v>33988.400000000001</v>
      </c>
      <c r="Z12" s="5">
        <f t="shared" si="17"/>
        <v>0</v>
      </c>
      <c r="AA12" s="12">
        <f t="shared" si="18"/>
        <v>259624.99999999997</v>
      </c>
      <c r="AB12" s="29"/>
      <c r="AC12" s="29"/>
      <c r="AD12" s="29"/>
      <c r="AE12" s="29"/>
      <c r="AF12" s="12">
        <f t="shared" si="19"/>
        <v>259624.99999999997</v>
      </c>
      <c r="AG12" s="12">
        <f t="shared" si="20"/>
        <v>1958</v>
      </c>
      <c r="AH12" s="56">
        <f t="shared" si="21"/>
        <v>0.2930888781896967</v>
      </c>
      <c r="AI12" s="56">
        <f t="shared" si="22"/>
        <v>0.57599768897448245</v>
      </c>
      <c r="AJ12" s="56">
        <f t="shared" si="23"/>
        <v>0.13091343283582091</v>
      </c>
      <c r="AK12" s="56"/>
      <c r="AL12" s="12">
        <f t="shared" si="2"/>
        <v>1740855.3446654533</v>
      </c>
      <c r="AM12" s="68">
        <f t="shared" si="24"/>
        <v>1958</v>
      </c>
      <c r="AN12" s="60">
        <f t="shared" si="48"/>
        <v>2311598.2302927156</v>
      </c>
      <c r="AO12" s="56">
        <f t="shared" si="3"/>
        <v>0.5</v>
      </c>
      <c r="AP12">
        <f t="shared" si="26"/>
        <v>1155799.1151463578</v>
      </c>
      <c r="AQ12" s="59">
        <f t="shared" si="4"/>
        <v>1740855.3446654533</v>
      </c>
      <c r="AR12" s="59">
        <f t="shared" si="27"/>
        <v>1155799.1151463578</v>
      </c>
      <c r="AS12" s="5"/>
      <c r="AU12">
        <v>0.3</v>
      </c>
      <c r="AV12">
        <v>37151336.513850681</v>
      </c>
      <c r="AZ12" t="s">
        <v>52</v>
      </c>
      <c r="BA12">
        <v>1958</v>
      </c>
      <c r="BB12" s="3">
        <v>252287</v>
      </c>
      <c r="BC12" s="4" t="s">
        <v>0</v>
      </c>
      <c r="BD12" s="3">
        <v>1178</v>
      </c>
      <c r="BE12" s="4">
        <v>0</v>
      </c>
      <c r="BF12" s="4">
        <v>690</v>
      </c>
      <c r="BG12" s="3">
        <v>202075</v>
      </c>
      <c r="BH12" s="3">
        <v>456230</v>
      </c>
      <c r="BI12" s="1">
        <v>0.84</v>
      </c>
      <c r="BJ12" s="16">
        <v>89375</v>
      </c>
      <c r="BK12" s="18">
        <v>545605</v>
      </c>
      <c r="BL12" s="7">
        <f t="shared" si="28"/>
        <v>0.83619101731105838</v>
      </c>
      <c r="BM12" s="1">
        <f t="shared" si="29"/>
        <v>0.4623986217135107</v>
      </c>
      <c r="BN12" s="2">
        <f t="shared" si="30"/>
        <v>4.016119024403548E-3</v>
      </c>
      <c r="BO12" s="1">
        <f t="shared" si="31"/>
        <v>0.69334362669411564</v>
      </c>
      <c r="BP12" s="8">
        <f t="shared" si="32"/>
        <v>0.83619101731105838</v>
      </c>
      <c r="BQ12" s="5">
        <f t="shared" si="33"/>
        <v>456230.00000000006</v>
      </c>
      <c r="BS12" s="6">
        <f t="shared" si="34"/>
        <v>0.39870255278896322</v>
      </c>
      <c r="BT12" s="6">
        <f t="shared" si="35"/>
        <v>3.4628929069907494E-3</v>
      </c>
      <c r="BU12" s="6">
        <f t="shared" si="36"/>
        <v>0.59783455430404597</v>
      </c>
      <c r="CE12" t="s">
        <v>55</v>
      </c>
      <c r="CF12" s="19">
        <v>1958</v>
      </c>
      <c r="CG12" s="12">
        <v>559829</v>
      </c>
      <c r="CH12" s="5">
        <v>247648</v>
      </c>
      <c r="CI12" s="5">
        <v>8879</v>
      </c>
      <c r="CJ12" s="5">
        <v>11935</v>
      </c>
      <c r="CK12">
        <v>0</v>
      </c>
      <c r="CL12">
        <v>0</v>
      </c>
      <c r="CM12" s="5">
        <v>201968</v>
      </c>
      <c r="CN12" s="14">
        <v>89400</v>
      </c>
      <c r="CO12" s="5">
        <f t="shared" si="45"/>
        <v>559830</v>
      </c>
      <c r="CP12" s="5"/>
      <c r="CQ12" s="41">
        <v>0.84</v>
      </c>
      <c r="CR12">
        <f t="shared" si="46"/>
        <v>1958</v>
      </c>
      <c r="CS12" s="6">
        <f t="shared" si="38"/>
        <v>2.6070142319076988E-2</v>
      </c>
      <c r="CT12" s="6">
        <f t="shared" si="47"/>
        <v>2.7972027972027972E-4</v>
      </c>
    </row>
    <row r="13" spans="1:98" x14ac:dyDescent="0.35">
      <c r="A13" t="str">
        <f t="shared" si="39"/>
        <v>Grant</v>
      </c>
      <c r="B13">
        <f t="shared" si="6"/>
        <v>1959</v>
      </c>
      <c r="C13" s="36">
        <f t="shared" si="7"/>
        <v>152300</v>
      </c>
      <c r="D13" s="31">
        <f t="shared" si="8"/>
        <v>361837</v>
      </c>
      <c r="E13" s="26">
        <f t="shared" si="9"/>
        <v>0.86534157427677216</v>
      </c>
      <c r="F13" s="26" t="str">
        <f t="shared" si="10"/>
        <v>Grant</v>
      </c>
      <c r="G13" s="26">
        <v>15904.25189342765</v>
      </c>
      <c r="H13" s="5">
        <f t="shared" si="40"/>
        <v>152300</v>
      </c>
      <c r="I13" s="5">
        <f t="shared" si="11"/>
        <v>315857.69999999995</v>
      </c>
      <c r="J13" s="26">
        <f t="shared" si="12"/>
        <v>0.72943953580719501</v>
      </c>
      <c r="K13" s="26">
        <f t="shared" si="0"/>
        <v>-0.30584930517312392</v>
      </c>
      <c r="L13">
        <v>1959</v>
      </c>
      <c r="M13" s="5">
        <v>152300</v>
      </c>
      <c r="N13" s="31">
        <v>361837</v>
      </c>
      <c r="P13" t="str">
        <f t="shared" si="41"/>
        <v>Grant</v>
      </c>
      <c r="Q13">
        <f t="shared" si="42"/>
        <v>1959</v>
      </c>
      <c r="R13" s="35">
        <f t="shared" si="43"/>
        <v>152300</v>
      </c>
      <c r="S13" s="39">
        <f t="shared" si="44"/>
        <v>651622</v>
      </c>
      <c r="T13" s="57">
        <f t="shared" si="13"/>
        <v>0.76627554011374688</v>
      </c>
      <c r="U13" s="69">
        <f t="shared" si="14"/>
        <v>499322</v>
      </c>
      <c r="V13" s="5"/>
      <c r="W13" s="5">
        <f>$S16*W$2</f>
        <v>74771.7</v>
      </c>
      <c r="X13" s="5">
        <f t="shared" si="15"/>
        <v>203930.4</v>
      </c>
      <c r="Y13" s="5">
        <f t="shared" si="16"/>
        <v>37155.599999999999</v>
      </c>
      <c r="Z13" s="5">
        <f t="shared" si="17"/>
        <v>0</v>
      </c>
      <c r="AA13" s="12">
        <f t="shared" si="18"/>
        <v>315857.69999999995</v>
      </c>
      <c r="AB13" s="29"/>
      <c r="AC13" s="29"/>
      <c r="AD13" s="29"/>
      <c r="AE13" s="29"/>
      <c r="AF13" s="12">
        <f t="shared" si="19"/>
        <v>315857.69999999995</v>
      </c>
      <c r="AG13" s="12">
        <f t="shared" si="20"/>
        <v>1959</v>
      </c>
      <c r="AH13" s="56">
        <f t="shared" si="21"/>
        <v>0.23672590536814525</v>
      </c>
      <c r="AI13" s="56">
        <f t="shared" si="22"/>
        <v>0.64564010945435246</v>
      </c>
      <c r="AJ13" s="56">
        <f t="shared" si="23"/>
        <v>0.11763398517750241</v>
      </c>
      <c r="AK13" s="56"/>
      <c r="AL13" s="12">
        <f t="shared" si="2"/>
        <v>1361035.9068135831</v>
      </c>
      <c r="AM13" s="68">
        <f t="shared" si="24"/>
        <v>1959</v>
      </c>
      <c r="AN13" s="60">
        <f t="shared" si="48"/>
        <v>3272736.8981407434</v>
      </c>
      <c r="AO13" s="56">
        <f t="shared" si="3"/>
        <v>0.5</v>
      </c>
      <c r="AP13">
        <f t="shared" si="26"/>
        <v>1636368.4490703717</v>
      </c>
      <c r="AQ13" s="59">
        <f t="shared" si="4"/>
        <v>1361035.9068135831</v>
      </c>
      <c r="AR13" s="59">
        <f t="shared" si="27"/>
        <v>1636368.4490703717</v>
      </c>
      <c r="AS13" s="5"/>
      <c r="AU13">
        <v>0.35</v>
      </c>
      <c r="AV13">
        <v>42330916.92697984</v>
      </c>
      <c r="AZ13" t="s">
        <v>52</v>
      </c>
      <c r="BA13">
        <v>1959</v>
      </c>
      <c r="BB13" s="3">
        <v>218898</v>
      </c>
      <c r="BC13" s="4" t="s">
        <v>0</v>
      </c>
      <c r="BD13" s="3">
        <v>1448</v>
      </c>
      <c r="BE13" s="4">
        <v>0</v>
      </c>
      <c r="BF13" s="4">
        <v>996</v>
      </c>
      <c r="BG13" s="3">
        <v>237091</v>
      </c>
      <c r="BH13" s="3">
        <v>458433</v>
      </c>
      <c r="BI13" s="1">
        <v>0.75</v>
      </c>
      <c r="BJ13" s="16">
        <v>152300</v>
      </c>
      <c r="BK13" s="18">
        <v>610733</v>
      </c>
      <c r="BL13" s="7">
        <f t="shared" si="28"/>
        <v>0.75062752463023941</v>
      </c>
      <c r="BM13" s="1">
        <f t="shared" si="29"/>
        <v>0.35841849056789138</v>
      </c>
      <c r="BN13" s="2">
        <f t="shared" si="30"/>
        <v>3.6954330266566284E-3</v>
      </c>
      <c r="BO13" s="1">
        <f t="shared" si="31"/>
        <v>0.60887642498157379</v>
      </c>
      <c r="BP13" s="8">
        <f t="shared" si="32"/>
        <v>0.75062752463023941</v>
      </c>
      <c r="BQ13" s="5">
        <f t="shared" si="33"/>
        <v>458433</v>
      </c>
      <c r="BS13" s="6">
        <f t="shared" si="34"/>
        <v>0.36912672828672594</v>
      </c>
      <c r="BT13" s="6">
        <f t="shared" si="35"/>
        <v>3.805839092093634E-3</v>
      </c>
      <c r="BU13" s="6">
        <f t="shared" si="36"/>
        <v>0.62706743262118048</v>
      </c>
      <c r="CE13" t="s">
        <v>55</v>
      </c>
      <c r="CF13" s="19">
        <v>1959</v>
      </c>
      <c r="CG13" s="12">
        <v>651622</v>
      </c>
      <c r="CH13" s="5">
        <v>241353</v>
      </c>
      <c r="CI13" s="5">
        <v>5430</v>
      </c>
      <c r="CJ13" s="5">
        <v>15632</v>
      </c>
      <c r="CK13">
        <v>0</v>
      </c>
      <c r="CL13">
        <v>0</v>
      </c>
      <c r="CM13" s="5">
        <v>236907</v>
      </c>
      <c r="CN13" s="14">
        <v>152300</v>
      </c>
      <c r="CO13" s="5">
        <f t="shared" si="45"/>
        <v>651622</v>
      </c>
      <c r="CP13" s="5"/>
      <c r="CQ13" s="41">
        <v>0.76600000000000001</v>
      </c>
      <c r="CR13">
        <f t="shared" si="46"/>
        <v>1959</v>
      </c>
      <c r="CS13" s="6">
        <f t="shared" si="38"/>
        <v>6.6950696949403421E-2</v>
      </c>
      <c r="CT13" s="6">
        <f t="shared" si="47"/>
        <v>0</v>
      </c>
    </row>
    <row r="14" spans="1:98" x14ac:dyDescent="0.35">
      <c r="A14" t="str">
        <f t="shared" si="39"/>
        <v>Grant</v>
      </c>
      <c r="B14">
        <f t="shared" si="6"/>
        <v>1960</v>
      </c>
      <c r="C14" s="36">
        <f t="shared" si="7"/>
        <v>263700</v>
      </c>
      <c r="D14" s="31">
        <f t="shared" si="8"/>
        <v>416907</v>
      </c>
      <c r="E14" s="26">
        <f t="shared" si="9"/>
        <v>0.45805108198381522</v>
      </c>
      <c r="F14" s="26" t="str">
        <f t="shared" si="10"/>
        <v>Grant</v>
      </c>
      <c r="G14" s="26">
        <v>13108.04591053178</v>
      </c>
      <c r="H14" s="5">
        <f t="shared" si="40"/>
        <v>144782</v>
      </c>
      <c r="I14" s="5">
        <f t="shared" si="11"/>
        <v>341946</v>
      </c>
      <c r="J14" s="26">
        <f t="shared" si="12"/>
        <v>0.85942366702677886</v>
      </c>
      <c r="K14" s="26">
        <f t="shared" si="0"/>
        <v>-0.18049366163264413</v>
      </c>
      <c r="L14">
        <v>1960</v>
      </c>
      <c r="M14" s="5">
        <v>263700</v>
      </c>
      <c r="N14" s="31">
        <v>416907</v>
      </c>
      <c r="P14" t="str">
        <f t="shared" si="41"/>
        <v>Grant</v>
      </c>
      <c r="Q14">
        <f t="shared" si="42"/>
        <v>1960</v>
      </c>
      <c r="R14" s="35">
        <f t="shared" si="43"/>
        <v>144782</v>
      </c>
      <c r="S14" s="39">
        <f t="shared" si="44"/>
        <v>390714</v>
      </c>
      <c r="T14" s="57">
        <f t="shared" si="13"/>
        <v>0.62944250781901845</v>
      </c>
      <c r="U14" s="69">
        <f t="shared" si="14"/>
        <v>245932</v>
      </c>
      <c r="V14" s="5"/>
      <c r="W14" s="5">
        <f t="shared" si="37"/>
        <v>101965.2</v>
      </c>
      <c r="X14" s="5">
        <f t="shared" si="15"/>
        <v>222933.6</v>
      </c>
      <c r="Y14" s="5">
        <f t="shared" si="16"/>
        <v>17047.2</v>
      </c>
      <c r="Z14" s="5">
        <f t="shared" si="17"/>
        <v>0</v>
      </c>
      <c r="AA14" s="12">
        <f t="shared" si="18"/>
        <v>341946</v>
      </c>
      <c r="AB14" s="29"/>
      <c r="AC14" s="29"/>
      <c r="AD14" s="29"/>
      <c r="AE14" s="29"/>
      <c r="AF14" s="12">
        <f t="shared" si="19"/>
        <v>341946</v>
      </c>
      <c r="AG14" s="12">
        <f t="shared" si="20"/>
        <v>1960</v>
      </c>
      <c r="AH14" s="56">
        <f t="shared" si="21"/>
        <v>0.29819094242950639</v>
      </c>
      <c r="AI14" s="56">
        <f t="shared" si="22"/>
        <v>0.65195557193241038</v>
      </c>
      <c r="AJ14" s="56">
        <f t="shared" si="23"/>
        <v>4.9853485638083207E-2</v>
      </c>
      <c r="AK14" s="56"/>
      <c r="AL14" s="12">
        <f t="shared" si="2"/>
        <v>1515848.1912039099</v>
      </c>
      <c r="AM14" s="68">
        <f t="shared" si="24"/>
        <v>1960</v>
      </c>
      <c r="AN14" s="60">
        <f t="shared" si="48"/>
        <v>2675773.7473040158</v>
      </c>
      <c r="AO14" s="56">
        <f t="shared" si="3"/>
        <v>0.5</v>
      </c>
      <c r="AP14">
        <f t="shared" si="26"/>
        <v>1337886.8736520079</v>
      </c>
      <c r="AQ14" s="59">
        <f t="shared" si="4"/>
        <v>1515848.1912039095</v>
      </c>
      <c r="AR14" s="59">
        <f t="shared" si="27"/>
        <v>1337886.8736520079</v>
      </c>
      <c r="AS14" s="5"/>
      <c r="AU14">
        <v>0.4</v>
      </c>
      <c r="AV14">
        <v>46719559.953491509</v>
      </c>
      <c r="AZ14" t="s">
        <v>52</v>
      </c>
      <c r="BA14">
        <v>1960</v>
      </c>
      <c r="BB14" s="3">
        <v>146889</v>
      </c>
      <c r="BC14" s="4" t="s">
        <v>0</v>
      </c>
      <c r="BD14" s="3">
        <v>4618</v>
      </c>
      <c r="BE14" s="3">
        <v>21523</v>
      </c>
      <c r="BF14" s="4">
        <v>185</v>
      </c>
      <c r="BG14" s="3">
        <v>77262</v>
      </c>
      <c r="BH14" s="3">
        <v>250476</v>
      </c>
      <c r="BI14" s="1">
        <v>0.49</v>
      </c>
      <c r="BJ14" s="16">
        <v>263700</v>
      </c>
      <c r="BK14" s="18">
        <v>514176</v>
      </c>
      <c r="BL14" s="7">
        <f t="shared" si="28"/>
        <v>0.48714058999253174</v>
      </c>
      <c r="BM14" s="1">
        <f t="shared" si="29"/>
        <v>0.28567844473487675</v>
      </c>
      <c r="BN14" s="2">
        <f t="shared" si="30"/>
        <v>1.2573273761390957E-2</v>
      </c>
      <c r="BO14" s="1">
        <f t="shared" si="31"/>
        <v>0.21314595954580065</v>
      </c>
      <c r="BP14" s="8">
        <f t="shared" si="32"/>
        <v>0.48714058999253174</v>
      </c>
      <c r="BQ14" s="5">
        <f t="shared" si="33"/>
        <v>250476</v>
      </c>
      <c r="BS14" s="6">
        <f t="shared" si="34"/>
        <v>0.55862288195875698</v>
      </c>
      <c r="BT14" s="6">
        <f t="shared" si="35"/>
        <v>2.4586098649350262E-2</v>
      </c>
      <c r="BU14" s="6">
        <f t="shared" si="36"/>
        <v>0.41679101939189278</v>
      </c>
      <c r="CE14" t="s">
        <v>55</v>
      </c>
      <c r="CF14" s="19">
        <v>1960</v>
      </c>
      <c r="CG14" s="12">
        <v>390714</v>
      </c>
      <c r="CH14" s="5">
        <v>141635</v>
      </c>
      <c r="CI14" s="5">
        <v>1189</v>
      </c>
      <c r="CJ14" s="5">
        <v>4310</v>
      </c>
      <c r="CK14" s="5">
        <v>21523</v>
      </c>
      <c r="CL14">
        <v>185</v>
      </c>
      <c r="CM14" s="5">
        <v>77090</v>
      </c>
      <c r="CN14" s="14">
        <v>144782</v>
      </c>
      <c r="CO14" s="5">
        <f t="shared" si="45"/>
        <v>390714</v>
      </c>
      <c r="CP14" s="5"/>
      <c r="CQ14" s="41">
        <v>0.629</v>
      </c>
      <c r="CR14">
        <f t="shared" si="46"/>
        <v>1960</v>
      </c>
      <c r="CS14" s="6">
        <f t="shared" si="38"/>
        <v>-0.24011622479462286</v>
      </c>
      <c r="CT14" s="6">
        <f t="shared" si="47"/>
        <v>-0.45095942358740992</v>
      </c>
    </row>
    <row r="15" spans="1:98" x14ac:dyDescent="0.35">
      <c r="A15" t="str">
        <f t="shared" si="39"/>
        <v>Grant</v>
      </c>
      <c r="B15">
        <f t="shared" si="6"/>
        <v>1961</v>
      </c>
      <c r="C15" s="36">
        <f t="shared" si="7"/>
        <v>172700</v>
      </c>
      <c r="D15" s="31">
        <f t="shared" si="8"/>
        <v>288161</v>
      </c>
      <c r="E15" s="26">
        <f t="shared" si="9"/>
        <v>0.51196336656327257</v>
      </c>
      <c r="F15" s="26" t="str">
        <f t="shared" si="10"/>
        <v>Grant</v>
      </c>
      <c r="G15" s="26">
        <v>12157.237595706409</v>
      </c>
      <c r="H15" s="5">
        <f t="shared" si="40"/>
        <v>103920</v>
      </c>
      <c r="I15" s="5">
        <f t="shared" si="11"/>
        <v>255725.9</v>
      </c>
      <c r="J15" s="26">
        <f t="shared" si="12"/>
        <v>0.90048479538014536</v>
      </c>
      <c r="K15" s="26">
        <f t="shared" si="0"/>
        <v>-0.1645893919575887</v>
      </c>
      <c r="L15">
        <v>1961</v>
      </c>
      <c r="M15" s="5">
        <v>172700</v>
      </c>
      <c r="N15" s="31">
        <v>288161</v>
      </c>
      <c r="P15" t="str">
        <f t="shared" si="41"/>
        <v>Grant</v>
      </c>
      <c r="Q15">
        <f t="shared" si="42"/>
        <v>1961</v>
      </c>
      <c r="R15" s="35">
        <f t="shared" si="43"/>
        <v>103920</v>
      </c>
      <c r="S15" s="39">
        <f t="shared" si="44"/>
        <v>253644</v>
      </c>
      <c r="T15" s="57">
        <f t="shared" si="13"/>
        <v>0.59029190518995134</v>
      </c>
      <c r="U15" s="69">
        <f t="shared" si="14"/>
        <v>149724</v>
      </c>
      <c r="V15" s="5"/>
      <c r="W15" s="5">
        <f t="shared" si="37"/>
        <v>111466.8</v>
      </c>
      <c r="X15" s="5">
        <f t="shared" si="15"/>
        <v>102283.2</v>
      </c>
      <c r="Y15" s="5">
        <f t="shared" si="16"/>
        <v>41975.9</v>
      </c>
      <c r="Z15" s="5">
        <f t="shared" si="17"/>
        <v>0</v>
      </c>
      <c r="AA15" s="12">
        <f t="shared" si="18"/>
        <v>255725.9</v>
      </c>
      <c r="AB15" s="29"/>
      <c r="AC15" s="29"/>
      <c r="AD15" s="29"/>
      <c r="AE15" s="29"/>
      <c r="AF15" s="12">
        <f t="shared" si="19"/>
        <v>255725.9</v>
      </c>
      <c r="AG15" s="12">
        <f t="shared" si="20"/>
        <v>1961</v>
      </c>
      <c r="AH15" s="56">
        <f t="shared" si="21"/>
        <v>0.43588388974288489</v>
      </c>
      <c r="AI15" s="56">
        <f t="shared" si="22"/>
        <v>0.39997200127167409</v>
      </c>
      <c r="AJ15" s="56">
        <f t="shared" si="23"/>
        <v>0.16414410898544107</v>
      </c>
      <c r="AK15" s="56"/>
      <c r="AL15" s="56"/>
      <c r="AM15" s="68">
        <f t="shared" si="24"/>
        <v>1961</v>
      </c>
      <c r="AN15" s="60">
        <f t="shared" si="48"/>
        <v>1430924.9647207004</v>
      </c>
      <c r="AO15" s="56">
        <f t="shared" si="3"/>
        <v>0.5</v>
      </c>
      <c r="AP15">
        <f t="shared" si="26"/>
        <v>715462.4823603502</v>
      </c>
      <c r="AQ15" s="59">
        <f t="shared" si="4"/>
        <v>1208234.2898306244</v>
      </c>
      <c r="AR15" s="59">
        <f t="shared" si="27"/>
        <v>715462.4823603502</v>
      </c>
      <c r="AS15" s="5"/>
      <c r="AU15">
        <v>0.45</v>
      </c>
      <c r="AV15">
        <v>49924456.587178439</v>
      </c>
      <c r="AZ15" t="s">
        <v>52</v>
      </c>
      <c r="BA15">
        <v>1961</v>
      </c>
      <c r="BB15" s="3">
        <v>65963</v>
      </c>
      <c r="BC15" s="4" t="s">
        <v>0</v>
      </c>
      <c r="BD15" s="3">
        <v>5894</v>
      </c>
      <c r="BE15" s="3">
        <v>15803</v>
      </c>
      <c r="BF15" s="4">
        <v>20</v>
      </c>
      <c r="BG15" s="3">
        <v>57545</v>
      </c>
      <c r="BH15" s="3">
        <v>145224</v>
      </c>
      <c r="BI15" s="1">
        <v>0.46</v>
      </c>
      <c r="BJ15" s="16">
        <v>172700</v>
      </c>
      <c r="BK15" s="18">
        <v>317924</v>
      </c>
      <c r="BL15" s="7">
        <f t="shared" si="28"/>
        <v>0.4567884148412828</v>
      </c>
      <c r="BM15" s="1">
        <f t="shared" si="29"/>
        <v>0.20748040412173979</v>
      </c>
      <c r="BN15" s="2">
        <f t="shared" si="30"/>
        <v>2.3392509158163367E-2</v>
      </c>
      <c r="BO15" s="1">
        <f t="shared" si="31"/>
        <v>0.23387808020418863</v>
      </c>
      <c r="BP15" s="8">
        <f t="shared" si="32"/>
        <v>0.4567884148412828</v>
      </c>
      <c r="BQ15" s="5">
        <f t="shared" si="33"/>
        <v>145224</v>
      </c>
      <c r="BS15" s="6">
        <f t="shared" si="34"/>
        <v>0.4464334816507321</v>
      </c>
      <c r="BT15" s="6">
        <f t="shared" si="35"/>
        <v>5.0333424750310045E-2</v>
      </c>
      <c r="BU15" s="6">
        <f t="shared" si="36"/>
        <v>0.50323309359895785</v>
      </c>
      <c r="CE15" t="s">
        <v>55</v>
      </c>
      <c r="CF15" s="19">
        <v>1961</v>
      </c>
      <c r="CG15" s="12">
        <v>253644</v>
      </c>
      <c r="CH15" s="5">
        <v>69640</v>
      </c>
      <c r="CI15" s="5">
        <v>1131</v>
      </c>
      <c r="CJ15" s="5">
        <v>5676</v>
      </c>
      <c r="CK15" s="5">
        <v>15803</v>
      </c>
      <c r="CL15">
        <v>20</v>
      </c>
      <c r="CM15" s="5">
        <v>57454</v>
      </c>
      <c r="CN15" s="14">
        <v>103920</v>
      </c>
      <c r="CO15" s="5">
        <f t="shared" si="45"/>
        <v>253644</v>
      </c>
      <c r="CP15" s="5"/>
      <c r="CQ15" s="41">
        <v>0.59</v>
      </c>
      <c r="CR15">
        <f t="shared" si="46"/>
        <v>1961</v>
      </c>
      <c r="CS15" s="6">
        <f t="shared" si="38"/>
        <v>-0.20218668612624402</v>
      </c>
      <c r="CT15" s="6">
        <f t="shared" si="47"/>
        <v>-0.39826288361320211</v>
      </c>
    </row>
    <row r="16" spans="1:98" x14ac:dyDescent="0.35">
      <c r="A16" t="str">
        <f t="shared" si="39"/>
        <v>Grant</v>
      </c>
      <c r="B16">
        <f t="shared" si="6"/>
        <v>1962</v>
      </c>
      <c r="C16" s="36">
        <f t="shared" si="7"/>
        <v>180200</v>
      </c>
      <c r="D16" s="31">
        <f t="shared" si="8"/>
        <v>423280</v>
      </c>
      <c r="E16" s="26">
        <f t="shared" si="9"/>
        <v>0.85396655342163885</v>
      </c>
      <c r="F16" s="26" t="str">
        <f t="shared" si="10"/>
        <v>Grant</v>
      </c>
      <c r="G16" s="26">
        <v>10463.341029007956</v>
      </c>
      <c r="H16" s="5">
        <f t="shared" si="40"/>
        <v>130357</v>
      </c>
      <c r="I16" s="5">
        <f t="shared" si="11"/>
        <v>335297.3</v>
      </c>
      <c r="J16" s="26">
        <f t="shared" si="12"/>
        <v>0.94474076043913235</v>
      </c>
      <c r="K16" s="26">
        <f t="shared" si="0"/>
        <v>-0.10405737891077649</v>
      </c>
      <c r="L16">
        <v>1962</v>
      </c>
      <c r="M16" s="5">
        <v>180200</v>
      </c>
      <c r="N16" s="31">
        <v>423280</v>
      </c>
      <c r="P16" t="str">
        <f t="shared" si="41"/>
        <v>Grant</v>
      </c>
      <c r="Q16">
        <f t="shared" si="42"/>
        <v>1962</v>
      </c>
      <c r="R16" s="35">
        <f t="shared" si="43"/>
        <v>130357</v>
      </c>
      <c r="S16" s="39">
        <f t="shared" si="44"/>
        <v>249239</v>
      </c>
      <c r="T16" s="57">
        <f t="shared" si="13"/>
        <v>0.47697992689747593</v>
      </c>
      <c r="U16" s="69">
        <f t="shared" si="14"/>
        <v>118882</v>
      </c>
      <c r="V16" s="5"/>
      <c r="W16" s="5">
        <f t="shared" si="37"/>
        <v>51141.599999999999</v>
      </c>
      <c r="X16" s="5">
        <f t="shared" si="15"/>
        <v>251855.4</v>
      </c>
      <c r="Y16" s="5">
        <f t="shared" si="16"/>
        <v>32300.300000000003</v>
      </c>
      <c r="Z16" s="5">
        <f t="shared" si="17"/>
        <v>0</v>
      </c>
      <c r="AA16" s="12">
        <f t="shared" si="18"/>
        <v>335297.3</v>
      </c>
      <c r="AB16" s="29"/>
      <c r="AC16" s="29"/>
      <c r="AD16" s="29"/>
      <c r="AE16" s="29"/>
      <c r="AF16" s="12">
        <f t="shared" si="19"/>
        <v>335297.3</v>
      </c>
      <c r="AG16" s="12">
        <f t="shared" si="20"/>
        <v>1962</v>
      </c>
      <c r="AH16" s="56">
        <f t="shared" si="21"/>
        <v>0.15252613128706971</v>
      </c>
      <c r="AI16" s="56">
        <f t="shared" si="22"/>
        <v>0.7511405549642064</v>
      </c>
      <c r="AJ16" s="56">
        <f t="shared" si="23"/>
        <v>9.6333313748723906E-2</v>
      </c>
      <c r="AK16" s="56"/>
      <c r="AL16" s="56"/>
      <c r="AM16" s="68">
        <f t="shared" si="24"/>
        <v>1962</v>
      </c>
      <c r="AN16" s="60">
        <f t="shared" si="48"/>
        <v>1440181.1736940332</v>
      </c>
      <c r="AO16" s="56">
        <f t="shared" si="3"/>
        <v>0.5</v>
      </c>
      <c r="AP16">
        <f t="shared" si="26"/>
        <v>720090.58684701659</v>
      </c>
      <c r="AQ16" s="59">
        <f t="shared" si="4"/>
        <v>1288257.5743649097</v>
      </c>
      <c r="AR16" s="59">
        <f t="shared" si="27"/>
        <v>720090.58684701659</v>
      </c>
      <c r="AS16" s="5"/>
      <c r="AU16">
        <v>0.5</v>
      </c>
      <c r="AV16">
        <v>51361534.879448593</v>
      </c>
      <c r="AZ16" t="s">
        <v>52</v>
      </c>
      <c r="BA16">
        <v>1962</v>
      </c>
      <c r="BB16" s="3">
        <v>36568</v>
      </c>
      <c r="BC16" s="4" t="s">
        <v>0</v>
      </c>
      <c r="BD16" s="3">
        <v>8034</v>
      </c>
      <c r="BE16" s="3">
        <v>8741</v>
      </c>
      <c r="BF16" s="4">
        <v>33</v>
      </c>
      <c r="BG16" s="3">
        <v>58870</v>
      </c>
      <c r="BH16" s="3">
        <v>112245</v>
      </c>
      <c r="BI16" s="1">
        <v>0.38</v>
      </c>
      <c r="BJ16" s="16">
        <v>180200</v>
      </c>
      <c r="BK16" s="18">
        <v>292445</v>
      </c>
      <c r="BL16" s="7">
        <f t="shared" si="28"/>
        <v>0.38381576022841901</v>
      </c>
      <c r="BM16" s="1">
        <f t="shared" si="29"/>
        <v>0.1250423156490964</v>
      </c>
      <c r="BN16" s="2">
        <f t="shared" si="30"/>
        <v>3.139789820890506E-2</v>
      </c>
      <c r="BO16" s="1">
        <f t="shared" si="31"/>
        <v>0.23756103466365361</v>
      </c>
      <c r="BP16" s="8">
        <f t="shared" si="32"/>
        <v>0.38381576022841901</v>
      </c>
      <c r="BQ16" s="5">
        <f t="shared" si="33"/>
        <v>112244.99999999999</v>
      </c>
      <c r="BS16" s="6">
        <f t="shared" si="34"/>
        <v>0.31736527769460565</v>
      </c>
      <c r="BT16" s="6">
        <f t="shared" si="35"/>
        <v>7.968984445281363E-2</v>
      </c>
      <c r="BU16" s="6">
        <f t="shared" si="36"/>
        <v>0.60294487785258066</v>
      </c>
      <c r="CE16" t="s">
        <v>55</v>
      </c>
      <c r="CF16" s="19">
        <v>1962</v>
      </c>
      <c r="CG16" s="12">
        <v>249239</v>
      </c>
      <c r="CH16" s="5">
        <v>42750</v>
      </c>
      <c r="CI16" s="5">
        <v>1338</v>
      </c>
      <c r="CJ16" s="5">
        <v>7155</v>
      </c>
      <c r="CK16" s="5">
        <v>8741</v>
      </c>
      <c r="CL16">
        <v>33</v>
      </c>
      <c r="CM16" s="5">
        <v>58866</v>
      </c>
      <c r="CN16" s="14">
        <v>130357</v>
      </c>
      <c r="CO16" s="5">
        <f t="shared" si="45"/>
        <v>249240</v>
      </c>
      <c r="CP16" s="5"/>
      <c r="CQ16" s="41">
        <v>0.47699999999999998</v>
      </c>
      <c r="CR16">
        <f t="shared" si="46"/>
        <v>1962</v>
      </c>
      <c r="CS16" s="6">
        <f t="shared" si="38"/>
        <v>-0.14774060079673101</v>
      </c>
      <c r="CT16" s="6">
        <f t="shared" si="47"/>
        <v>-0.27659822419533853</v>
      </c>
    </row>
    <row r="17" spans="1:105" x14ac:dyDescent="0.35">
      <c r="A17" t="str">
        <f t="shared" si="39"/>
        <v>Grant</v>
      </c>
      <c r="B17">
        <f t="shared" si="6"/>
        <v>1963</v>
      </c>
      <c r="C17" s="36">
        <f t="shared" si="7"/>
        <v>214200</v>
      </c>
      <c r="D17" s="31">
        <f t="shared" si="8"/>
        <v>430785</v>
      </c>
      <c r="E17" s="26">
        <f t="shared" si="9"/>
        <v>0.69869896772088746</v>
      </c>
      <c r="F17" s="26" t="str">
        <f t="shared" si="10"/>
        <v>Grant</v>
      </c>
      <c r="G17" s="26">
        <v>9070.6091210970008</v>
      </c>
      <c r="H17" s="5">
        <f t="shared" si="40"/>
        <v>192245</v>
      </c>
      <c r="I17" s="5">
        <f t="shared" si="11"/>
        <v>435055.2</v>
      </c>
      <c r="J17" s="26">
        <f t="shared" si="12"/>
        <v>0.81670231934451809</v>
      </c>
      <c r="K17" s="26">
        <f t="shared" si="0"/>
        <v>-0.19399421778613257</v>
      </c>
      <c r="L17">
        <v>1963</v>
      </c>
      <c r="M17" s="5">
        <v>214200</v>
      </c>
      <c r="N17" s="31">
        <v>430785</v>
      </c>
      <c r="P17" t="str">
        <f t="shared" si="41"/>
        <v>Grant</v>
      </c>
      <c r="Q17">
        <f t="shared" si="42"/>
        <v>1963</v>
      </c>
      <c r="R17" s="35">
        <f t="shared" si="43"/>
        <v>192245</v>
      </c>
      <c r="S17" s="39">
        <f t="shared" si="44"/>
        <v>339884</v>
      </c>
      <c r="T17" s="57">
        <f t="shared" si="13"/>
        <v>0.43438055336526582</v>
      </c>
      <c r="U17" s="69">
        <f t="shared" si="14"/>
        <v>147639</v>
      </c>
      <c r="V17" s="5"/>
      <c r="W17" s="5">
        <f t="shared" si="37"/>
        <v>125927.7</v>
      </c>
      <c r="X17" s="5">
        <f t="shared" si="15"/>
        <v>193801.8</v>
      </c>
      <c r="Y17" s="5">
        <f t="shared" si="16"/>
        <v>115325.70000000001</v>
      </c>
      <c r="Z17" s="5">
        <f t="shared" si="17"/>
        <v>0</v>
      </c>
      <c r="AA17" s="12">
        <f t="shared" si="18"/>
        <v>435055.2</v>
      </c>
      <c r="AB17" s="29"/>
      <c r="AC17" s="29"/>
      <c r="AD17" s="29"/>
      <c r="AE17" s="29"/>
      <c r="AF17" s="12">
        <f t="shared" si="19"/>
        <v>435055.2</v>
      </c>
      <c r="AG17" s="12">
        <f t="shared" si="20"/>
        <v>1963</v>
      </c>
      <c r="AH17" s="56">
        <f t="shared" si="21"/>
        <v>0.28945223502672762</v>
      </c>
      <c r="AI17" s="56">
        <f t="shared" si="22"/>
        <v>0.44546485135679331</v>
      </c>
      <c r="AJ17" s="56">
        <f t="shared" si="23"/>
        <v>0.26508291361647901</v>
      </c>
      <c r="AK17" s="56"/>
      <c r="AL17" s="56"/>
      <c r="AM17" s="68">
        <f t="shared" si="24"/>
        <v>1963</v>
      </c>
      <c r="AN17" s="60">
        <f t="shared" si="48"/>
        <v>1558652.9218023228</v>
      </c>
      <c r="AO17" s="56">
        <f t="shared" si="3"/>
        <v>0.5</v>
      </c>
      <c r="AP17">
        <f t="shared" si="26"/>
        <v>779326.46090116142</v>
      </c>
      <c r="AQ17" s="59">
        <f t="shared" si="4"/>
        <v>1228676.9680906096</v>
      </c>
      <c r="AR17" s="59">
        <f t="shared" si="27"/>
        <v>779326.46090116142</v>
      </c>
      <c r="AS17" s="5"/>
      <c r="AU17">
        <v>0.55000000000000004</v>
      </c>
      <c r="AV17">
        <v>50157605.795413107</v>
      </c>
      <c r="AZ17" t="s">
        <v>52</v>
      </c>
      <c r="BA17">
        <v>1963</v>
      </c>
      <c r="BB17" s="3">
        <v>75293</v>
      </c>
      <c r="BC17" s="4" t="s">
        <v>0</v>
      </c>
      <c r="BD17" s="3">
        <v>9163</v>
      </c>
      <c r="BE17" s="3">
        <v>9807</v>
      </c>
      <c r="BF17" s="4">
        <v>360</v>
      </c>
      <c r="BG17" s="3">
        <v>64548</v>
      </c>
      <c r="BH17" s="3">
        <v>159172</v>
      </c>
      <c r="BI17" s="1">
        <v>0.43</v>
      </c>
      <c r="BJ17" s="16">
        <v>214200</v>
      </c>
      <c r="BK17" s="18">
        <v>373372</v>
      </c>
      <c r="BL17" s="7">
        <f t="shared" si="28"/>
        <v>0.42630941795314059</v>
      </c>
      <c r="BM17" s="1">
        <f t="shared" si="29"/>
        <v>0.2016567926893286</v>
      </c>
      <c r="BN17" s="2">
        <f t="shared" si="30"/>
        <v>3.0740172907182325E-2</v>
      </c>
      <c r="BO17" s="1">
        <f t="shared" si="31"/>
        <v>0.22369314795048448</v>
      </c>
      <c r="BP17" s="8">
        <f t="shared" si="32"/>
        <v>0.42630941795314059</v>
      </c>
      <c r="BQ17" s="5">
        <f t="shared" si="33"/>
        <v>159172</v>
      </c>
      <c r="BS17" s="6">
        <f t="shared" si="34"/>
        <v>0.44214243347888299</v>
      </c>
      <c r="BT17" s="6">
        <f t="shared" si="35"/>
        <v>6.7399340599859039E-2</v>
      </c>
      <c r="BU17" s="6">
        <f t="shared" si="36"/>
        <v>0.49045822592125804</v>
      </c>
      <c r="CE17" t="s">
        <v>55</v>
      </c>
      <c r="CF17" s="19">
        <v>1963</v>
      </c>
      <c r="CG17" s="12">
        <v>339884</v>
      </c>
      <c r="CH17" s="5">
        <v>65476</v>
      </c>
      <c r="CI17">
        <v>0</v>
      </c>
      <c r="CJ17" s="5">
        <v>7567</v>
      </c>
      <c r="CK17" s="5">
        <v>9807</v>
      </c>
      <c r="CL17">
        <v>360</v>
      </c>
      <c r="CM17" s="5">
        <v>64428</v>
      </c>
      <c r="CN17" s="14">
        <v>192245</v>
      </c>
      <c r="CO17" s="5">
        <f t="shared" si="45"/>
        <v>339883</v>
      </c>
      <c r="CP17" s="5"/>
      <c r="CQ17" s="41">
        <v>0.434</v>
      </c>
      <c r="CR17">
        <f t="shared" si="46"/>
        <v>1963</v>
      </c>
      <c r="CS17" s="6">
        <f t="shared" si="38"/>
        <v>-8.9690710604973051E-2</v>
      </c>
      <c r="CT17" s="6">
        <f t="shared" si="47"/>
        <v>-0.10249766573295985</v>
      </c>
    </row>
    <row r="18" spans="1:105" x14ac:dyDescent="0.35">
      <c r="A18" t="str">
        <f t="shared" si="39"/>
        <v>Grant</v>
      </c>
      <c r="B18">
        <f t="shared" si="6"/>
        <v>1964</v>
      </c>
      <c r="C18" s="36">
        <f t="shared" si="7"/>
        <v>325400</v>
      </c>
      <c r="D18" s="31">
        <f t="shared" si="8"/>
        <v>1165723</v>
      </c>
      <c r="E18" s="26">
        <f t="shared" si="9"/>
        <v>1.2760415795801567</v>
      </c>
      <c r="F18" s="26" t="str">
        <f t="shared" si="10"/>
        <v>Grant</v>
      </c>
      <c r="G18" s="26">
        <v>7710.0915778237313</v>
      </c>
      <c r="H18" s="5">
        <f t="shared" si="40"/>
        <v>246741</v>
      </c>
      <c r="I18" s="5">
        <f t="shared" si="11"/>
        <v>846704.4</v>
      </c>
      <c r="J18" s="26">
        <f t="shared" si="12"/>
        <v>1.2330124337962716</v>
      </c>
      <c r="K18" s="26">
        <f t="shared" si="0"/>
        <v>0.25586658362497794</v>
      </c>
      <c r="L18">
        <v>1964</v>
      </c>
      <c r="M18" s="5">
        <v>325400</v>
      </c>
      <c r="N18" s="31">
        <v>1165723</v>
      </c>
      <c r="P18" t="str">
        <f t="shared" si="41"/>
        <v>Grant</v>
      </c>
      <c r="Q18">
        <f t="shared" si="42"/>
        <v>1964</v>
      </c>
      <c r="R18" s="35">
        <f t="shared" si="43"/>
        <v>246741</v>
      </c>
      <c r="S18" s="39">
        <f t="shared" si="44"/>
        <v>371556</v>
      </c>
      <c r="T18" s="57">
        <f t="shared" si="13"/>
        <v>0.33592513645318611</v>
      </c>
      <c r="U18" s="69">
        <f t="shared" si="14"/>
        <v>124815</v>
      </c>
      <c r="V18" s="5"/>
      <c r="W18" s="5">
        <f t="shared" si="37"/>
        <v>96900.9</v>
      </c>
      <c r="X18" s="5">
        <f t="shared" si="15"/>
        <v>691954.2</v>
      </c>
      <c r="Y18" s="5">
        <f t="shared" si="16"/>
        <v>57849.3</v>
      </c>
      <c r="Z18" s="5">
        <f t="shared" si="17"/>
        <v>0</v>
      </c>
      <c r="AA18" s="12">
        <f t="shared" si="18"/>
        <v>846704.4</v>
      </c>
      <c r="AB18" s="29"/>
      <c r="AC18" s="29"/>
      <c r="AD18" s="29"/>
      <c r="AE18" s="29"/>
      <c r="AF18" s="12">
        <f t="shared" si="19"/>
        <v>846704.4</v>
      </c>
      <c r="AG18" s="12">
        <f t="shared" si="20"/>
        <v>1964</v>
      </c>
      <c r="AH18" s="56">
        <f t="shared" si="21"/>
        <v>0.11444478143729972</v>
      </c>
      <c r="AI18" s="56">
        <f t="shared" si="22"/>
        <v>0.81723231862265033</v>
      </c>
      <c r="AJ18" s="56">
        <f t="shared" si="23"/>
        <v>6.8322899940049919E-2</v>
      </c>
      <c r="AK18" s="56"/>
      <c r="AL18" s="56"/>
      <c r="AM18" s="68">
        <f t="shared" si="24"/>
        <v>1964</v>
      </c>
      <c r="AN18" s="60">
        <f t="shared" si="48"/>
        <v>1675019.6141193169</v>
      </c>
      <c r="AO18" s="56">
        <f t="shared" si="3"/>
        <v>0.5</v>
      </c>
      <c r="AP18">
        <f t="shared" si="26"/>
        <v>837509.80705965846</v>
      </c>
      <c r="AQ18" s="59">
        <f t="shared" si="4"/>
        <v>1997668.7545022613</v>
      </c>
      <c r="AR18" s="59">
        <f t="shared" si="27"/>
        <v>837509.80705965846</v>
      </c>
      <c r="AS18" s="5"/>
      <c r="AU18">
        <v>0.6</v>
      </c>
      <c r="AV18">
        <v>45080596.474375181</v>
      </c>
      <c r="AZ18" t="s">
        <v>52</v>
      </c>
      <c r="BA18">
        <v>1964</v>
      </c>
      <c r="BB18" s="3">
        <v>27470</v>
      </c>
      <c r="BC18" s="4" t="s">
        <v>0</v>
      </c>
      <c r="BD18" s="3">
        <v>9025</v>
      </c>
      <c r="BE18" s="3">
        <v>11350</v>
      </c>
      <c r="BF18" s="4">
        <v>437</v>
      </c>
      <c r="BG18" s="3">
        <v>73031</v>
      </c>
      <c r="BH18" s="3">
        <v>121313</v>
      </c>
      <c r="BI18" s="1">
        <v>0.27</v>
      </c>
      <c r="BJ18" s="16">
        <v>325400</v>
      </c>
      <c r="BK18" s="18">
        <v>446713</v>
      </c>
      <c r="BL18" s="7">
        <f t="shared" si="28"/>
        <v>0.27156809853306263</v>
      </c>
      <c r="BM18" s="1">
        <f t="shared" si="29"/>
        <v>6.1493621184071208E-2</v>
      </c>
      <c r="BN18" s="2">
        <f t="shared" si="30"/>
        <v>2.1526894903433094E-2</v>
      </c>
      <c r="BO18" s="1">
        <f t="shared" si="31"/>
        <v>0.178219585583519</v>
      </c>
      <c r="BP18" s="8">
        <f t="shared" si="32"/>
        <v>0.27156809853306263</v>
      </c>
      <c r="BQ18" s="5">
        <f t="shared" si="33"/>
        <v>121313.00000000001</v>
      </c>
      <c r="BS18" s="6">
        <f t="shared" si="34"/>
        <v>0.23539120062627072</v>
      </c>
      <c r="BT18" s="6">
        <f t="shared" si="35"/>
        <v>8.240271981880358E-2</v>
      </c>
      <c r="BU18" s="6">
        <f t="shared" si="36"/>
        <v>0.68220607955492574</v>
      </c>
      <c r="CE18" t="s">
        <v>55</v>
      </c>
      <c r="CF18" s="19">
        <v>1964</v>
      </c>
      <c r="CG18" s="12">
        <v>371556</v>
      </c>
      <c r="CH18" s="5">
        <v>31979</v>
      </c>
      <c r="CI18">
        <v>0</v>
      </c>
      <c r="CJ18" s="5">
        <v>8372</v>
      </c>
      <c r="CK18" s="5">
        <v>11350</v>
      </c>
      <c r="CL18">
        <v>437</v>
      </c>
      <c r="CM18" s="5">
        <v>72677</v>
      </c>
      <c r="CN18" s="14">
        <v>246741</v>
      </c>
      <c r="CO18" s="5">
        <f t="shared" si="45"/>
        <v>371556</v>
      </c>
      <c r="CP18" s="5"/>
      <c r="CQ18" s="41">
        <v>0.33600000000000002</v>
      </c>
      <c r="CR18">
        <f t="shared" si="46"/>
        <v>1964</v>
      </c>
      <c r="CS18" s="6">
        <f t="shared" si="38"/>
        <v>-0.16824448807175971</v>
      </c>
      <c r="CT18" s="6">
        <f t="shared" si="47"/>
        <v>-0.2417301782421635</v>
      </c>
    </row>
    <row r="19" spans="1:105" x14ac:dyDescent="0.35">
      <c r="A19" t="str">
        <f t="shared" si="39"/>
        <v>Grant</v>
      </c>
      <c r="B19">
        <f t="shared" si="6"/>
        <v>1965</v>
      </c>
      <c r="C19" s="36">
        <f t="shared" si="7"/>
        <v>184800</v>
      </c>
      <c r="D19" s="31">
        <f t="shared" si="8"/>
        <v>851349</v>
      </c>
      <c r="E19" s="26">
        <f t="shared" si="9"/>
        <v>1.5275479910533403</v>
      </c>
      <c r="F19" s="26" t="str">
        <f t="shared" si="10"/>
        <v>Grant</v>
      </c>
      <c r="G19" s="26">
        <v>7002.9849246813255</v>
      </c>
      <c r="H19" s="5">
        <f t="shared" si="40"/>
        <v>129459</v>
      </c>
      <c r="I19" s="5">
        <f t="shared" si="11"/>
        <v>767008.39999999991</v>
      </c>
      <c r="J19" s="26">
        <f t="shared" si="12"/>
        <v>1.7791335243734945</v>
      </c>
      <c r="K19" s="26">
        <f t="shared" si="0"/>
        <v>0.72978252762323503</v>
      </c>
      <c r="L19">
        <v>1965</v>
      </c>
      <c r="M19" s="5">
        <v>184800</v>
      </c>
      <c r="N19" s="31">
        <v>851349</v>
      </c>
      <c r="P19" t="str">
        <f t="shared" si="41"/>
        <v>Grant</v>
      </c>
      <c r="Q19">
        <f t="shared" si="42"/>
        <v>1965</v>
      </c>
      <c r="R19" s="35">
        <f t="shared" si="43"/>
        <v>129459</v>
      </c>
      <c r="S19" s="39">
        <f t="shared" si="44"/>
        <v>170472</v>
      </c>
      <c r="T19" s="57">
        <f t="shared" si="13"/>
        <v>0.24058496409967622</v>
      </c>
      <c r="U19" s="69">
        <f t="shared" si="14"/>
        <v>41013</v>
      </c>
      <c r="V19" s="5"/>
      <c r="W19" s="5">
        <f t="shared" si="37"/>
        <v>345977.1</v>
      </c>
      <c r="X19" s="5">
        <f t="shared" si="15"/>
        <v>347095.8</v>
      </c>
      <c r="Y19" s="5">
        <f t="shared" si="16"/>
        <v>73935.5</v>
      </c>
      <c r="Z19" s="5">
        <f t="shared" si="17"/>
        <v>0</v>
      </c>
      <c r="AA19" s="12">
        <f t="shared" si="18"/>
        <v>767008.39999999991</v>
      </c>
      <c r="AB19" s="29"/>
      <c r="AC19" s="29"/>
      <c r="AD19" s="29"/>
      <c r="AE19" s="29"/>
      <c r="AF19" s="12">
        <f t="shared" si="19"/>
        <v>767008.39999999991</v>
      </c>
      <c r="AG19" s="12">
        <f t="shared" si="20"/>
        <v>1965</v>
      </c>
      <c r="AH19" s="56">
        <f t="shared" si="21"/>
        <v>0.45107341718812993</v>
      </c>
      <c r="AI19" s="56">
        <f t="shared" si="22"/>
        <v>0.45253194098004668</v>
      </c>
      <c r="AJ19" s="56">
        <f t="shared" si="23"/>
        <v>9.6394641831823502E-2</v>
      </c>
      <c r="AK19" s="56"/>
      <c r="AL19" s="56"/>
      <c r="AM19" s="68">
        <f t="shared" si="24"/>
        <v>1965</v>
      </c>
      <c r="AN19" s="60">
        <f t="shared" si="48"/>
        <v>755323.14685745735</v>
      </c>
      <c r="AO19" s="56">
        <f t="shared" si="3"/>
        <v>0.5</v>
      </c>
      <c r="AP19">
        <f t="shared" si="26"/>
        <v>377661.57342872868</v>
      </c>
      <c r="AQ19" s="59">
        <f t="shared" si="4"/>
        <v>1920469.7056964771</v>
      </c>
      <c r="AR19" s="59">
        <f t="shared" si="27"/>
        <v>377661.57342872868</v>
      </c>
      <c r="AS19" s="5"/>
      <c r="AU19">
        <v>0.65</v>
      </c>
      <c r="AV19">
        <v>35049887.793423325</v>
      </c>
      <c r="AZ19" t="s">
        <v>52</v>
      </c>
      <c r="BA19">
        <v>1965</v>
      </c>
      <c r="BB19" s="3">
        <v>4270</v>
      </c>
      <c r="BC19" s="4" t="s">
        <v>0</v>
      </c>
      <c r="BD19" s="3">
        <v>8713</v>
      </c>
      <c r="BE19" s="3">
        <v>5595</v>
      </c>
      <c r="BF19" s="4">
        <v>203</v>
      </c>
      <c r="BG19" s="3">
        <v>19329</v>
      </c>
      <c r="BH19" s="3">
        <v>38110</v>
      </c>
      <c r="BI19" s="1">
        <v>0.17</v>
      </c>
      <c r="BJ19" s="16">
        <v>184800</v>
      </c>
      <c r="BK19" s="18">
        <v>222910</v>
      </c>
      <c r="BL19" s="7">
        <f t="shared" si="28"/>
        <v>0.17096586066125341</v>
      </c>
      <c r="BM19" s="1">
        <f t="shared" si="29"/>
        <v>1.9155713068054372E-2</v>
      </c>
      <c r="BN19" s="2">
        <f t="shared" si="30"/>
        <v>3.9850896450786683E-2</v>
      </c>
      <c r="BO19" s="1">
        <f t="shared" si="31"/>
        <v>9.2163986954282767E-2</v>
      </c>
      <c r="BP19" s="8">
        <f t="shared" si="32"/>
        <v>0.17096586066125341</v>
      </c>
      <c r="BQ19" s="5">
        <f t="shared" si="33"/>
        <v>38110</v>
      </c>
      <c r="BS19" s="6">
        <f t="shared" si="34"/>
        <v>0.12671586614702557</v>
      </c>
      <c r="BT19" s="6">
        <f t="shared" si="35"/>
        <v>0.26361539466354927</v>
      </c>
      <c r="BU19" s="6">
        <f t="shared" si="36"/>
        <v>0.60966873918942521</v>
      </c>
      <c r="CE19" t="s">
        <v>55</v>
      </c>
      <c r="CF19" s="19">
        <v>1965</v>
      </c>
      <c r="CG19" s="12">
        <v>170472</v>
      </c>
      <c r="CH19" s="5">
        <v>8447</v>
      </c>
      <c r="CI19">
        <v>0</v>
      </c>
      <c r="CJ19" s="5">
        <v>7566</v>
      </c>
      <c r="CK19" s="5">
        <v>5595</v>
      </c>
      <c r="CL19">
        <v>203</v>
      </c>
      <c r="CM19" s="5">
        <v>19202</v>
      </c>
      <c r="CN19" s="14">
        <v>129459</v>
      </c>
      <c r="CO19" s="5">
        <f t="shared" si="45"/>
        <v>170472</v>
      </c>
      <c r="CP19" s="5"/>
      <c r="CQ19" s="41">
        <v>0.24099999999999999</v>
      </c>
      <c r="CR19">
        <f t="shared" si="46"/>
        <v>1965</v>
      </c>
      <c r="CS19" s="6">
        <f t="shared" si="38"/>
        <v>-0.23524292315284195</v>
      </c>
      <c r="CT19" s="6">
        <f t="shared" si="47"/>
        <v>-0.29946428571428574</v>
      </c>
    </row>
    <row r="20" spans="1:105" x14ac:dyDescent="0.35">
      <c r="A20" t="str">
        <f t="shared" si="39"/>
        <v>Grant</v>
      </c>
      <c r="B20">
        <f t="shared" si="6"/>
        <v>1966</v>
      </c>
      <c r="C20" s="36">
        <f t="shared" si="7"/>
        <v>429700</v>
      </c>
      <c r="D20" s="31">
        <f t="shared" si="8"/>
        <v>719419</v>
      </c>
      <c r="E20" s="26">
        <f t="shared" si="9"/>
        <v>0.51535665102978301</v>
      </c>
      <c r="F20" s="26" t="str">
        <f t="shared" si="10"/>
        <v>Grant</v>
      </c>
      <c r="G20" s="26">
        <v>6693.7965896649594</v>
      </c>
      <c r="H20" s="5">
        <f t="shared" si="40"/>
        <v>360810</v>
      </c>
      <c r="I20" s="5">
        <f t="shared" si="11"/>
        <v>654797.30000000005</v>
      </c>
      <c r="J20" s="26">
        <f t="shared" si="12"/>
        <v>0.59597421810138684</v>
      </c>
      <c r="K20" s="26">
        <f t="shared" si="0"/>
        <v>-0.31094458218061383</v>
      </c>
      <c r="L20">
        <v>1966</v>
      </c>
      <c r="M20" s="5">
        <v>429700</v>
      </c>
      <c r="N20" s="31">
        <v>719419</v>
      </c>
      <c r="P20" t="str">
        <f t="shared" si="41"/>
        <v>Grant</v>
      </c>
      <c r="Q20">
        <f t="shared" si="42"/>
        <v>1966</v>
      </c>
      <c r="R20" s="35">
        <f t="shared" si="43"/>
        <v>360810</v>
      </c>
      <c r="S20" s="39">
        <f t="shared" si="44"/>
        <v>419759</v>
      </c>
      <c r="T20" s="57">
        <f t="shared" si="13"/>
        <v>0.14043534504322719</v>
      </c>
      <c r="U20" s="69">
        <f t="shared" si="14"/>
        <v>58949</v>
      </c>
      <c r="V20" s="5"/>
      <c r="W20" s="5">
        <f t="shared" si="37"/>
        <v>173547.9</v>
      </c>
      <c r="X20" s="5">
        <f t="shared" si="15"/>
        <v>443613</v>
      </c>
      <c r="Y20" s="5">
        <f t="shared" si="16"/>
        <v>37636.400000000001</v>
      </c>
      <c r="Z20" s="5">
        <f t="shared" si="17"/>
        <v>0</v>
      </c>
      <c r="AA20" s="12">
        <f t="shared" si="18"/>
        <v>654797.30000000005</v>
      </c>
      <c r="AB20" s="29"/>
      <c r="AC20" s="29"/>
      <c r="AD20" s="29"/>
      <c r="AE20" s="29"/>
      <c r="AF20" s="12">
        <f t="shared" si="19"/>
        <v>654797.30000000005</v>
      </c>
      <c r="AG20" s="12">
        <f t="shared" si="20"/>
        <v>1966</v>
      </c>
      <c r="AH20" s="56">
        <f t="shared" si="21"/>
        <v>0.26504064692997359</v>
      </c>
      <c r="AI20" s="56">
        <f t="shared" si="22"/>
        <v>0.67748141295023656</v>
      </c>
      <c r="AJ20" s="56">
        <f t="shared" si="23"/>
        <v>5.7477940119789739E-2</v>
      </c>
      <c r="AK20" s="56"/>
      <c r="AL20" s="56"/>
      <c r="AM20" s="68">
        <f t="shared" si="24"/>
        <v>1966</v>
      </c>
      <c r="AN20" s="60">
        <f t="shared" si="48"/>
        <v>1521630.344834896</v>
      </c>
      <c r="AO20" s="56">
        <f t="shared" si="3"/>
        <v>0.5</v>
      </c>
      <c r="AP20">
        <f t="shared" si="26"/>
        <v>760815.17241744802</v>
      </c>
      <c r="AQ20" s="59">
        <f t="shared" si="4"/>
        <v>1079334.4057550633</v>
      </c>
      <c r="AR20" s="59">
        <f t="shared" si="27"/>
        <v>760815.17241744802</v>
      </c>
      <c r="AS20" s="5"/>
      <c r="AU20">
        <v>0.7</v>
      </c>
      <c r="AV20">
        <v>22241593.081230454</v>
      </c>
      <c r="AZ20" t="s">
        <v>52</v>
      </c>
      <c r="BA20">
        <v>1966</v>
      </c>
      <c r="BB20" s="3">
        <v>8860</v>
      </c>
      <c r="BC20" s="4" t="s">
        <v>0</v>
      </c>
      <c r="BD20" s="3">
        <v>8219</v>
      </c>
      <c r="BE20" s="3">
        <v>10083</v>
      </c>
      <c r="BF20" s="4">
        <v>216</v>
      </c>
      <c r="BG20" s="3">
        <v>26054</v>
      </c>
      <c r="BH20" s="3">
        <v>53432</v>
      </c>
      <c r="BI20" s="1">
        <v>0.11</v>
      </c>
      <c r="BJ20" s="16">
        <v>429700</v>
      </c>
      <c r="BK20" s="18">
        <v>483132</v>
      </c>
      <c r="BL20" s="7">
        <f t="shared" si="28"/>
        <v>0.11059503406936406</v>
      </c>
      <c r="BM20" s="1">
        <f t="shared" si="29"/>
        <v>1.8338673488818791E-2</v>
      </c>
      <c r="BN20" s="2">
        <f t="shared" si="30"/>
        <v>1.7329717967748466E-2</v>
      </c>
      <c r="BO20" s="1">
        <f t="shared" si="31"/>
        <v>5.5929434544701256E-2</v>
      </c>
      <c r="BP20" s="8">
        <f t="shared" si="32"/>
        <v>0.11059503406936406</v>
      </c>
      <c r="BQ20" s="5">
        <f t="shared" si="33"/>
        <v>53432</v>
      </c>
      <c r="BS20" s="6">
        <f t="shared" si="34"/>
        <v>0.20020861072144688</v>
      </c>
      <c r="BT20" s="6">
        <f t="shared" si="35"/>
        <v>0.18919355102934945</v>
      </c>
      <c r="BU20" s="6">
        <f t="shared" si="36"/>
        <v>0.61059783824920377</v>
      </c>
      <c r="CE20" t="s">
        <v>55</v>
      </c>
      <c r="CF20" s="19">
        <v>1966</v>
      </c>
      <c r="CG20" s="12">
        <v>419759</v>
      </c>
      <c r="CH20" s="5">
        <v>15213</v>
      </c>
      <c r="CI20">
        <v>0</v>
      </c>
      <c r="CJ20" s="5">
        <v>7402</v>
      </c>
      <c r="CK20" s="5">
        <v>10083</v>
      </c>
      <c r="CL20">
        <v>216</v>
      </c>
      <c r="CM20" s="5">
        <v>26035</v>
      </c>
      <c r="CN20" s="14">
        <v>360810</v>
      </c>
      <c r="CO20" s="5">
        <f t="shared" si="45"/>
        <v>419759</v>
      </c>
      <c r="CP20" s="5"/>
      <c r="CQ20" s="41">
        <v>0.14000000000000001</v>
      </c>
      <c r="CR20">
        <f t="shared" si="46"/>
        <v>1966</v>
      </c>
      <c r="CS20" s="6">
        <f t="shared" si="38"/>
        <v>-0.13117119131003535</v>
      </c>
      <c r="CT20" s="6">
        <f t="shared" si="47"/>
        <v>-0.16032115429369329</v>
      </c>
    </row>
    <row r="21" spans="1:105" x14ac:dyDescent="0.35">
      <c r="A21" t="str">
        <f t="shared" si="39"/>
        <v>Grant</v>
      </c>
      <c r="B21">
        <f t="shared" si="6"/>
        <v>1967</v>
      </c>
      <c r="C21" s="36">
        <f t="shared" si="7"/>
        <v>213873</v>
      </c>
      <c r="D21" s="31">
        <f t="shared" si="8"/>
        <v>526762</v>
      </c>
      <c r="E21" s="26">
        <f t="shared" si="9"/>
        <v>0.90136645271825699</v>
      </c>
      <c r="F21" s="26" t="str">
        <f t="shared" si="10"/>
        <v>Grant</v>
      </c>
      <c r="G21" s="26">
        <v>6634.821204707031</v>
      </c>
      <c r="H21" s="5">
        <f t="shared" si="40"/>
        <v>213873</v>
      </c>
      <c r="I21" s="5">
        <f t="shared" si="11"/>
        <v>582606.9</v>
      </c>
      <c r="J21" s="26">
        <f t="shared" si="12"/>
        <v>1.0021303070034921</v>
      </c>
      <c r="K21" s="26">
        <f t="shared" si="0"/>
        <v>4.7491371944241578E-3</v>
      </c>
      <c r="L21">
        <v>1967</v>
      </c>
      <c r="M21" s="5">
        <v>213873</v>
      </c>
      <c r="N21" s="31">
        <v>526762</v>
      </c>
      <c r="P21" t="str">
        <f t="shared" si="41"/>
        <v>Grant</v>
      </c>
      <c r="Q21">
        <f t="shared" si="42"/>
        <v>1967</v>
      </c>
      <c r="R21" s="35">
        <f t="shared" si="43"/>
        <v>213873</v>
      </c>
      <c r="S21" s="39">
        <f t="shared" si="44"/>
        <v>323003</v>
      </c>
      <c r="T21" s="57">
        <f t="shared" si="13"/>
        <v>0.33786063906527186</v>
      </c>
      <c r="U21" s="69">
        <f t="shared" si="14"/>
        <v>109130</v>
      </c>
      <c r="V21" s="5"/>
      <c r="W21" s="5">
        <f t="shared" si="37"/>
        <v>221806.5</v>
      </c>
      <c r="X21" s="5">
        <f t="shared" si="15"/>
        <v>225818.4</v>
      </c>
      <c r="Y21" s="5">
        <f t="shared" si="16"/>
        <v>134982</v>
      </c>
      <c r="Z21" s="5">
        <f t="shared" si="17"/>
        <v>0</v>
      </c>
      <c r="AA21" s="12">
        <f t="shared" si="18"/>
        <v>582606.9</v>
      </c>
      <c r="AB21" s="29"/>
      <c r="AC21" s="29"/>
      <c r="AD21" s="29"/>
      <c r="AE21" s="29"/>
      <c r="AF21" s="12">
        <f t="shared" si="19"/>
        <v>582606.9</v>
      </c>
      <c r="AG21" s="12">
        <f t="shared" si="20"/>
        <v>1967</v>
      </c>
      <c r="AH21" s="56">
        <f t="shared" si="21"/>
        <v>0.38071382264782649</v>
      </c>
      <c r="AI21" s="56">
        <f t="shared" si="22"/>
        <v>0.38759994088638494</v>
      </c>
      <c r="AJ21" s="56">
        <f t="shared" si="23"/>
        <v>0.23168623646578851</v>
      </c>
      <c r="AK21" s="56"/>
      <c r="AL21" s="56"/>
      <c r="AM21" s="68">
        <f t="shared" si="24"/>
        <v>1967</v>
      </c>
      <c r="AN21" s="60">
        <f t="shared" si="48"/>
        <v>900057.28804959776</v>
      </c>
      <c r="AO21" s="56">
        <f t="shared" si="3"/>
        <v>0.5</v>
      </c>
      <c r="AP21">
        <f t="shared" si="26"/>
        <v>450028.64402479888</v>
      </c>
      <c r="AQ21" s="59">
        <f t="shared" si="4"/>
        <v>1060028.7885747431</v>
      </c>
      <c r="AR21" s="59">
        <f t="shared" si="27"/>
        <v>450028.64402479888</v>
      </c>
      <c r="AS21" s="5"/>
      <c r="AU21">
        <v>0.75</v>
      </c>
      <c r="AV21">
        <v>13351958.919192033</v>
      </c>
      <c r="AZ21" t="s">
        <v>52</v>
      </c>
      <c r="BA21">
        <v>1967</v>
      </c>
      <c r="BB21" s="3">
        <v>36432</v>
      </c>
      <c r="BC21" s="4" t="s">
        <v>0</v>
      </c>
      <c r="BD21" s="3">
        <v>11948</v>
      </c>
      <c r="BE21" s="3">
        <v>9206</v>
      </c>
      <c r="BF21" s="4">
        <v>688</v>
      </c>
      <c r="BG21" s="3">
        <v>55457</v>
      </c>
      <c r="BH21" s="3">
        <v>113731</v>
      </c>
      <c r="BI21" s="1">
        <v>0.35</v>
      </c>
      <c r="BJ21" s="16">
        <v>213873</v>
      </c>
      <c r="BK21" s="18">
        <v>327604</v>
      </c>
      <c r="BL21" s="7">
        <f t="shared" si="28"/>
        <v>0.34715998583655877</v>
      </c>
      <c r="BM21" s="1">
        <f t="shared" si="29"/>
        <v>0.11120743336467198</v>
      </c>
      <c r="BN21" s="2">
        <f t="shared" si="30"/>
        <v>4.1034165373044114E-2</v>
      </c>
      <c r="BO21" s="1">
        <f t="shared" si="31"/>
        <v>0.19910173191257144</v>
      </c>
      <c r="BP21" s="8">
        <f t="shared" si="32"/>
        <v>0.34715998583655877</v>
      </c>
      <c r="BQ21" s="5">
        <f t="shared" si="33"/>
        <v>113731</v>
      </c>
      <c r="BS21" s="6">
        <f t="shared" si="34"/>
        <v>0.3165206897732839</v>
      </c>
      <c r="BT21" s="6">
        <f t="shared" si="35"/>
        <v>0.11679221375028122</v>
      </c>
      <c r="BU21" s="6">
        <f t="shared" si="36"/>
        <v>0.56668709647643478</v>
      </c>
      <c r="CE21" t="s">
        <v>55</v>
      </c>
      <c r="CF21" s="19">
        <v>1967</v>
      </c>
      <c r="CG21" s="12">
        <v>323003</v>
      </c>
      <c r="CH21" s="5">
        <v>35962</v>
      </c>
      <c r="CI21">
        <v>0</v>
      </c>
      <c r="CJ21" s="5">
        <v>7824</v>
      </c>
      <c r="CK21" s="5">
        <v>9206</v>
      </c>
      <c r="CL21">
        <v>688</v>
      </c>
      <c r="CM21" s="5">
        <v>55450</v>
      </c>
      <c r="CN21" s="14">
        <v>213873</v>
      </c>
      <c r="CO21" s="5">
        <f t="shared" si="45"/>
        <v>323003</v>
      </c>
      <c r="CP21" s="5"/>
      <c r="CQ21" s="41">
        <v>0.33800000000000002</v>
      </c>
      <c r="CR21">
        <f t="shared" si="46"/>
        <v>1967</v>
      </c>
      <c r="CS21" s="6">
        <f t="shared" si="38"/>
        <v>-1.4044395062331351E-2</v>
      </c>
      <c r="CT21" s="6">
        <f t="shared" si="47"/>
        <v>0</v>
      </c>
    </row>
    <row r="22" spans="1:105" x14ac:dyDescent="0.35">
      <c r="A22" t="str">
        <f t="shared" si="39"/>
        <v>Grant</v>
      </c>
      <c r="B22">
        <f t="shared" si="6"/>
        <v>1968</v>
      </c>
      <c r="C22" s="36">
        <f t="shared" si="7"/>
        <v>822200</v>
      </c>
      <c r="D22" s="31">
        <f t="shared" si="8"/>
        <v>1219850</v>
      </c>
      <c r="E22" s="26">
        <f t="shared" si="9"/>
        <v>0.39449950488478053</v>
      </c>
      <c r="F22" s="26" t="str">
        <f t="shared" si="10"/>
        <v>Grant</v>
      </c>
      <c r="G22" s="26">
        <v>6677.8906045999411</v>
      </c>
      <c r="H22" s="5">
        <f t="shared" si="40"/>
        <v>670328</v>
      </c>
      <c r="I22" s="5">
        <f t="shared" si="11"/>
        <v>1073497.2</v>
      </c>
      <c r="J22" s="26">
        <f t="shared" si="12"/>
        <v>0.47090986419258096</v>
      </c>
      <c r="K22" s="26">
        <f t="shared" si="0"/>
        <v>-0.2454529039717176</v>
      </c>
      <c r="L22">
        <v>1968</v>
      </c>
      <c r="M22" s="5">
        <v>822200</v>
      </c>
      <c r="N22" s="31">
        <v>1219850</v>
      </c>
      <c r="P22" t="str">
        <f t="shared" si="41"/>
        <v>Grant</v>
      </c>
      <c r="Q22">
        <f t="shared" si="42"/>
        <v>1968</v>
      </c>
      <c r="R22" s="35">
        <f t="shared" si="43"/>
        <v>670328</v>
      </c>
      <c r="S22" s="39">
        <f t="shared" si="44"/>
        <v>1153257</v>
      </c>
      <c r="T22" s="57">
        <f t="shared" si="13"/>
        <v>0.41875228158164224</v>
      </c>
      <c r="U22" s="69">
        <f t="shared" si="14"/>
        <v>482929</v>
      </c>
      <c r="V22" s="5"/>
      <c r="W22" s="5">
        <f t="shared" si="37"/>
        <v>112909.2</v>
      </c>
      <c r="X22" s="5">
        <f t="shared" si="15"/>
        <v>809892</v>
      </c>
      <c r="Y22" s="5">
        <f t="shared" si="16"/>
        <v>150696</v>
      </c>
      <c r="Z22" s="5">
        <f t="shared" si="17"/>
        <v>0</v>
      </c>
      <c r="AA22" s="12">
        <f t="shared" si="18"/>
        <v>1073497.2</v>
      </c>
      <c r="AB22" s="29"/>
      <c r="AC22" s="29"/>
      <c r="AD22" s="29"/>
      <c r="AE22" s="29"/>
      <c r="AF22" s="12">
        <f t="shared" si="19"/>
        <v>1073497.2</v>
      </c>
      <c r="AG22" s="12">
        <f t="shared" si="20"/>
        <v>1968</v>
      </c>
      <c r="AH22" s="56">
        <f t="shared" si="21"/>
        <v>0.10517884909248017</v>
      </c>
      <c r="AI22" s="56">
        <f t="shared" si="22"/>
        <v>0.7544425826168899</v>
      </c>
      <c r="AJ22" s="56">
        <f t="shared" si="23"/>
        <v>0.14037856829062992</v>
      </c>
      <c r="AK22" s="56"/>
      <c r="AL22" s="56"/>
      <c r="AM22" s="68">
        <f t="shared" si="24"/>
        <v>1968</v>
      </c>
      <c r="AN22" s="60">
        <f t="shared" si="48"/>
        <v>2824533.5714316177</v>
      </c>
      <c r="AO22" s="56">
        <f t="shared" si="3"/>
        <v>0.5</v>
      </c>
      <c r="AP22">
        <f t="shared" si="26"/>
        <v>1412266.7857158089</v>
      </c>
      <c r="AQ22" s="59">
        <f t="shared" si="4"/>
        <v>1432366.9080714646</v>
      </c>
      <c r="AR22" s="59">
        <f t="shared" si="27"/>
        <v>1412266.7857158089</v>
      </c>
      <c r="AS22" s="5"/>
      <c r="AZ22" t="s">
        <v>52</v>
      </c>
      <c r="BA22">
        <v>1968</v>
      </c>
      <c r="BB22" s="3">
        <v>298253</v>
      </c>
      <c r="BC22" s="4" t="s">
        <v>0</v>
      </c>
      <c r="BD22" s="3">
        <v>12960</v>
      </c>
      <c r="BE22" s="3">
        <v>77467</v>
      </c>
      <c r="BF22" s="4">
        <v>863</v>
      </c>
      <c r="BG22" s="3">
        <v>214264</v>
      </c>
      <c r="BH22" s="3">
        <v>603807</v>
      </c>
      <c r="BI22" s="1">
        <v>0.42</v>
      </c>
      <c r="BJ22" s="16">
        <v>822200</v>
      </c>
      <c r="BK22" s="18">
        <v>1426007</v>
      </c>
      <c r="BL22" s="7">
        <f t="shared" si="28"/>
        <v>0.42342499019990787</v>
      </c>
      <c r="BM22" s="1">
        <f t="shared" si="29"/>
        <v>0.20915254974204195</v>
      </c>
      <c r="BN22" s="2">
        <f t="shared" si="30"/>
        <v>1.1491867907362776E-2</v>
      </c>
      <c r="BO22" s="1">
        <f t="shared" si="31"/>
        <v>0.19234943636544813</v>
      </c>
      <c r="BP22" s="8">
        <f t="shared" si="32"/>
        <v>0.42342499019990787</v>
      </c>
      <c r="BQ22" s="5">
        <f t="shared" si="33"/>
        <v>603807</v>
      </c>
      <c r="BS22" s="6">
        <f t="shared" si="34"/>
        <v>0.50643017495006115</v>
      </c>
      <c r="BT22" s="6">
        <f t="shared" si="35"/>
        <v>2.7825760106709684E-2</v>
      </c>
      <c r="BU22" s="6">
        <f t="shared" si="36"/>
        <v>0.46574406494322912</v>
      </c>
      <c r="CE22" t="s">
        <v>55</v>
      </c>
      <c r="CF22" s="19">
        <v>1968</v>
      </c>
      <c r="CG22" s="12">
        <v>1153257</v>
      </c>
      <c r="CH22" s="5">
        <v>179004</v>
      </c>
      <c r="CI22">
        <v>0</v>
      </c>
      <c r="CJ22" s="5">
        <v>11578</v>
      </c>
      <c r="CK22" s="5">
        <v>77467</v>
      </c>
      <c r="CL22">
        <v>863</v>
      </c>
      <c r="CM22" s="5">
        <v>214017</v>
      </c>
      <c r="CN22" s="14">
        <v>670328</v>
      </c>
      <c r="CO22" s="5">
        <f t="shared" si="45"/>
        <v>1153257</v>
      </c>
      <c r="CP22" s="5"/>
      <c r="CQ22" s="41">
        <v>0.41899999999999998</v>
      </c>
      <c r="CR22">
        <f t="shared" si="46"/>
        <v>1968</v>
      </c>
      <c r="CS22" s="6">
        <f t="shared" si="38"/>
        <v>-0.19126834580755914</v>
      </c>
      <c r="CT22" s="6">
        <f t="shared" si="47"/>
        <v>-0.18471418146436391</v>
      </c>
    </row>
    <row r="23" spans="1:105" x14ac:dyDescent="0.35">
      <c r="A23" t="str">
        <f t="shared" si="39"/>
        <v>Grant</v>
      </c>
      <c r="B23">
        <f t="shared" si="6"/>
        <v>1969</v>
      </c>
      <c r="C23" s="36">
        <f t="shared" si="7"/>
        <v>390100</v>
      </c>
      <c r="D23" s="31">
        <f t="shared" si="8"/>
        <v>1312868</v>
      </c>
      <c r="E23" s="26">
        <f t="shared" si="9"/>
        <v>1.2135662196061554</v>
      </c>
      <c r="F23" s="26" t="str">
        <f t="shared" si="10"/>
        <v>Grant</v>
      </c>
      <c r="G23" s="26">
        <v>6755.3387066492078</v>
      </c>
      <c r="H23" s="5">
        <f t="shared" si="40"/>
        <v>309220</v>
      </c>
      <c r="I23" s="5">
        <f t="shared" si="11"/>
        <v>1380907.4</v>
      </c>
      <c r="J23" s="26">
        <f t="shared" si="12"/>
        <v>1.4964431006264538</v>
      </c>
      <c r="K23" s="26">
        <f t="shared" si="0"/>
        <v>0.55776270425972707</v>
      </c>
      <c r="L23">
        <v>1969</v>
      </c>
      <c r="M23" s="5">
        <v>390100</v>
      </c>
      <c r="N23" s="31">
        <v>1312868</v>
      </c>
      <c r="P23" t="str">
        <f t="shared" si="41"/>
        <v>Grant</v>
      </c>
      <c r="Q23">
        <f t="shared" si="42"/>
        <v>1969</v>
      </c>
      <c r="R23" s="35">
        <f t="shared" si="43"/>
        <v>309220</v>
      </c>
      <c r="S23" s="39">
        <f t="shared" si="44"/>
        <v>578493</v>
      </c>
      <c r="T23" s="57">
        <f t="shared" si="13"/>
        <v>0.4654732209378506</v>
      </c>
      <c r="U23" s="69">
        <f t="shared" si="14"/>
        <v>269273</v>
      </c>
      <c r="V23" s="5"/>
      <c r="W23" s="5">
        <f t="shared" si="37"/>
        <v>404946</v>
      </c>
      <c r="X23" s="5">
        <f t="shared" si="15"/>
        <v>904176</v>
      </c>
      <c r="Y23" s="5">
        <f t="shared" si="16"/>
        <v>71785.400000000009</v>
      </c>
      <c r="Z23" s="5">
        <f t="shared" si="17"/>
        <v>0</v>
      </c>
      <c r="AA23" s="12">
        <f t="shared" si="18"/>
        <v>1380907.4</v>
      </c>
      <c r="AB23" s="29"/>
      <c r="AC23" s="29"/>
      <c r="AD23" s="29"/>
      <c r="AE23" s="29"/>
      <c r="AF23" s="12">
        <f t="shared" si="19"/>
        <v>1380907.4</v>
      </c>
      <c r="AG23" s="12">
        <f t="shared" si="20"/>
        <v>1969</v>
      </c>
      <c r="AH23" s="56">
        <f t="shared" si="21"/>
        <v>0.29324631036085402</v>
      </c>
      <c r="AI23" s="56">
        <f t="shared" si="22"/>
        <v>0.65476946535299907</v>
      </c>
      <c r="AJ23" s="56">
        <f t="shared" si="23"/>
        <v>5.1984224286146928E-2</v>
      </c>
      <c r="AK23" s="56"/>
      <c r="AL23" s="56"/>
      <c r="AM23" s="68">
        <f t="shared" si="24"/>
        <v>1969</v>
      </c>
      <c r="AN23" s="60">
        <f t="shared" si="48"/>
        <v>1291627.8950945286</v>
      </c>
      <c r="AO23" s="56">
        <f t="shared" si="3"/>
        <v>0.5</v>
      </c>
      <c r="AP23">
        <f t="shared" si="26"/>
        <v>645813.94754726428</v>
      </c>
      <c r="AQ23" s="59">
        <f t="shared" si="4"/>
        <v>2344269.4689334072</v>
      </c>
      <c r="AR23" s="59">
        <f t="shared" si="27"/>
        <v>645813.94754726428</v>
      </c>
      <c r="AS23" s="5"/>
      <c r="AZ23" t="s">
        <v>52</v>
      </c>
      <c r="BA23">
        <v>1969</v>
      </c>
      <c r="BB23" s="3">
        <v>183798</v>
      </c>
      <c r="BC23" s="4" t="s">
        <v>0</v>
      </c>
      <c r="BD23" s="3">
        <v>6816</v>
      </c>
      <c r="BE23" s="3">
        <v>39026</v>
      </c>
      <c r="BF23" s="4">
        <v>735</v>
      </c>
      <c r="BG23" s="3">
        <v>93245</v>
      </c>
      <c r="BH23" s="3">
        <v>323620</v>
      </c>
      <c r="BI23" s="1">
        <v>0.45</v>
      </c>
      <c r="BJ23" s="16">
        <v>390100</v>
      </c>
      <c r="BK23" s="18">
        <v>713720</v>
      </c>
      <c r="BL23" s="7">
        <f t="shared" si="28"/>
        <v>0.45342711427450538</v>
      </c>
      <c r="BM23" s="1">
        <f t="shared" si="29"/>
        <v>0.25752115675615089</v>
      </c>
      <c r="BN23" s="2">
        <f t="shared" si="30"/>
        <v>1.2862270296383241E-2</v>
      </c>
      <c r="BO23" s="1">
        <f t="shared" si="31"/>
        <v>0.17850340083963315</v>
      </c>
      <c r="BP23" s="8">
        <f t="shared" si="32"/>
        <v>0.45342711427450538</v>
      </c>
      <c r="BQ23" s="5">
        <f t="shared" si="33"/>
        <v>323620</v>
      </c>
      <c r="BS23" s="6">
        <f t="shared" si="34"/>
        <v>0.57368837924113303</v>
      </c>
      <c r="BT23" s="6">
        <f t="shared" si="35"/>
        <v>2.8653704001029515E-2</v>
      </c>
      <c r="BU23" s="6">
        <f t="shared" si="36"/>
        <v>0.3976579167578374</v>
      </c>
      <c r="CE23" t="s">
        <v>55</v>
      </c>
      <c r="CF23" s="19">
        <v>1969</v>
      </c>
      <c r="CG23" s="12">
        <v>578493</v>
      </c>
      <c r="CH23" s="5">
        <v>129729</v>
      </c>
      <c r="CI23">
        <v>0</v>
      </c>
      <c r="CJ23" s="5">
        <v>6331</v>
      </c>
      <c r="CK23" s="5">
        <v>39026</v>
      </c>
      <c r="CL23">
        <v>735</v>
      </c>
      <c r="CM23" s="5">
        <v>93453</v>
      </c>
      <c r="CN23" s="14">
        <v>309220</v>
      </c>
      <c r="CO23" s="5">
        <f t="shared" si="45"/>
        <v>578494</v>
      </c>
      <c r="CP23" s="5"/>
      <c r="CQ23" s="41">
        <v>0.46500000000000002</v>
      </c>
      <c r="CR23">
        <f t="shared" si="46"/>
        <v>1969</v>
      </c>
      <c r="CS23" s="6">
        <f t="shared" si="38"/>
        <v>-0.18946785854396683</v>
      </c>
      <c r="CT23" s="6">
        <f t="shared" si="47"/>
        <v>-0.20733145347346835</v>
      </c>
    </row>
    <row r="24" spans="1:105" x14ac:dyDescent="0.35">
      <c r="A24" t="str">
        <f t="shared" si="39"/>
        <v>Grant</v>
      </c>
      <c r="B24">
        <f t="shared" si="6"/>
        <v>1970</v>
      </c>
      <c r="C24" s="36">
        <f t="shared" si="7"/>
        <v>287250</v>
      </c>
      <c r="D24" s="31">
        <f t="shared" si="8"/>
        <v>832641</v>
      </c>
      <c r="E24" s="26">
        <f t="shared" si="9"/>
        <v>1.064249660153731</v>
      </c>
      <c r="F24" s="26" t="str">
        <f t="shared" si="10"/>
        <v>Grant</v>
      </c>
      <c r="G24" s="26">
        <v>6841.2164344214461</v>
      </c>
      <c r="H24" s="5">
        <f t="shared" si="40"/>
        <v>284250</v>
      </c>
      <c r="I24" s="5">
        <f t="shared" si="11"/>
        <v>931420.29999999993</v>
      </c>
      <c r="J24" s="26">
        <f t="shared" si="12"/>
        <v>1.186856492827211</v>
      </c>
      <c r="K24" s="26">
        <f t="shared" si="0"/>
        <v>0.23280321306766361</v>
      </c>
      <c r="L24">
        <v>1970</v>
      </c>
      <c r="M24" s="5">
        <v>287250</v>
      </c>
      <c r="N24" s="31">
        <v>832641</v>
      </c>
      <c r="P24" t="str">
        <f t="shared" si="41"/>
        <v>Grant</v>
      </c>
      <c r="Q24">
        <f t="shared" si="42"/>
        <v>1970</v>
      </c>
      <c r="R24" s="35">
        <f t="shared" si="43"/>
        <v>284250</v>
      </c>
      <c r="S24" s="39">
        <f t="shared" si="44"/>
        <v>739355</v>
      </c>
      <c r="T24" s="57">
        <f t="shared" si="13"/>
        <v>0.61554327758654503</v>
      </c>
      <c r="U24" s="69">
        <f t="shared" si="14"/>
        <v>455105</v>
      </c>
      <c r="V24" s="5"/>
      <c r="W24" s="5">
        <f t="shared" si="37"/>
        <v>452088</v>
      </c>
      <c r="X24" s="5">
        <f t="shared" si="15"/>
        <v>430712.39999999997</v>
      </c>
      <c r="Y24" s="5">
        <f t="shared" si="16"/>
        <v>48619.9</v>
      </c>
      <c r="Z24" s="5">
        <f t="shared" si="17"/>
        <v>0</v>
      </c>
      <c r="AA24" s="12">
        <f t="shared" si="18"/>
        <v>931420.29999999993</v>
      </c>
      <c r="AB24" s="29"/>
      <c r="AC24" s="29"/>
      <c r="AD24" s="29"/>
      <c r="AE24" s="29"/>
      <c r="AF24" s="12">
        <f t="shared" si="19"/>
        <v>931420.29999999993</v>
      </c>
      <c r="AG24" s="12">
        <f t="shared" si="20"/>
        <v>1970</v>
      </c>
      <c r="AH24" s="56">
        <f t="shared" si="21"/>
        <v>0.48537486245468348</v>
      </c>
      <c r="AI24" s="56">
        <f t="shared" si="22"/>
        <v>0.46242539485128248</v>
      </c>
      <c r="AJ24" s="56">
        <f t="shared" si="23"/>
        <v>5.2199742694034053E-2</v>
      </c>
      <c r="AK24" s="56"/>
      <c r="AL24" s="56"/>
      <c r="AM24" s="68">
        <f t="shared" si="24"/>
        <v>1970</v>
      </c>
      <c r="AN24" s="60">
        <f t="shared" si="48"/>
        <v>1319919.5999012589</v>
      </c>
      <c r="AO24" s="56">
        <f t="shared" si="3"/>
        <v>0.5</v>
      </c>
      <c r="AP24">
        <f t="shared" si="26"/>
        <v>659959.79995062947</v>
      </c>
      <c r="AQ24" s="59">
        <f t="shared" si="4"/>
        <v>1715960.2755196467</v>
      </c>
      <c r="AR24" s="59">
        <f t="shared" si="27"/>
        <v>659959.79995062947</v>
      </c>
      <c r="AS24" s="5"/>
      <c r="AZ24" t="s">
        <v>52</v>
      </c>
      <c r="BA24">
        <v>1970</v>
      </c>
      <c r="BB24" s="3">
        <v>209072</v>
      </c>
      <c r="BC24" s="4" t="s">
        <v>0</v>
      </c>
      <c r="BD24" s="3">
        <v>11867</v>
      </c>
      <c r="BE24" s="3">
        <v>61134</v>
      </c>
      <c r="BF24" s="4">
        <v>332</v>
      </c>
      <c r="BG24" s="3">
        <v>184381</v>
      </c>
      <c r="BH24" s="3">
        <v>468787</v>
      </c>
      <c r="BI24" s="1">
        <v>0.62</v>
      </c>
      <c r="BJ24" s="16">
        <v>287250</v>
      </c>
      <c r="BK24" s="18">
        <v>754037</v>
      </c>
      <c r="BL24" s="7">
        <f t="shared" si="28"/>
        <v>0.62170291378274545</v>
      </c>
      <c r="BM24" s="1">
        <f t="shared" si="29"/>
        <v>0.27727021353063575</v>
      </c>
      <c r="BN24" s="2">
        <f t="shared" si="30"/>
        <v>2.17757103667208E-2</v>
      </c>
      <c r="BO24" s="1">
        <f t="shared" si="31"/>
        <v>0.34608252028094888</v>
      </c>
      <c r="BP24" s="8">
        <f t="shared" si="32"/>
        <v>0.62170291378274545</v>
      </c>
      <c r="BQ24" s="5">
        <f t="shared" si="33"/>
        <v>472073.85013146373</v>
      </c>
      <c r="BS24" s="6">
        <f t="shared" si="34"/>
        <v>0.42979071227248777</v>
      </c>
      <c r="BT24" s="6">
        <f t="shared" si="35"/>
        <v>3.3754069539526095E-2</v>
      </c>
      <c r="BU24" s="6">
        <f t="shared" si="36"/>
        <v>0.53645521818798614</v>
      </c>
      <c r="CE24" t="s">
        <v>55</v>
      </c>
      <c r="CF24" s="19">
        <v>1970</v>
      </c>
      <c r="CG24" s="12">
        <v>739355</v>
      </c>
      <c r="CH24" s="5">
        <v>197753</v>
      </c>
      <c r="CI24">
        <v>675</v>
      </c>
      <c r="CJ24" s="5">
        <v>10345</v>
      </c>
      <c r="CK24" s="5">
        <v>61134</v>
      </c>
      <c r="CL24">
        <v>0</v>
      </c>
      <c r="CM24" s="5">
        <v>185198</v>
      </c>
      <c r="CN24" s="14">
        <v>284250</v>
      </c>
      <c r="CO24" s="5">
        <f t="shared" si="45"/>
        <v>739355</v>
      </c>
      <c r="CP24" s="5"/>
      <c r="CQ24" s="41">
        <v>0.61599999999999999</v>
      </c>
      <c r="CR24">
        <f t="shared" si="46"/>
        <v>1970</v>
      </c>
      <c r="CS24" s="6">
        <f t="shared" si="38"/>
        <v>-1.9471193058165581E-2</v>
      </c>
      <c r="CT24" s="6">
        <f t="shared" si="47"/>
        <v>-1.0443864229765013E-2</v>
      </c>
    </row>
    <row r="25" spans="1:105" x14ac:dyDescent="0.35">
      <c r="A25" t="str">
        <f t="shared" si="39"/>
        <v>Grant</v>
      </c>
      <c r="B25">
        <f t="shared" si="6"/>
        <v>1971</v>
      </c>
      <c r="C25" s="36">
        <f t="shared" si="7"/>
        <v>290150</v>
      </c>
      <c r="D25" s="31">
        <f t="shared" si="8"/>
        <v>589068</v>
      </c>
      <c r="E25" s="26">
        <f t="shared" si="9"/>
        <v>0.70814359626625123</v>
      </c>
      <c r="F25" s="26" t="str">
        <f t="shared" si="10"/>
        <v>Grant</v>
      </c>
      <c r="G25" s="26">
        <v>6933.9203253009564</v>
      </c>
      <c r="H25" s="5">
        <f t="shared" si="40"/>
        <v>290125</v>
      </c>
      <c r="I25" s="5">
        <f t="shared" si="11"/>
        <v>607447.80000000005</v>
      </c>
      <c r="J25" s="26">
        <f t="shared" si="12"/>
        <v>0.73895438100233268</v>
      </c>
      <c r="K25" s="26">
        <f t="shared" si="0"/>
        <v>-0.2114819307983512</v>
      </c>
      <c r="L25">
        <v>1971</v>
      </c>
      <c r="M25" s="5">
        <v>290150</v>
      </c>
      <c r="N25" s="31">
        <v>589068</v>
      </c>
      <c r="P25" t="str">
        <f t="shared" si="41"/>
        <v>Grant</v>
      </c>
      <c r="Q25">
        <f t="shared" si="42"/>
        <v>1971</v>
      </c>
      <c r="R25" s="35">
        <f t="shared" si="43"/>
        <v>290125</v>
      </c>
      <c r="S25" s="39">
        <f t="shared" si="44"/>
        <v>376364</v>
      </c>
      <c r="T25" s="57">
        <f t="shared" si="13"/>
        <v>0.22913721822490996</v>
      </c>
      <c r="U25" s="69">
        <f t="shared" si="14"/>
        <v>86239</v>
      </c>
      <c r="V25" s="5"/>
      <c r="W25" s="5">
        <f t="shared" si="37"/>
        <v>215356.19999999998</v>
      </c>
      <c r="X25" s="5">
        <f t="shared" si="15"/>
        <v>291719.39999999997</v>
      </c>
      <c r="Y25" s="5">
        <f t="shared" si="16"/>
        <v>100372.20000000001</v>
      </c>
      <c r="Z25" s="5">
        <f t="shared" si="17"/>
        <v>0</v>
      </c>
      <c r="AA25" s="12">
        <f t="shared" si="18"/>
        <v>607447.80000000005</v>
      </c>
      <c r="AB25" s="29"/>
      <c r="AC25" s="29"/>
      <c r="AD25" s="29"/>
      <c r="AE25" s="29"/>
      <c r="AF25" s="12">
        <f t="shared" si="19"/>
        <v>607447.80000000005</v>
      </c>
      <c r="AG25" s="12">
        <f t="shared" si="20"/>
        <v>1971</v>
      </c>
      <c r="AH25" s="56">
        <f t="shared" si="21"/>
        <v>0.35452626546676103</v>
      </c>
      <c r="AI25" s="56">
        <f t="shared" si="22"/>
        <v>0.48023780808820105</v>
      </c>
      <c r="AJ25" s="56">
        <f t="shared" si="23"/>
        <v>0.16523592644503776</v>
      </c>
      <c r="AK25" s="56"/>
      <c r="AL25" s="56"/>
      <c r="AM25" s="68">
        <f t="shared" si="24"/>
        <v>1971</v>
      </c>
      <c r="AN25" s="60">
        <f t="shared" si="48"/>
        <v>623559.71700176608</v>
      </c>
      <c r="AO25" s="56">
        <f t="shared" si="3"/>
        <v>0.5</v>
      </c>
      <c r="AP25">
        <f t="shared" si="26"/>
        <v>311779.85850088304</v>
      </c>
      <c r="AQ25" s="59">
        <f t="shared" si="4"/>
        <v>644142.40998537885</v>
      </c>
      <c r="AR25" s="59">
        <f t="shared" si="27"/>
        <v>311779.85850088304</v>
      </c>
      <c r="AS25" s="5"/>
      <c r="AZ25" t="s">
        <v>52</v>
      </c>
      <c r="BA25">
        <v>1971</v>
      </c>
      <c r="BB25" s="3">
        <v>40206</v>
      </c>
      <c r="BC25" s="4" t="s">
        <v>0</v>
      </c>
      <c r="BD25" s="3">
        <v>9162</v>
      </c>
      <c r="BE25" s="3">
        <v>19848</v>
      </c>
      <c r="BF25" s="4">
        <v>193</v>
      </c>
      <c r="BG25" s="3">
        <v>25716</v>
      </c>
      <c r="BH25" s="3">
        <v>95125</v>
      </c>
      <c r="BI25" s="1">
        <v>0.25</v>
      </c>
      <c r="BJ25" s="16">
        <v>290150</v>
      </c>
      <c r="BK25" s="18">
        <v>385275</v>
      </c>
      <c r="BL25" s="7">
        <f t="shared" si="28"/>
        <v>0.24690156381805203</v>
      </c>
      <c r="BM25" s="1">
        <f t="shared" si="29"/>
        <v>0.10435662838232432</v>
      </c>
      <c r="BN25" s="2">
        <f t="shared" si="30"/>
        <v>2.6551211496831068E-2</v>
      </c>
      <c r="BO25" s="1">
        <f t="shared" si="31"/>
        <v>7.6600916256098939E-2</v>
      </c>
      <c r="BP25" s="8">
        <f t="shared" si="32"/>
        <v>0.24690156381805203</v>
      </c>
      <c r="BQ25" s="5">
        <f t="shared" si="33"/>
        <v>95125</v>
      </c>
      <c r="BS25" s="6">
        <f t="shared" si="34"/>
        <v>0.50290228868368625</v>
      </c>
      <c r="BT25" s="6">
        <f t="shared" si="35"/>
        <v>0.12795224640797795</v>
      </c>
      <c r="BU25" s="6">
        <f t="shared" si="36"/>
        <v>0.36914546490833583</v>
      </c>
      <c r="CE25" t="s">
        <v>55</v>
      </c>
      <c r="CF25" s="19">
        <v>1971</v>
      </c>
      <c r="CG25" s="12">
        <v>376364</v>
      </c>
      <c r="CH25" s="5">
        <v>33093</v>
      </c>
      <c r="CI25">
        <v>0</v>
      </c>
      <c r="CJ25" s="5">
        <v>7502</v>
      </c>
      <c r="CK25" s="5">
        <v>19850</v>
      </c>
      <c r="CL25">
        <v>0</v>
      </c>
      <c r="CM25" s="5">
        <v>25794</v>
      </c>
      <c r="CN25" s="14">
        <v>290125</v>
      </c>
      <c r="CO25" s="5">
        <f t="shared" si="45"/>
        <v>376364</v>
      </c>
      <c r="CP25" s="5"/>
      <c r="CQ25" s="41">
        <v>0.22900000000000001</v>
      </c>
      <c r="CR25">
        <f t="shared" si="46"/>
        <v>1971</v>
      </c>
      <c r="CS25" s="6">
        <f t="shared" si="38"/>
        <v>-2.3128933878398546E-2</v>
      </c>
      <c r="CT25" s="6">
        <f t="shared" si="47"/>
        <v>-8.6162329829398581E-5</v>
      </c>
    </row>
    <row r="26" spans="1:105" x14ac:dyDescent="0.35">
      <c r="A26" t="str">
        <f t="shared" si="39"/>
        <v>Grant</v>
      </c>
      <c r="B26">
        <f t="shared" si="6"/>
        <v>1972</v>
      </c>
      <c r="C26" s="36">
        <f t="shared" si="7"/>
        <v>423290</v>
      </c>
      <c r="D26" s="31">
        <f t="shared" si="8"/>
        <v>965520</v>
      </c>
      <c r="E26" s="26">
        <f t="shared" si="9"/>
        <v>0.8246092929692076</v>
      </c>
      <c r="F26" s="26" t="str">
        <f t="shared" si="10"/>
        <v>Grant</v>
      </c>
      <c r="G26" s="26">
        <v>7033.9929705273489</v>
      </c>
      <c r="H26" s="5">
        <f t="shared" si="40"/>
        <v>423290</v>
      </c>
      <c r="I26" s="5">
        <f t="shared" si="11"/>
        <v>820346.49999999988</v>
      </c>
      <c r="J26" s="26">
        <f t="shared" si="12"/>
        <v>0.66166928863972707</v>
      </c>
      <c r="K26" s="26">
        <f t="shared" si="0"/>
        <v>-0.20678344218358613</v>
      </c>
      <c r="L26">
        <v>1972</v>
      </c>
      <c r="M26" s="5">
        <v>423290</v>
      </c>
      <c r="N26" s="31">
        <v>965520</v>
      </c>
      <c r="P26" t="str">
        <f t="shared" si="41"/>
        <v>Grant</v>
      </c>
      <c r="Q26">
        <f t="shared" si="42"/>
        <v>1972</v>
      </c>
      <c r="R26" s="35">
        <f t="shared" si="43"/>
        <v>423290</v>
      </c>
      <c r="S26" s="39">
        <f t="shared" si="44"/>
        <v>1349820</v>
      </c>
      <c r="T26" s="57">
        <f t="shared" si="13"/>
        <v>0.6864100398571662</v>
      </c>
      <c r="U26" s="69">
        <f t="shared" si="14"/>
        <v>926530</v>
      </c>
      <c r="V26" s="5"/>
      <c r="W26" s="5">
        <f t="shared" si="37"/>
        <v>145859.69999999998</v>
      </c>
      <c r="X26" s="5">
        <f t="shared" si="15"/>
        <v>602233.19999999995</v>
      </c>
      <c r="Y26" s="5">
        <f t="shared" si="16"/>
        <v>72253.600000000006</v>
      </c>
      <c r="Z26" s="5">
        <f t="shared" si="17"/>
        <v>0</v>
      </c>
      <c r="AA26" s="12">
        <f t="shared" si="18"/>
        <v>820346.49999999988</v>
      </c>
      <c r="AB26" s="29"/>
      <c r="AC26" s="29"/>
      <c r="AD26" s="29"/>
      <c r="AE26" s="29"/>
      <c r="AF26" s="12">
        <f t="shared" si="19"/>
        <v>820346.49999999988</v>
      </c>
      <c r="AG26" s="12">
        <f t="shared" si="20"/>
        <v>1972</v>
      </c>
      <c r="AH26" s="56">
        <f t="shared" si="21"/>
        <v>0.17780255050762087</v>
      </c>
      <c r="AI26" s="56">
        <f t="shared" si="22"/>
        <v>0.73412052102373815</v>
      </c>
      <c r="AJ26" s="56">
        <f t="shared" si="23"/>
        <v>8.8076928468641014E-2</v>
      </c>
      <c r="AK26" s="56"/>
      <c r="AL26" s="56"/>
      <c r="AM26" s="68">
        <f t="shared" si="24"/>
        <v>1972</v>
      </c>
      <c r="AN26" s="60">
        <f t="shared" si="48"/>
        <v>2013681.0422069966</v>
      </c>
      <c r="AO26" s="56">
        <f t="shared" si="3"/>
        <v>0.5</v>
      </c>
      <c r="AP26">
        <f t="shared" si="26"/>
        <v>1006840.5211034983</v>
      </c>
      <c r="AQ26" s="59">
        <f t="shared" si="4"/>
        <v>1362363.74188806</v>
      </c>
      <c r="AR26" s="59">
        <f t="shared" si="27"/>
        <v>1006840.5211034983</v>
      </c>
      <c r="AS26" s="5"/>
      <c r="AZ26" t="s">
        <v>52</v>
      </c>
      <c r="BA26">
        <v>1972</v>
      </c>
      <c r="BB26" s="3">
        <v>444705</v>
      </c>
      <c r="BC26" s="4" t="s">
        <v>0</v>
      </c>
      <c r="BD26" s="3">
        <v>40334</v>
      </c>
      <c r="BE26" s="3">
        <v>252043</v>
      </c>
      <c r="BF26" s="4">
        <v>600</v>
      </c>
      <c r="BG26" s="3">
        <v>262836</v>
      </c>
      <c r="BH26" s="3">
        <v>1000517</v>
      </c>
      <c r="BI26" s="1">
        <v>0.7</v>
      </c>
      <c r="BJ26" s="16">
        <v>423290</v>
      </c>
      <c r="BK26" s="18">
        <v>1423807</v>
      </c>
      <c r="BL26" s="7">
        <f t="shared" si="28"/>
        <v>0.70270549309000452</v>
      </c>
      <c r="BM26" s="1">
        <f t="shared" si="29"/>
        <v>0.31233516902220598</v>
      </c>
      <c r="BN26" s="2">
        <f t="shared" si="30"/>
        <v>4.1194890828534718E-2</v>
      </c>
      <c r="BO26" s="1">
        <f t="shared" si="31"/>
        <v>0.28015877753238227</v>
      </c>
      <c r="BP26" s="8">
        <f t="shared" si="32"/>
        <v>0.70270549309000452</v>
      </c>
      <c r="BQ26" s="5">
        <f t="shared" si="33"/>
        <v>1000517.0000000001</v>
      </c>
      <c r="BS26" s="6">
        <f t="shared" si="34"/>
        <v>0.4928841263987277</v>
      </c>
      <c r="BT26" s="6">
        <f t="shared" si="35"/>
        <v>6.5008073992044502E-2</v>
      </c>
      <c r="BU26" s="6">
        <f t="shared" si="36"/>
        <v>0.4421077996092278</v>
      </c>
      <c r="CE26" t="s">
        <v>55</v>
      </c>
      <c r="CF26" s="19">
        <v>1972</v>
      </c>
      <c r="CG26" s="12">
        <v>1349820</v>
      </c>
      <c r="CH26" s="5">
        <v>358496</v>
      </c>
      <c r="CI26" s="5">
        <v>15952</v>
      </c>
      <c r="CJ26" s="5">
        <v>37276</v>
      </c>
      <c r="CK26" s="5">
        <v>252043</v>
      </c>
      <c r="CL26">
        <v>0</v>
      </c>
      <c r="CM26" s="5">
        <v>262763</v>
      </c>
      <c r="CN26" s="14">
        <v>423290</v>
      </c>
      <c r="CO26" s="5">
        <f t="shared" si="45"/>
        <v>1349820</v>
      </c>
      <c r="CP26" s="5"/>
      <c r="CQ26" s="41">
        <v>0.68600000000000005</v>
      </c>
      <c r="CR26">
        <f t="shared" si="46"/>
        <v>1972</v>
      </c>
      <c r="CS26" s="6">
        <f t="shared" si="38"/>
        <v>-5.1964205822839754E-2</v>
      </c>
      <c r="CT26" s="6">
        <f t="shared" si="47"/>
        <v>0</v>
      </c>
    </row>
    <row r="27" spans="1:105" x14ac:dyDescent="0.35">
      <c r="A27" t="str">
        <f t="shared" si="39"/>
        <v>Grant</v>
      </c>
      <c r="B27">
        <f t="shared" si="6"/>
        <v>1973</v>
      </c>
      <c r="C27" s="36">
        <f t="shared" si="7"/>
        <v>267105</v>
      </c>
      <c r="D27" s="31">
        <f t="shared" si="8"/>
        <v>826929</v>
      </c>
      <c r="E27" s="26">
        <f t="shared" si="9"/>
        <v>1.1300769993379298</v>
      </c>
      <c r="F27" s="26" t="str">
        <f t="shared" si="10"/>
        <v>Grant</v>
      </c>
      <c r="G27" s="26">
        <v>7142.0200902911065</v>
      </c>
      <c r="H27" s="5">
        <f t="shared" si="40"/>
        <v>267080</v>
      </c>
      <c r="I27" s="5">
        <f t="shared" si="11"/>
        <v>853160.5</v>
      </c>
      <c r="J27" s="26">
        <f t="shared" si="12"/>
        <v>1.1613994502395246</v>
      </c>
      <c r="K27" s="26">
        <f t="shared" si="0"/>
        <v>0.19677538922828619</v>
      </c>
      <c r="L27">
        <v>1973</v>
      </c>
      <c r="M27" s="5">
        <v>267105</v>
      </c>
      <c r="N27" s="31">
        <v>826929</v>
      </c>
      <c r="P27" t="str">
        <f t="shared" si="41"/>
        <v>Grant</v>
      </c>
      <c r="Q27">
        <f t="shared" si="42"/>
        <v>1973</v>
      </c>
      <c r="R27" s="35">
        <f t="shared" si="43"/>
        <v>267080</v>
      </c>
      <c r="S27" s="39">
        <f t="shared" si="44"/>
        <v>1506960</v>
      </c>
      <c r="T27" s="57">
        <f t="shared" si="13"/>
        <v>0.82276901842119232</v>
      </c>
      <c r="U27" s="69">
        <f t="shared" si="14"/>
        <v>1239880</v>
      </c>
      <c r="V27" s="5"/>
      <c r="W27" s="5">
        <f t="shared" si="37"/>
        <v>301116.59999999998</v>
      </c>
      <c r="X27" s="5">
        <f t="shared" si="15"/>
        <v>433521.6</v>
      </c>
      <c r="Y27" s="5">
        <f t="shared" si="16"/>
        <v>118522.3</v>
      </c>
      <c r="Z27" s="5">
        <f t="shared" si="17"/>
        <v>0</v>
      </c>
      <c r="AA27" s="12">
        <f t="shared" si="18"/>
        <v>853160.5</v>
      </c>
      <c r="AB27" s="29"/>
      <c r="AC27" s="29"/>
      <c r="AD27" s="29"/>
      <c r="AE27" s="29"/>
      <c r="AF27" s="12">
        <f t="shared" si="19"/>
        <v>853160.5</v>
      </c>
      <c r="AG27" s="12">
        <f t="shared" si="20"/>
        <v>1973</v>
      </c>
      <c r="AH27" s="56">
        <f t="shared" si="21"/>
        <v>0.35294250026812068</v>
      </c>
      <c r="AI27" s="56">
        <f t="shared" si="22"/>
        <v>0.50813604239764965</v>
      </c>
      <c r="AJ27" s="56">
        <f t="shared" si="23"/>
        <v>0.13892145733422961</v>
      </c>
      <c r="AK27" s="56"/>
      <c r="AL27" s="56"/>
      <c r="AM27" s="68">
        <f t="shared" si="24"/>
        <v>1973</v>
      </c>
      <c r="AN27" s="60">
        <f t="shared" si="48"/>
        <v>2568913.6653468842</v>
      </c>
      <c r="AO27" s="56">
        <f t="shared" si="3"/>
        <v>0.5</v>
      </c>
      <c r="AP27">
        <f t="shared" si="26"/>
        <v>1284456.8326734421</v>
      </c>
      <c r="AQ27" s="59">
        <f t="shared" si="4"/>
        <v>2193247.1040184707</v>
      </c>
      <c r="AR27" s="59">
        <f t="shared" si="27"/>
        <v>1284456.8326734421</v>
      </c>
      <c r="AS27" s="5"/>
      <c r="AZ27" t="s">
        <v>52</v>
      </c>
      <c r="BA27">
        <v>1973</v>
      </c>
      <c r="BB27" s="3">
        <v>590246</v>
      </c>
      <c r="BC27" s="4" t="s">
        <v>0</v>
      </c>
      <c r="BD27" s="3">
        <v>80727</v>
      </c>
      <c r="BE27" s="3">
        <v>200744</v>
      </c>
      <c r="BF27" s="4">
        <v>643</v>
      </c>
      <c r="BG27" s="3">
        <v>201278</v>
      </c>
      <c r="BH27" s="3">
        <v>1073638</v>
      </c>
      <c r="BI27" s="1">
        <v>0.8</v>
      </c>
      <c r="BJ27" s="16">
        <v>267105</v>
      </c>
      <c r="BK27" s="18">
        <v>1340743</v>
      </c>
      <c r="BL27" s="7">
        <f t="shared" si="28"/>
        <v>0.80077837437898236</v>
      </c>
      <c r="BM27" s="1">
        <f t="shared" si="29"/>
        <v>0.44023798744427528</v>
      </c>
      <c r="BN27" s="2">
        <f t="shared" si="30"/>
        <v>0.10756472044525162</v>
      </c>
      <c r="BO27" s="1">
        <f t="shared" si="31"/>
        <v>0.30080687223800562</v>
      </c>
      <c r="BP27" s="8">
        <f t="shared" si="32"/>
        <v>0.80077837437898236</v>
      </c>
      <c r="BQ27" s="5">
        <f t="shared" si="33"/>
        <v>1073637.9999999998</v>
      </c>
      <c r="BS27" s="6">
        <f t="shared" si="34"/>
        <v>0.51877565108104784</v>
      </c>
      <c r="BT27" s="6">
        <f t="shared" si="35"/>
        <v>0.12675407273753184</v>
      </c>
      <c r="BU27" s="6">
        <f t="shared" si="36"/>
        <v>0.35447027618142035</v>
      </c>
      <c r="CE27" t="s">
        <v>55</v>
      </c>
      <c r="CF27" s="19">
        <v>1973</v>
      </c>
      <c r="CG27" s="12">
        <v>1506960</v>
      </c>
      <c r="CH27" s="5">
        <v>742948</v>
      </c>
      <c r="CI27" s="5">
        <v>17553</v>
      </c>
      <c r="CJ27" s="5">
        <v>77828</v>
      </c>
      <c r="CK27" s="5">
        <v>200744</v>
      </c>
      <c r="CL27">
        <v>0</v>
      </c>
      <c r="CM27" s="5">
        <v>200807</v>
      </c>
      <c r="CN27" s="14">
        <v>267080</v>
      </c>
      <c r="CO27" s="5">
        <f t="shared" si="45"/>
        <v>1506960</v>
      </c>
      <c r="CP27" s="5"/>
      <c r="CQ27" s="41">
        <v>0.82299999999999995</v>
      </c>
      <c r="CR27">
        <f t="shared" si="46"/>
        <v>1973</v>
      </c>
      <c r="CS27" s="6">
        <f t="shared" si="38"/>
        <v>0.1239737966187405</v>
      </c>
      <c r="CT27" s="6">
        <f t="shared" si="47"/>
        <v>-9.3596151326257463E-5</v>
      </c>
    </row>
    <row r="28" spans="1:105" x14ac:dyDescent="0.35">
      <c r="A28" t="str">
        <f t="shared" si="39"/>
        <v>Grant</v>
      </c>
      <c r="B28">
        <f t="shared" si="6"/>
        <v>1974</v>
      </c>
      <c r="C28" s="36">
        <f t="shared" si="7"/>
        <v>350390</v>
      </c>
      <c r="D28" s="31">
        <f t="shared" si="8"/>
        <v>1107885</v>
      </c>
      <c r="E28" s="26">
        <f t="shared" si="9"/>
        <v>1.151161251464681</v>
      </c>
      <c r="F28" s="26" t="str">
        <f t="shared" si="10"/>
        <v>Grant</v>
      </c>
      <c r="G28" s="26">
        <v>7258.6339619245909</v>
      </c>
      <c r="H28" s="5">
        <f t="shared" si="40"/>
        <v>350315</v>
      </c>
      <c r="I28" s="5">
        <f t="shared" si="11"/>
        <v>958767.79999999981</v>
      </c>
      <c r="J28" s="26">
        <f t="shared" si="12"/>
        <v>1.006816168623766</v>
      </c>
      <c r="K28" s="26">
        <f t="shared" si="0"/>
        <v>9.3436078345463747E-2</v>
      </c>
      <c r="L28">
        <v>1974</v>
      </c>
      <c r="M28" s="5">
        <v>350390</v>
      </c>
      <c r="N28" s="31">
        <v>1107885</v>
      </c>
      <c r="P28" t="str">
        <f t="shared" si="41"/>
        <v>Grant</v>
      </c>
      <c r="Q28">
        <f t="shared" si="42"/>
        <v>1974</v>
      </c>
      <c r="R28" s="35">
        <f t="shared" si="43"/>
        <v>350315</v>
      </c>
      <c r="S28" s="39">
        <f t="shared" si="44"/>
        <v>717854</v>
      </c>
      <c r="T28" s="57">
        <f t="shared" si="13"/>
        <v>0.51199686844400116</v>
      </c>
      <c r="U28" s="69">
        <f t="shared" si="14"/>
        <v>367539</v>
      </c>
      <c r="V28" s="5"/>
      <c r="W28" s="5">
        <f t="shared" si="37"/>
        <v>216760.8</v>
      </c>
      <c r="X28" s="5">
        <f t="shared" si="15"/>
        <v>711133.79999999993</v>
      </c>
      <c r="Y28" s="5">
        <f t="shared" si="16"/>
        <v>30873.200000000001</v>
      </c>
      <c r="Z28" s="5">
        <f t="shared" si="17"/>
        <v>0</v>
      </c>
      <c r="AA28" s="12">
        <f t="shared" si="18"/>
        <v>958767.79999999981</v>
      </c>
      <c r="AB28" s="29"/>
      <c r="AC28" s="29"/>
      <c r="AD28" s="29"/>
      <c r="AE28" s="29"/>
      <c r="AF28" s="12">
        <f t="shared" si="19"/>
        <v>958767.79999999981</v>
      </c>
      <c r="AG28" s="12">
        <f t="shared" si="20"/>
        <v>1974</v>
      </c>
      <c r="AH28" s="56">
        <f t="shared" si="21"/>
        <v>0.22608268654829672</v>
      </c>
      <c r="AI28" s="56">
        <f t="shared" si="22"/>
        <v>0.7417163989028418</v>
      </c>
      <c r="AJ28" s="56">
        <f t="shared" si="23"/>
        <v>3.2200914548861578E-2</v>
      </c>
      <c r="AK28" s="56"/>
      <c r="AL28" s="56"/>
      <c r="AM28" s="68">
        <f t="shared" si="24"/>
        <v>1974</v>
      </c>
      <c r="AN28" s="60">
        <f t="shared" si="48"/>
        <v>1143734.0408573647</v>
      </c>
      <c r="AO28" s="56">
        <f t="shared" si="3"/>
        <v>0.5</v>
      </c>
      <c r="AP28">
        <f t="shared" si="26"/>
        <v>571867.02042868233</v>
      </c>
      <c r="AQ28" s="59">
        <f t="shared" si="4"/>
        <v>1365564.5841835313</v>
      </c>
      <c r="AR28" s="59">
        <f t="shared" si="27"/>
        <v>571867.02042868233</v>
      </c>
      <c r="AS28" s="5"/>
      <c r="AZ28" t="s">
        <v>52</v>
      </c>
      <c r="BA28">
        <v>1974</v>
      </c>
      <c r="BB28" s="3">
        <v>101667</v>
      </c>
      <c r="BC28" s="4" t="s">
        <v>0</v>
      </c>
      <c r="BD28" s="3">
        <v>28013</v>
      </c>
      <c r="BE28" s="3">
        <v>145411</v>
      </c>
      <c r="BF28" s="3">
        <v>1279</v>
      </c>
      <c r="BG28" s="3">
        <v>108257</v>
      </c>
      <c r="BH28" s="3">
        <v>384627</v>
      </c>
      <c r="BI28" s="1">
        <v>0.52</v>
      </c>
      <c r="BJ28" s="16">
        <v>350390</v>
      </c>
      <c r="BK28" s="18">
        <v>735017</v>
      </c>
      <c r="BL28" s="7">
        <f t="shared" si="28"/>
        <v>0.52328993751164943</v>
      </c>
      <c r="BM28" s="1">
        <f t="shared" si="29"/>
        <v>0.13831924975884913</v>
      </c>
      <c r="BN28" s="2">
        <f t="shared" si="30"/>
        <v>4.4229888687139812E-2</v>
      </c>
      <c r="BO28" s="1">
        <f t="shared" si="31"/>
        <v>0.17921623420267591</v>
      </c>
      <c r="BP28" s="8">
        <f t="shared" si="32"/>
        <v>0.52328993751164943</v>
      </c>
      <c r="BQ28" s="5">
        <f t="shared" si="33"/>
        <v>384627.00000000006</v>
      </c>
      <c r="BS28" s="6">
        <f t="shared" si="34"/>
        <v>0.38234518894427311</v>
      </c>
      <c r="BT28" s="6">
        <f t="shared" si="35"/>
        <v>0.12226125558483038</v>
      </c>
      <c r="BU28" s="6">
        <f t="shared" si="36"/>
        <v>0.49539355547089658</v>
      </c>
      <c r="CE28" t="s">
        <v>55</v>
      </c>
      <c r="CF28" s="19">
        <v>1974</v>
      </c>
      <c r="CG28" s="12">
        <v>717854</v>
      </c>
      <c r="CH28" s="5">
        <v>87421</v>
      </c>
      <c r="CI28" s="5">
        <v>1151</v>
      </c>
      <c r="CJ28" s="5">
        <v>25560</v>
      </c>
      <c r="CK28" s="5">
        <v>145411</v>
      </c>
      <c r="CL28">
        <v>0</v>
      </c>
      <c r="CM28" s="5">
        <v>107996</v>
      </c>
      <c r="CN28" s="14">
        <v>350315</v>
      </c>
      <c r="CO28" s="5">
        <f t="shared" si="45"/>
        <v>717854</v>
      </c>
      <c r="CP28" s="5"/>
      <c r="CQ28" s="41">
        <v>0.51200000000000001</v>
      </c>
      <c r="CR28">
        <f t="shared" si="46"/>
        <v>1974</v>
      </c>
      <c r="CS28" s="6">
        <f t="shared" si="38"/>
        <v>-2.3350480329026403E-2</v>
      </c>
      <c r="CT28" s="6">
        <f t="shared" si="47"/>
        <v>-2.1404720454350866E-4</v>
      </c>
    </row>
    <row r="29" spans="1:105" x14ac:dyDescent="0.35">
      <c r="A29" t="str">
        <f t="shared" si="39"/>
        <v>Grant</v>
      </c>
      <c r="B29">
        <f t="shared" si="6"/>
        <v>1975</v>
      </c>
      <c r="C29" s="36">
        <f t="shared" si="7"/>
        <v>191445</v>
      </c>
      <c r="D29" s="31">
        <f t="shared" si="8"/>
        <v>527760</v>
      </c>
      <c r="E29" s="26">
        <f t="shared" si="9"/>
        <v>1.0140410738118517</v>
      </c>
      <c r="F29" s="26" t="str">
        <f t="shared" si="10"/>
        <v>Grant</v>
      </c>
      <c r="G29" s="26">
        <v>7384.5171205896513</v>
      </c>
      <c r="H29" s="5">
        <f t="shared" si="40"/>
        <v>191420</v>
      </c>
      <c r="I29" s="5">
        <f t="shared" si="11"/>
        <v>631741.4</v>
      </c>
      <c r="J29" s="26">
        <f t="shared" si="12"/>
        <v>1.1940101664280678</v>
      </c>
      <c r="K29" s="26">
        <f t="shared" si="0"/>
        <v>0.18280571464787454</v>
      </c>
      <c r="L29">
        <v>1975</v>
      </c>
      <c r="M29" s="5">
        <v>191445</v>
      </c>
      <c r="N29" s="31">
        <v>527760</v>
      </c>
      <c r="P29" t="str">
        <f t="shared" si="41"/>
        <v>Grant</v>
      </c>
      <c r="Q29">
        <f t="shared" si="42"/>
        <v>1975</v>
      </c>
      <c r="R29" s="35">
        <f t="shared" si="43"/>
        <v>191420</v>
      </c>
      <c r="S29" s="39">
        <f t="shared" si="44"/>
        <v>486199</v>
      </c>
      <c r="T29" s="57">
        <f t="shared" si="13"/>
        <v>0.60629289653002161</v>
      </c>
      <c r="U29" s="69">
        <f t="shared" si="14"/>
        <v>294779</v>
      </c>
      <c r="V29" s="5"/>
      <c r="W29" s="5">
        <f t="shared" si="37"/>
        <v>355566.89999999997</v>
      </c>
      <c r="X29" s="5">
        <f t="shared" si="15"/>
        <v>185239.19999999998</v>
      </c>
      <c r="Y29" s="5">
        <f t="shared" si="16"/>
        <v>90935.3</v>
      </c>
      <c r="Z29" s="5">
        <f t="shared" si="17"/>
        <v>0</v>
      </c>
      <c r="AA29" s="12">
        <f t="shared" si="18"/>
        <v>631741.4</v>
      </c>
      <c r="AB29" s="29"/>
      <c r="AC29" s="29"/>
      <c r="AD29" s="29"/>
      <c r="AE29" s="29"/>
      <c r="AF29" s="12">
        <f t="shared" si="19"/>
        <v>631741.4</v>
      </c>
      <c r="AG29" s="12">
        <f t="shared" si="20"/>
        <v>1975</v>
      </c>
      <c r="AH29" s="56">
        <f t="shared" si="21"/>
        <v>0.56283615416054722</v>
      </c>
      <c r="AI29" s="56">
        <f t="shared" si="22"/>
        <v>0.29321997893441837</v>
      </c>
      <c r="AJ29" s="56">
        <f t="shared" si="23"/>
        <v>0.14394386690503425</v>
      </c>
      <c r="AK29" s="56"/>
      <c r="AL29" s="56"/>
      <c r="AM29" s="68">
        <f t="shared" si="24"/>
        <v>1975</v>
      </c>
      <c r="AN29" s="60">
        <f t="shared" si="48"/>
        <v>641145.97195014218</v>
      </c>
      <c r="AO29" s="56">
        <f t="shared" si="3"/>
        <v>0.5</v>
      </c>
      <c r="AP29">
        <f t="shared" si="26"/>
        <v>320572.98597507109</v>
      </c>
      <c r="AQ29" s="59">
        <f t="shared" si="4"/>
        <v>977117.17097683216</v>
      </c>
      <c r="AR29" s="59">
        <f t="shared" si="27"/>
        <v>320572.98597507109</v>
      </c>
      <c r="AS29" s="5"/>
      <c r="AZ29" t="s">
        <v>52</v>
      </c>
      <c r="BA29">
        <v>1975</v>
      </c>
      <c r="BB29" s="3">
        <v>144527</v>
      </c>
      <c r="BC29" s="4" t="s">
        <v>0</v>
      </c>
      <c r="BD29" s="3">
        <v>17876</v>
      </c>
      <c r="BE29" s="3">
        <v>69307</v>
      </c>
      <c r="BF29" s="4">
        <v>262</v>
      </c>
      <c r="BG29" s="3">
        <v>80560</v>
      </c>
      <c r="BH29" s="3">
        <v>312533</v>
      </c>
      <c r="BI29" s="1">
        <v>0.62</v>
      </c>
      <c r="BJ29" s="16">
        <v>191445</v>
      </c>
      <c r="BK29" s="18">
        <v>503978</v>
      </c>
      <c r="BL29" s="7">
        <f t="shared" si="28"/>
        <v>0.62013222799407908</v>
      </c>
      <c r="BM29" s="1">
        <f t="shared" si="29"/>
        <v>0.28677243847945744</v>
      </c>
      <c r="BN29" s="2">
        <f t="shared" si="30"/>
        <v>4.9731395934355445E-2</v>
      </c>
      <c r="BO29" s="1">
        <f t="shared" si="31"/>
        <v>0.2360296853621163</v>
      </c>
      <c r="BP29" s="8">
        <f t="shared" si="32"/>
        <v>0.62013222799407908</v>
      </c>
      <c r="BQ29" s="5">
        <f t="shared" si="33"/>
        <v>312532.99999999994</v>
      </c>
      <c r="BS29" s="6">
        <f t="shared" si="34"/>
        <v>0.50088322966957599</v>
      </c>
      <c r="BT29" s="6">
        <f t="shared" si="35"/>
        <v>8.6861981380266934E-2</v>
      </c>
      <c r="BU29" s="6">
        <f t="shared" si="36"/>
        <v>0.41225478895015716</v>
      </c>
      <c r="CE29" t="s">
        <v>55</v>
      </c>
      <c r="CF29" s="19">
        <v>1975</v>
      </c>
      <c r="CG29" s="12">
        <v>486199</v>
      </c>
      <c r="CH29" s="5">
        <v>124247</v>
      </c>
      <c r="CI29" s="5">
        <v>3950</v>
      </c>
      <c r="CJ29" s="5">
        <v>16433</v>
      </c>
      <c r="CK29" s="5">
        <v>69307</v>
      </c>
      <c r="CL29">
        <v>0</v>
      </c>
      <c r="CM29" s="5">
        <v>80842</v>
      </c>
      <c r="CN29" s="14">
        <v>191420</v>
      </c>
      <c r="CO29" s="5">
        <f t="shared" si="45"/>
        <v>486199</v>
      </c>
      <c r="CP29" s="5"/>
      <c r="CQ29" s="41">
        <v>0.60599999999999998</v>
      </c>
      <c r="CR29">
        <f t="shared" si="46"/>
        <v>1975</v>
      </c>
      <c r="CS29" s="6">
        <f t="shared" si="38"/>
        <v>-3.527733353440031E-2</v>
      </c>
      <c r="CT29" s="6">
        <f t="shared" si="47"/>
        <v>-1.3058580793439369E-4</v>
      </c>
    </row>
    <row r="30" spans="1:105" x14ac:dyDescent="0.35">
      <c r="A30" t="str">
        <f t="shared" si="39"/>
        <v>Grant</v>
      </c>
      <c r="B30">
        <f t="shared" si="6"/>
        <v>1976</v>
      </c>
      <c r="C30" s="36">
        <f t="shared" si="7"/>
        <v>340467</v>
      </c>
      <c r="D30" s="31">
        <f t="shared" si="8"/>
        <v>761292</v>
      </c>
      <c r="E30" s="26">
        <f t="shared" si="9"/>
        <v>0.80469878532263861</v>
      </c>
      <c r="F30" s="26" t="str">
        <f t="shared" si="10"/>
        <v>Grant</v>
      </c>
      <c r="G30" s="26">
        <v>7520.4063541218184</v>
      </c>
      <c r="H30" s="5">
        <f t="shared" si="40"/>
        <v>340517</v>
      </c>
      <c r="I30" s="5">
        <f t="shared" si="11"/>
        <v>688258.49999999988</v>
      </c>
      <c r="J30" s="26">
        <f t="shared" si="12"/>
        <v>0.70369944318807409</v>
      </c>
      <c r="K30" s="26">
        <f t="shared" si="0"/>
        <v>-0.21571282616443144</v>
      </c>
      <c r="L30">
        <v>1976</v>
      </c>
      <c r="M30" s="5">
        <v>340467</v>
      </c>
      <c r="N30" s="31">
        <v>761292</v>
      </c>
      <c r="P30" t="str">
        <f t="shared" si="41"/>
        <v>Grant</v>
      </c>
      <c r="Q30">
        <f t="shared" si="42"/>
        <v>1976</v>
      </c>
      <c r="R30" s="35">
        <f t="shared" si="43"/>
        <v>340517</v>
      </c>
      <c r="S30" s="39">
        <f t="shared" si="44"/>
        <v>1003722</v>
      </c>
      <c r="T30" s="57">
        <f t="shared" si="13"/>
        <v>0.66074570448789605</v>
      </c>
      <c r="U30" s="69">
        <f t="shared" si="14"/>
        <v>663205</v>
      </c>
      <c r="V30" s="5"/>
      <c r="W30" s="5">
        <f t="shared" si="37"/>
        <v>92619.599999999991</v>
      </c>
      <c r="X30" s="5">
        <f t="shared" si="15"/>
        <v>545611.79999999993</v>
      </c>
      <c r="Y30" s="5">
        <f t="shared" si="16"/>
        <v>50027.100000000006</v>
      </c>
      <c r="Z30" s="5">
        <f t="shared" si="17"/>
        <v>0</v>
      </c>
      <c r="AA30" s="12">
        <f t="shared" si="18"/>
        <v>688258.49999999988</v>
      </c>
      <c r="AB30" s="29"/>
      <c r="AC30" s="29"/>
      <c r="AD30" s="29"/>
      <c r="AE30" s="29"/>
      <c r="AF30" s="12">
        <f t="shared" si="19"/>
        <v>688258.49999999988</v>
      </c>
      <c r="AG30" s="12">
        <f t="shared" si="20"/>
        <v>1976</v>
      </c>
      <c r="AH30" s="56">
        <f t="shared" si="21"/>
        <v>0.13457094972310549</v>
      </c>
      <c r="AI30" s="56">
        <f t="shared" si="22"/>
        <v>0.79274255239855373</v>
      </c>
      <c r="AJ30" s="56">
        <f t="shared" si="23"/>
        <v>7.2686497878340792E-2</v>
      </c>
      <c r="AK30" s="56"/>
      <c r="AL30" s="56"/>
      <c r="AM30" s="68">
        <f t="shared" si="24"/>
        <v>1976</v>
      </c>
      <c r="AN30" s="60">
        <f t="shared" si="48"/>
        <v>1880664.7644932796</v>
      </c>
      <c r="AO30" s="56">
        <f t="shared" si="3"/>
        <v>0.5</v>
      </c>
      <c r="AP30">
        <f t="shared" si="26"/>
        <v>940332.38224663981</v>
      </c>
      <c r="AQ30" s="59">
        <f t="shared" si="4"/>
        <v>1313767.2367503841</v>
      </c>
      <c r="AR30" s="59">
        <f t="shared" si="27"/>
        <v>940332.38224663981</v>
      </c>
      <c r="AS30" s="5"/>
      <c r="AT30" s="9"/>
      <c r="AU30" s="9"/>
      <c r="AV30" s="9" t="s">
        <v>36</v>
      </c>
      <c r="AW30" s="9" t="s">
        <v>36</v>
      </c>
      <c r="AX30" s="9" t="s">
        <v>36</v>
      </c>
      <c r="AY30" s="9"/>
      <c r="AZ30" t="s">
        <v>52</v>
      </c>
      <c r="BA30">
        <v>1976</v>
      </c>
      <c r="BB30" s="3">
        <v>343629</v>
      </c>
      <c r="BC30" s="4" t="s">
        <v>0</v>
      </c>
      <c r="BD30" s="3">
        <v>49645</v>
      </c>
      <c r="BE30" s="3">
        <v>191507</v>
      </c>
      <c r="BF30" s="3">
        <v>1126</v>
      </c>
      <c r="BG30" s="3">
        <v>187661</v>
      </c>
      <c r="BH30" s="3">
        <v>773568</v>
      </c>
      <c r="BI30" s="1">
        <v>0.69</v>
      </c>
      <c r="BJ30" s="16">
        <v>340467</v>
      </c>
      <c r="BK30" s="18">
        <v>1114035</v>
      </c>
      <c r="BL30" s="7">
        <f t="shared" si="28"/>
        <v>0.69438392869164789</v>
      </c>
      <c r="BM30" s="1">
        <f t="shared" si="29"/>
        <v>0.30845440224050413</v>
      </c>
      <c r="BN30" s="2">
        <f t="shared" si="30"/>
        <v>6.4440048493911009E-2</v>
      </c>
      <c r="BO30" s="1">
        <f t="shared" si="31"/>
        <v>0.26077247493521022</v>
      </c>
      <c r="BP30" s="8">
        <f t="shared" si="32"/>
        <v>0.69438392869164789</v>
      </c>
      <c r="BQ30" s="5">
        <f t="shared" si="33"/>
        <v>773567.99999999988</v>
      </c>
      <c r="BS30" s="6">
        <f t="shared" si="34"/>
        <v>0.48677686927488917</v>
      </c>
      <c r="BT30" s="6">
        <f t="shared" si="35"/>
        <v>0.10169388030756728</v>
      </c>
      <c r="BU30" s="6">
        <f t="shared" si="36"/>
        <v>0.41152925041754357</v>
      </c>
      <c r="CE30" t="s">
        <v>55</v>
      </c>
      <c r="CF30" s="19">
        <v>1976</v>
      </c>
      <c r="CG30" s="12">
        <v>1003722</v>
      </c>
      <c r="CH30" s="5">
        <v>237524</v>
      </c>
      <c r="CI30" s="5">
        <v>4559</v>
      </c>
      <c r="CJ30" s="5">
        <v>43244</v>
      </c>
      <c r="CK30" s="5">
        <v>191507</v>
      </c>
      <c r="CL30">
        <v>0</v>
      </c>
      <c r="CM30" s="5">
        <v>186371</v>
      </c>
      <c r="CN30" s="14">
        <v>340517</v>
      </c>
      <c r="CO30" s="5">
        <f t="shared" si="45"/>
        <v>1003722</v>
      </c>
      <c r="CP30" s="5"/>
      <c r="CQ30" s="41">
        <v>0.66100000000000003</v>
      </c>
      <c r="CR30">
        <f t="shared" si="46"/>
        <v>1976</v>
      </c>
      <c r="CS30" s="6">
        <f t="shared" si="38"/>
        <v>-9.9021125907175267E-2</v>
      </c>
      <c r="CT30" s="6">
        <f t="shared" si="47"/>
        <v>1.4685711096817019E-4</v>
      </c>
    </row>
    <row r="31" spans="1:105" ht="50.4" customHeight="1" x14ac:dyDescent="0.35">
      <c r="A31" t="str">
        <f t="shared" si="39"/>
        <v>Grant</v>
      </c>
      <c r="B31">
        <f t="shared" si="6"/>
        <v>1977</v>
      </c>
      <c r="C31" s="36">
        <f t="shared" si="7"/>
        <v>599371</v>
      </c>
      <c r="D31" s="31">
        <f t="shared" si="8"/>
        <v>583647</v>
      </c>
      <c r="E31" s="26">
        <f t="shared" si="9"/>
        <v>-2.658442397844028E-2</v>
      </c>
      <c r="F31" s="26" t="str">
        <f t="shared" si="10"/>
        <v>Grant</v>
      </c>
      <c r="G31" s="26">
        <v>7667.0970154126744</v>
      </c>
      <c r="H31" s="5">
        <f t="shared" si="40"/>
        <v>599341</v>
      </c>
      <c r="I31" s="5">
        <f t="shared" si="11"/>
        <v>645369.59999999998</v>
      </c>
      <c r="J31" s="26">
        <f t="shared" si="12"/>
        <v>7.3992457663711819E-2</v>
      </c>
      <c r="K31" s="26">
        <f t="shared" si="0"/>
        <v>-0.68607374956370837</v>
      </c>
      <c r="L31">
        <v>1977</v>
      </c>
      <c r="M31" s="5">
        <v>599371</v>
      </c>
      <c r="N31" s="31">
        <v>583647</v>
      </c>
      <c r="P31" t="str">
        <f t="shared" si="41"/>
        <v>Grant</v>
      </c>
      <c r="Q31">
        <f t="shared" si="42"/>
        <v>1977</v>
      </c>
      <c r="R31" s="35">
        <f t="shared" si="43"/>
        <v>599341</v>
      </c>
      <c r="S31" s="39">
        <f t="shared" si="44"/>
        <v>722536</v>
      </c>
      <c r="T31" s="57">
        <f t="shared" si="13"/>
        <v>0.17050361504478673</v>
      </c>
      <c r="U31" s="69">
        <f t="shared" si="14"/>
        <v>123195</v>
      </c>
      <c r="V31" s="5"/>
      <c r="W31" s="5">
        <f>$S34*W$2</f>
        <v>272805.89999999997</v>
      </c>
      <c r="X31" s="5">
        <f>$S35*X$2</f>
        <v>300162.59999999998</v>
      </c>
      <c r="Y31" s="5">
        <f>$S36*Y$2</f>
        <v>72401.100000000006</v>
      </c>
      <c r="Z31" s="5">
        <f>$S37*Z$2</f>
        <v>0</v>
      </c>
      <c r="AA31" s="12">
        <f t="shared" si="18"/>
        <v>645369.59999999998</v>
      </c>
      <c r="AB31" s="29"/>
      <c r="AC31" s="29"/>
      <c r="AD31" s="29"/>
      <c r="AE31" s="29"/>
      <c r="AF31" s="12">
        <f t="shared" si="19"/>
        <v>645369.59999999998</v>
      </c>
      <c r="AG31" s="12">
        <f t="shared" si="20"/>
        <v>1977</v>
      </c>
      <c r="AH31" s="56">
        <f t="shared" si="21"/>
        <v>0.42271265953648884</v>
      </c>
      <c r="AI31" s="56">
        <f t="shared" si="22"/>
        <v>0.46510185791211733</v>
      </c>
      <c r="AJ31" s="56">
        <f t="shared" si="23"/>
        <v>0.11218548255139382</v>
      </c>
      <c r="AK31" s="56"/>
      <c r="AL31" s="56"/>
      <c r="AM31" s="68">
        <f t="shared" si="24"/>
        <v>1977</v>
      </c>
      <c r="AN31" s="60">
        <f t="shared" si="48"/>
        <v>1543191.2271260172</v>
      </c>
      <c r="AO31" s="56">
        <f t="shared" si="3"/>
        <v>0.5</v>
      </c>
      <c r="AP31">
        <f t="shared" si="26"/>
        <v>771595.61356300861</v>
      </c>
      <c r="AQ31" s="59">
        <f t="shared" si="4"/>
        <v>747252.98154391372</v>
      </c>
      <c r="AR31" s="59">
        <f t="shared" si="27"/>
        <v>771595.61356300861</v>
      </c>
      <c r="AS31" t="s">
        <v>51</v>
      </c>
      <c r="AT31" s="9"/>
      <c r="AU31" s="15" t="s">
        <v>34</v>
      </c>
      <c r="AV31" s="9" t="s">
        <v>34</v>
      </c>
      <c r="AW31" s="9" t="s">
        <v>35</v>
      </c>
      <c r="AX31" s="9" t="s">
        <v>49</v>
      </c>
      <c r="AY31" s="9" t="s">
        <v>50</v>
      </c>
      <c r="AZ31" t="s">
        <v>52</v>
      </c>
      <c r="BA31">
        <v>1977</v>
      </c>
      <c r="BB31" s="3">
        <v>42066</v>
      </c>
      <c r="BC31" s="4" t="s">
        <v>0</v>
      </c>
      <c r="BD31" s="3">
        <v>8228</v>
      </c>
      <c r="BE31" s="3">
        <v>38846</v>
      </c>
      <c r="BF31" s="4">
        <v>626</v>
      </c>
      <c r="BG31" s="3">
        <v>23728</v>
      </c>
      <c r="BH31" s="3">
        <v>113494</v>
      </c>
      <c r="BI31" s="1">
        <v>0.16</v>
      </c>
      <c r="BJ31" s="16">
        <v>599371</v>
      </c>
      <c r="BK31" s="18">
        <v>712865</v>
      </c>
      <c r="BL31" s="7">
        <f t="shared" si="28"/>
        <v>0.1592082652395615</v>
      </c>
      <c r="BM31" s="1">
        <f t="shared" si="29"/>
        <v>5.900977043339202E-2</v>
      </c>
      <c r="BN31" s="2">
        <f t="shared" si="30"/>
        <v>1.226596938874387E-2</v>
      </c>
      <c r="BO31" s="1">
        <f t="shared" si="31"/>
        <v>3.5845878434008868E-2</v>
      </c>
      <c r="BP31" s="8">
        <f t="shared" si="32"/>
        <v>0.1592082652395615</v>
      </c>
      <c r="BQ31" s="5">
        <f t="shared" si="33"/>
        <v>113494</v>
      </c>
      <c r="BS31" s="6">
        <f t="shared" si="34"/>
        <v>0.55086705553952997</v>
      </c>
      <c r="BT31" s="6">
        <f t="shared" si="35"/>
        <v>0.11450507925873557</v>
      </c>
      <c r="BU31" s="6">
        <f t="shared" si="36"/>
        <v>0.33462786520173449</v>
      </c>
      <c r="CE31" t="s">
        <v>55</v>
      </c>
      <c r="CF31" s="19">
        <v>1977</v>
      </c>
      <c r="CG31" s="12">
        <v>722536</v>
      </c>
      <c r="CH31" s="5">
        <v>54997</v>
      </c>
      <c r="CI31">
        <v>0</v>
      </c>
      <c r="CJ31" s="5">
        <v>6358</v>
      </c>
      <c r="CK31" s="5">
        <v>36660</v>
      </c>
      <c r="CL31">
        <v>0</v>
      </c>
      <c r="CM31" s="5">
        <v>25180</v>
      </c>
      <c r="CN31" s="14">
        <v>599341</v>
      </c>
      <c r="CO31" s="5">
        <f t="shared" si="45"/>
        <v>722536</v>
      </c>
      <c r="CP31" s="5"/>
      <c r="CQ31" s="41">
        <v>0.17100000000000001</v>
      </c>
      <c r="CR31">
        <f t="shared" si="46"/>
        <v>1977</v>
      </c>
      <c r="CS31" s="6">
        <f t="shared" si="38"/>
        <v>1.3566383536854805E-2</v>
      </c>
      <c r="CT31" s="6">
        <f t="shared" si="47"/>
        <v>-5.0052471674472071E-5</v>
      </c>
    </row>
    <row r="32" spans="1:105" ht="29" x14ac:dyDescent="0.35">
      <c r="A32" t="str">
        <f t="shared" si="39"/>
        <v>Grant</v>
      </c>
      <c r="B32">
        <f t="shared" si="6"/>
        <v>1978</v>
      </c>
      <c r="C32" s="36">
        <f t="shared" si="7"/>
        <v>359065</v>
      </c>
      <c r="D32" s="31">
        <f t="shared" si="8"/>
        <v>635560</v>
      </c>
      <c r="E32" s="26">
        <f t="shared" si="9"/>
        <v>0.57100306942517687</v>
      </c>
      <c r="F32" s="26" t="str">
        <f t="shared" si="10"/>
        <v>Grant</v>
      </c>
      <c r="G32" s="26">
        <v>7825.4476775705843</v>
      </c>
      <c r="H32" s="5">
        <f t="shared" si="40"/>
        <v>358990</v>
      </c>
      <c r="I32" s="5">
        <f t="shared" si="11"/>
        <v>631497.99999999988</v>
      </c>
      <c r="J32" s="26">
        <f t="shared" si="12"/>
        <v>0.56480024177586741</v>
      </c>
      <c r="K32" s="26">
        <f t="shared" si="0"/>
        <v>-0.3432390490057301</v>
      </c>
      <c r="L32">
        <v>1978</v>
      </c>
      <c r="M32" s="5">
        <v>359065</v>
      </c>
      <c r="N32" s="31">
        <v>635560</v>
      </c>
      <c r="P32" t="str">
        <f t="shared" si="41"/>
        <v>Grant</v>
      </c>
      <c r="Q32">
        <f t="shared" si="42"/>
        <v>1978</v>
      </c>
      <c r="R32" s="35">
        <f>CN32</f>
        <v>358990</v>
      </c>
      <c r="S32" s="39">
        <f>CG32</f>
        <v>1185223</v>
      </c>
      <c r="T32" s="57">
        <f t="shared" si="13"/>
        <v>0.69711185152498722</v>
      </c>
      <c r="U32" s="69">
        <f t="shared" si="14"/>
        <v>826233</v>
      </c>
      <c r="V32" s="5"/>
      <c r="W32" s="5">
        <f t="shared" si="37"/>
        <v>150081.29999999999</v>
      </c>
      <c r="X32" s="5">
        <f t="shared" si="15"/>
        <v>434406.6</v>
      </c>
      <c r="Y32" s="5">
        <f t="shared" si="16"/>
        <v>47010.100000000006</v>
      </c>
      <c r="Z32" s="5">
        <f t="shared" si="17"/>
        <v>0</v>
      </c>
      <c r="AA32" s="12">
        <f>SUM(W32:Z32)</f>
        <v>631497.99999999988</v>
      </c>
      <c r="AB32" s="29"/>
      <c r="AC32" s="29"/>
      <c r="AD32" s="29"/>
      <c r="AE32" s="29"/>
      <c r="AF32" s="12">
        <f t="shared" si="19"/>
        <v>631497.99999999988</v>
      </c>
      <c r="AG32" s="12">
        <f t="shared" si="20"/>
        <v>1978</v>
      </c>
      <c r="AH32" s="56">
        <f t="shared" si="21"/>
        <v>0.23765918498554234</v>
      </c>
      <c r="AI32" s="56">
        <f t="shared" si="22"/>
        <v>0.68789861567257549</v>
      </c>
      <c r="AJ32" s="56">
        <f t="shared" si="23"/>
        <v>7.4442199341882342E-2</v>
      </c>
      <c r="AK32" s="56"/>
      <c r="AL32" s="56"/>
      <c r="AM32" s="68">
        <f t="shared" si="24"/>
        <v>1978</v>
      </c>
      <c r="AN32" s="60">
        <f t="shared" si="48"/>
        <v>1867507.6005110242</v>
      </c>
      <c r="AO32" s="56">
        <f t="shared" si="3"/>
        <v>0.5</v>
      </c>
      <c r="AP32">
        <f t="shared" si="26"/>
        <v>933753.80025551212</v>
      </c>
      <c r="AQ32" s="59">
        <f t="shared" si="4"/>
        <v>1153040.154845272</v>
      </c>
      <c r="AR32" s="59">
        <f t="shared" si="27"/>
        <v>933753.80025551212</v>
      </c>
      <c r="AT32" s="9" t="s">
        <v>29</v>
      </c>
      <c r="AU32" s="15" t="s">
        <v>30</v>
      </c>
      <c r="AV32" s="9" t="s">
        <v>33</v>
      </c>
      <c r="AW32" s="9" t="s">
        <v>23</v>
      </c>
      <c r="AX32" s="9"/>
      <c r="AY32" s="9"/>
      <c r="AZ32" t="s">
        <v>52</v>
      </c>
      <c r="BA32">
        <v>1978</v>
      </c>
      <c r="BB32" s="3">
        <v>485439</v>
      </c>
      <c r="BC32" s="4" t="s">
        <v>0</v>
      </c>
      <c r="BD32" s="3">
        <v>12318</v>
      </c>
      <c r="BE32" s="3">
        <v>295733</v>
      </c>
      <c r="BF32" s="4">
        <v>277</v>
      </c>
      <c r="BG32" s="3">
        <v>134260</v>
      </c>
      <c r="BH32" s="3">
        <v>928027</v>
      </c>
      <c r="BI32" s="1">
        <v>0.72</v>
      </c>
      <c r="BJ32" s="16">
        <v>359065</v>
      </c>
      <c r="BK32" s="18">
        <v>1287092</v>
      </c>
      <c r="BL32" s="7">
        <f t="shared" si="28"/>
        <v>0.72102615819226601</v>
      </c>
      <c r="BM32" s="1">
        <f t="shared" si="29"/>
        <v>0.37715951928844249</v>
      </c>
      <c r="BN32" s="2">
        <f t="shared" si="30"/>
        <v>1.5365750517992199E-2</v>
      </c>
      <c r="BO32" s="1">
        <f t="shared" si="31"/>
        <v>0.17015225750198337</v>
      </c>
      <c r="BP32" s="8">
        <f t="shared" si="32"/>
        <v>0.72102615819226601</v>
      </c>
      <c r="BQ32" s="5">
        <f t="shared" si="33"/>
        <v>928027.00000000012</v>
      </c>
      <c r="BS32" s="6">
        <f t="shared" si="34"/>
        <v>0.67029426444769236</v>
      </c>
      <c r="BT32" s="6">
        <f t="shared" si="35"/>
        <v>2.7308271207301713E-2</v>
      </c>
      <c r="BU32" s="6">
        <f t="shared" si="36"/>
        <v>0.30239746434500575</v>
      </c>
      <c r="CE32" t="s">
        <v>55</v>
      </c>
      <c r="CF32" s="19">
        <v>1978</v>
      </c>
      <c r="CG32" s="12">
        <v>1185223</v>
      </c>
      <c r="CH32" s="5">
        <v>405890</v>
      </c>
      <c r="CI32">
        <v>729</v>
      </c>
      <c r="CJ32" s="5">
        <v>11113</v>
      </c>
      <c r="CK32" s="5">
        <v>273516</v>
      </c>
      <c r="CL32">
        <v>0</v>
      </c>
      <c r="CM32" s="5">
        <v>134985</v>
      </c>
      <c r="CN32" s="14">
        <v>358990</v>
      </c>
      <c r="CO32" s="5">
        <f t="shared" si="45"/>
        <v>1185223</v>
      </c>
      <c r="CP32" s="5"/>
      <c r="CQ32" s="41">
        <v>0.69699999999999995</v>
      </c>
      <c r="CR32">
        <f t="shared" si="46"/>
        <v>1978</v>
      </c>
      <c r="CS32" s="6">
        <f t="shared" si="38"/>
        <v>-7.9146634428618939E-2</v>
      </c>
      <c r="CT32" s="6">
        <f t="shared" si="47"/>
        <v>-2.0887583028142537E-4</v>
      </c>
      <c r="CW32" s="25" t="s">
        <v>29</v>
      </c>
      <c r="CX32" s="25" t="s">
        <v>30</v>
      </c>
      <c r="CY32" s="25" t="s">
        <v>57</v>
      </c>
      <c r="CZ32" t="s">
        <v>63</v>
      </c>
      <c r="DA32" t="s">
        <v>64</v>
      </c>
    </row>
    <row r="33" spans="1:115" x14ac:dyDescent="0.35">
      <c r="A33" t="str">
        <f t="shared" si="39"/>
        <v>Grant</v>
      </c>
      <c r="B33">
        <f t="shared" si="6"/>
        <v>1979</v>
      </c>
      <c r="C33" s="36">
        <f t="shared" si="7"/>
        <v>255634</v>
      </c>
      <c r="D33" s="31">
        <f t="shared" si="8"/>
        <v>510199</v>
      </c>
      <c r="E33" s="26">
        <f t="shared" si="9"/>
        <v>0.69105411168886388</v>
      </c>
      <c r="F33" s="26" t="str">
        <f t="shared" si="10"/>
        <v>Grant</v>
      </c>
      <c r="G33" s="26">
        <v>7996.3851591061639</v>
      </c>
      <c r="H33" s="5">
        <f t="shared" si="40"/>
        <v>255634</v>
      </c>
      <c r="I33" s="5">
        <f t="shared" si="11"/>
        <v>560544.19999999995</v>
      </c>
      <c r="J33" s="26">
        <f t="shared" si="12"/>
        <v>0.78516136356418187</v>
      </c>
      <c r="K33" s="26">
        <f t="shared" si="0"/>
        <v>-0.18650947451210365</v>
      </c>
      <c r="L33">
        <v>1979</v>
      </c>
      <c r="M33" s="5">
        <v>255634</v>
      </c>
      <c r="N33" s="31">
        <v>510199</v>
      </c>
      <c r="P33" t="str">
        <f t="shared" si="41"/>
        <v>Grant</v>
      </c>
      <c r="Q33">
        <f t="shared" si="42"/>
        <v>1979</v>
      </c>
      <c r="R33" s="35">
        <f t="shared" si="43"/>
        <v>255634</v>
      </c>
      <c r="S33" s="39">
        <f t="shared" si="44"/>
        <v>308732</v>
      </c>
      <c r="T33" s="57">
        <f t="shared" si="13"/>
        <v>0.17198735472837279</v>
      </c>
      <c r="U33" s="69">
        <f t="shared" si="14"/>
        <v>53098</v>
      </c>
      <c r="V33" s="5"/>
      <c r="W33" s="5">
        <f t="shared" si="37"/>
        <v>217203.3</v>
      </c>
      <c r="X33" s="5">
        <f t="shared" si="15"/>
        <v>282060.59999999998</v>
      </c>
      <c r="Y33" s="5">
        <f t="shared" si="16"/>
        <v>61280.3</v>
      </c>
      <c r="Z33" s="5">
        <f t="shared" si="17"/>
        <v>0</v>
      </c>
      <c r="AA33" s="12">
        <f t="shared" si="18"/>
        <v>560544.19999999995</v>
      </c>
      <c r="AB33" s="29"/>
      <c r="AC33" s="29"/>
      <c r="AD33" s="29"/>
      <c r="AE33" s="29"/>
      <c r="AF33" s="12">
        <f t="shared" si="19"/>
        <v>560544.19999999995</v>
      </c>
      <c r="AG33" s="12">
        <f t="shared" si="20"/>
        <v>1979</v>
      </c>
      <c r="AH33" s="56">
        <f t="shared" si="21"/>
        <v>0.38748648188670937</v>
      </c>
      <c r="AI33" s="56">
        <f t="shared" si="22"/>
        <v>0.50319064937252045</v>
      </c>
      <c r="AJ33" s="56">
        <f t="shared" si="23"/>
        <v>0.10932286874077014</v>
      </c>
      <c r="AK33" s="56"/>
      <c r="AL33" s="56"/>
      <c r="AM33" s="68">
        <f t="shared" si="24"/>
        <v>1979</v>
      </c>
      <c r="AN33" s="60">
        <f t="shared" si="48"/>
        <v>507277.6095411299</v>
      </c>
      <c r="AO33" s="56">
        <f t="shared" si="3"/>
        <v>0.5</v>
      </c>
      <c r="AP33">
        <f t="shared" si="26"/>
        <v>253638.80477056495</v>
      </c>
      <c r="AQ33" s="59">
        <f t="shared" si="4"/>
        <v>556852.80452849716</v>
      </c>
      <c r="AR33" s="59">
        <f t="shared" si="27"/>
        <v>253638.80477056495</v>
      </c>
      <c r="AS33" t="s">
        <v>52</v>
      </c>
      <c r="AT33">
        <v>1979</v>
      </c>
      <c r="AU33" s="14">
        <v>255634</v>
      </c>
      <c r="AV33" s="5">
        <f>BH33</f>
        <v>42262</v>
      </c>
      <c r="AW33" s="6">
        <f>AV33/(AU33+AV33)</f>
        <v>0.1418683030319306</v>
      </c>
      <c r="AX33" s="12">
        <f>AU33+AV33</f>
        <v>297896</v>
      </c>
      <c r="AY33" s="6">
        <f>(AX33-CG33)/CG33</f>
        <v>-3.5098402497959397E-2</v>
      </c>
      <c r="AZ33" t="s">
        <v>52</v>
      </c>
      <c r="BA33">
        <v>1979</v>
      </c>
      <c r="BB33" s="3">
        <v>20326</v>
      </c>
      <c r="BC33" s="4" t="s">
        <v>0</v>
      </c>
      <c r="BD33" s="3">
        <v>2105</v>
      </c>
      <c r="BE33" s="3">
        <v>3455</v>
      </c>
      <c r="BF33" s="4">
        <v>403</v>
      </c>
      <c r="BG33" s="3">
        <v>15973</v>
      </c>
      <c r="BH33" s="3">
        <v>42262</v>
      </c>
      <c r="BI33" s="1">
        <v>0.14000000000000001</v>
      </c>
      <c r="BJ33" s="16">
        <v>255634</v>
      </c>
      <c r="BK33" s="18">
        <v>297896</v>
      </c>
      <c r="BL33" s="7">
        <f t="shared" si="28"/>
        <v>0.1418683030319306</v>
      </c>
      <c r="BM33" s="1">
        <f t="shared" si="29"/>
        <v>6.8231866154631143E-2</v>
      </c>
      <c r="BN33" s="2">
        <f t="shared" si="30"/>
        <v>7.5836725870951473E-3</v>
      </c>
      <c r="BO33" s="1">
        <f t="shared" si="31"/>
        <v>5.8070544095513009E-2</v>
      </c>
      <c r="BP33" s="8">
        <f t="shared" si="32"/>
        <v>0.1418683030319306</v>
      </c>
      <c r="BQ33" s="5">
        <f t="shared" si="33"/>
        <v>42261.999999999993</v>
      </c>
      <c r="BR33" t="s">
        <v>65</v>
      </c>
      <c r="BS33" s="6">
        <f t="shared" si="34"/>
        <v>0.50962627861462106</v>
      </c>
      <c r="BT33" s="6">
        <f t="shared" si="35"/>
        <v>5.6642725116652769E-2</v>
      </c>
      <c r="BU33" s="6">
        <f t="shared" si="36"/>
        <v>0.43373099626872624</v>
      </c>
      <c r="BW33" t="s">
        <v>1</v>
      </c>
      <c r="BX33" t="s">
        <v>25</v>
      </c>
      <c r="BY33" t="s">
        <v>3</v>
      </c>
      <c r="BZ33" t="s">
        <v>27</v>
      </c>
      <c r="CA33" t="s">
        <v>26</v>
      </c>
      <c r="CC33" t="s">
        <v>28</v>
      </c>
      <c r="CE33" t="s">
        <v>55</v>
      </c>
      <c r="CF33" s="19">
        <v>1979</v>
      </c>
      <c r="CG33" s="12">
        <v>308732</v>
      </c>
      <c r="CH33" s="5">
        <v>31093</v>
      </c>
      <c r="CI33">
        <v>0</v>
      </c>
      <c r="CJ33" s="5">
        <v>1381</v>
      </c>
      <c r="CK33" s="5">
        <v>3321</v>
      </c>
      <c r="CL33">
        <v>0</v>
      </c>
      <c r="CM33" s="5">
        <v>17304</v>
      </c>
      <c r="CN33" s="14">
        <v>255634</v>
      </c>
      <c r="CO33" s="5">
        <f t="shared" si="45"/>
        <v>308733</v>
      </c>
      <c r="CP33" s="5"/>
      <c r="CQ33" s="41">
        <v>0.17199999999999999</v>
      </c>
      <c r="CR33">
        <f t="shared" si="46"/>
        <v>1979</v>
      </c>
      <c r="CS33" s="6">
        <f t="shared" si="38"/>
        <v>3.6375110776915437E-2</v>
      </c>
      <c r="CT33" s="6">
        <f t="shared" si="47"/>
        <v>0</v>
      </c>
      <c r="CW33">
        <v>1979</v>
      </c>
      <c r="CX33" s="5">
        <v>255634</v>
      </c>
      <c r="CY33" s="5">
        <v>510199</v>
      </c>
      <c r="CZ33" s="6">
        <f>(CX33-R33)/R33</f>
        <v>0</v>
      </c>
      <c r="DA33" s="6">
        <f>(CY33-AF33)/AF33</f>
        <v>-8.9814862057264994E-2</v>
      </c>
    </row>
    <row r="34" spans="1:115" x14ac:dyDescent="0.35">
      <c r="A34" t="str">
        <f t="shared" si="39"/>
        <v>Grant</v>
      </c>
      <c r="B34">
        <f t="shared" si="6"/>
        <v>1980</v>
      </c>
      <c r="C34" s="36">
        <f t="shared" si="7"/>
        <v>312182</v>
      </c>
      <c r="D34" s="31">
        <f t="shared" si="8"/>
        <v>655505</v>
      </c>
      <c r="E34" s="26">
        <f t="shared" si="9"/>
        <v>0.74181957986966518</v>
      </c>
      <c r="F34" s="26" t="str">
        <f t="shared" si="10"/>
        <v>Grant</v>
      </c>
      <c r="G34" s="26">
        <v>8180.9099485547176</v>
      </c>
      <c r="H34" s="5">
        <f t="shared" si="40"/>
        <v>314011</v>
      </c>
      <c r="I34" s="5">
        <f t="shared" si="11"/>
        <v>692616.5</v>
      </c>
      <c r="J34" s="26">
        <f t="shared" si="12"/>
        <v>0.79104843781738288</v>
      </c>
      <c r="K34" s="26">
        <f t="shared" si="0"/>
        <v>-0.14468235965727327</v>
      </c>
      <c r="L34">
        <v>1980</v>
      </c>
      <c r="M34" s="5">
        <v>312182</v>
      </c>
      <c r="N34" s="31">
        <v>655505</v>
      </c>
      <c r="P34" t="str">
        <f t="shared" si="41"/>
        <v>Grant</v>
      </c>
      <c r="Q34">
        <f t="shared" si="42"/>
        <v>1980</v>
      </c>
      <c r="R34" s="35">
        <f t="shared" si="43"/>
        <v>314011</v>
      </c>
      <c r="S34" s="39">
        <f t="shared" si="44"/>
        <v>909353</v>
      </c>
      <c r="T34" s="57">
        <f t="shared" si="13"/>
        <v>0.65468745360712499</v>
      </c>
      <c r="U34" s="69">
        <f t="shared" si="14"/>
        <v>595342</v>
      </c>
      <c r="V34" s="5"/>
      <c r="W34" s="5">
        <f t="shared" si="37"/>
        <v>141030.29999999999</v>
      </c>
      <c r="X34" s="5">
        <f t="shared" si="15"/>
        <v>367681.8</v>
      </c>
      <c r="Y34" s="5">
        <f t="shared" si="16"/>
        <v>183904.40000000002</v>
      </c>
      <c r="Z34" s="5">
        <f t="shared" si="17"/>
        <v>0</v>
      </c>
      <c r="AA34" s="12">
        <f t="shared" si="18"/>
        <v>692616.5</v>
      </c>
      <c r="AB34" s="29"/>
      <c r="AC34" s="29"/>
      <c r="AD34" s="29"/>
      <c r="AE34" s="29"/>
      <c r="AF34" s="12">
        <f t="shared" si="19"/>
        <v>692616.5</v>
      </c>
      <c r="AG34" s="12">
        <f t="shared" si="20"/>
        <v>1980</v>
      </c>
      <c r="AH34" s="56">
        <f t="shared" si="21"/>
        <v>0.20361960767610934</v>
      </c>
      <c r="AI34" s="56">
        <f t="shared" si="22"/>
        <v>0.53085914066442252</v>
      </c>
      <c r="AJ34" s="56">
        <f t="shared" si="23"/>
        <v>0.26552125165946816</v>
      </c>
      <c r="AK34" s="56"/>
      <c r="AL34" s="56"/>
      <c r="AM34" s="68">
        <f t="shared" si="24"/>
        <v>1980</v>
      </c>
      <c r="AN34" s="60">
        <f t="shared" si="48"/>
        <v>1498002.5117038058</v>
      </c>
      <c r="AO34" s="56">
        <f t="shared" si="3"/>
        <v>0.5</v>
      </c>
      <c r="AP34">
        <f t="shared" si="26"/>
        <v>749001.25585190288</v>
      </c>
      <c r="AQ34" s="59">
        <f t="shared" si="4"/>
        <v>1263935.5122008733</v>
      </c>
      <c r="AR34" s="59">
        <f t="shared" si="27"/>
        <v>749001.25585190288</v>
      </c>
      <c r="AS34" t="s">
        <v>52</v>
      </c>
      <c r="AT34">
        <v>1980</v>
      </c>
      <c r="AU34" s="14">
        <v>312182</v>
      </c>
      <c r="AV34" s="5">
        <f>BH34</f>
        <v>594711</v>
      </c>
      <c r="AW34" s="6">
        <f>AV34/(AU34+AV34)</f>
        <v>0.65576754920370983</v>
      </c>
      <c r="AX34" s="12">
        <f t="shared" ref="AX34:AX47" si="49">AU34+AV34</f>
        <v>906893</v>
      </c>
      <c r="AY34" s="6">
        <f t="shared" ref="AY34:AY41" si="50">(AX34-CG34)/CG34</f>
        <v>-2.7052200850494804E-3</v>
      </c>
      <c r="AZ34" t="s">
        <v>52</v>
      </c>
      <c r="BA34">
        <v>1980</v>
      </c>
      <c r="BB34" s="3">
        <v>243146</v>
      </c>
      <c r="BC34" s="4" t="s">
        <v>0</v>
      </c>
      <c r="BD34" s="3">
        <v>13550</v>
      </c>
      <c r="BE34" s="3">
        <v>245019</v>
      </c>
      <c r="BF34" s="3">
        <v>3666</v>
      </c>
      <c r="BG34" s="3">
        <v>89330</v>
      </c>
      <c r="BH34" s="3">
        <v>594711</v>
      </c>
      <c r="BI34" s="38">
        <f>BH34/BK34</f>
        <v>0.65576754920370983</v>
      </c>
      <c r="BJ34" s="16">
        <v>312182</v>
      </c>
      <c r="BK34" s="18">
        <v>906893</v>
      </c>
      <c r="BL34" s="7">
        <f t="shared" si="28"/>
        <v>0.65576754920370983</v>
      </c>
      <c r="BM34" s="1">
        <f t="shared" si="29"/>
        <v>0.26810880666186637</v>
      </c>
      <c r="BN34" s="2">
        <f t="shared" si="30"/>
        <v>2.0414404886199108E-2</v>
      </c>
      <c r="BO34" s="1">
        <f t="shared" si="31"/>
        <v>0.13816816208348864</v>
      </c>
      <c r="BP34" s="8">
        <f t="shared" si="32"/>
        <v>0.65576754920370983</v>
      </c>
      <c r="BQ34" s="5">
        <f t="shared" si="33"/>
        <v>594711.00000000012</v>
      </c>
      <c r="BR34" s="26">
        <v>0.51937603286006684</v>
      </c>
      <c r="BS34" s="6">
        <f t="shared" si="34"/>
        <v>0.62834363015123196</v>
      </c>
      <c r="BT34" s="6">
        <f t="shared" si="35"/>
        <v>4.7843490981439071E-2</v>
      </c>
      <c r="BU34" s="6">
        <f t="shared" si="36"/>
        <v>0.32381287886732896</v>
      </c>
      <c r="BW34">
        <v>1980</v>
      </c>
      <c r="BX34" s="5">
        <v>1373377</v>
      </c>
      <c r="BY34" s="5">
        <v>1162099.8115125599</v>
      </c>
      <c r="BZ34" s="1">
        <v>0.45833580738579</v>
      </c>
      <c r="CA34" s="5">
        <v>2535476.8115125601</v>
      </c>
      <c r="CC34" s="6">
        <f t="shared" ref="CC34:CC44" si="51">BI34</f>
        <v>0.65576754920370983</v>
      </c>
      <c r="CE34" t="s">
        <v>55</v>
      </c>
      <c r="CF34" s="19">
        <v>1980</v>
      </c>
      <c r="CG34" s="12">
        <v>909353</v>
      </c>
      <c r="CH34" s="5">
        <v>242556</v>
      </c>
      <c r="CI34" s="5">
        <v>8546</v>
      </c>
      <c r="CJ34" s="5">
        <v>12026</v>
      </c>
      <c r="CK34" s="5">
        <v>241835</v>
      </c>
      <c r="CL34">
        <v>0</v>
      </c>
      <c r="CM34" s="5">
        <v>90380</v>
      </c>
      <c r="CN34" s="14">
        <v>314011</v>
      </c>
      <c r="CO34" s="5">
        <f t="shared" si="45"/>
        <v>909354</v>
      </c>
      <c r="CP34" s="5"/>
      <c r="CQ34" s="41">
        <v>0.65500000000000003</v>
      </c>
      <c r="CR34">
        <f t="shared" si="46"/>
        <v>1980</v>
      </c>
      <c r="CS34" s="6">
        <f t="shared" si="38"/>
        <v>2.7125581518437124E-3</v>
      </c>
      <c r="CT34" s="6">
        <f t="shared" si="47"/>
        <v>5.8587618760851043E-3</v>
      </c>
      <c r="CW34">
        <v>1980</v>
      </c>
      <c r="CX34" s="5">
        <v>312182</v>
      </c>
      <c r="CY34" s="5">
        <v>655505</v>
      </c>
      <c r="CZ34" s="6">
        <f t="shared" ref="CZ34:CZ42" si="52">(CX34-R34)/R34</f>
        <v>-5.8246367165481466E-3</v>
      </c>
      <c r="DA34" s="6">
        <f t="shared" ref="DA34:DA42" si="53">(CY34-AF34)/AF34</f>
        <v>-5.3581599629809573E-2</v>
      </c>
    </row>
    <row r="35" spans="1:115" x14ac:dyDescent="0.35">
      <c r="A35" t="str">
        <f t="shared" si="39"/>
        <v>Grant</v>
      </c>
      <c r="B35">
        <f t="shared" si="6"/>
        <v>1981</v>
      </c>
      <c r="C35" s="36">
        <f t="shared" si="7"/>
        <v>435345</v>
      </c>
      <c r="D35" s="31">
        <f t="shared" si="8"/>
        <v>1492293</v>
      </c>
      <c r="E35" s="26">
        <f t="shared" si="9"/>
        <v>1.2319303219839801</v>
      </c>
      <c r="F35" s="26" t="str">
        <f t="shared" si="10"/>
        <v>Grant</v>
      </c>
      <c r="G35" s="26">
        <v>8380.1020602856097</v>
      </c>
      <c r="H35" s="5">
        <f t="shared" si="40"/>
        <v>436996</v>
      </c>
      <c r="I35" s="5">
        <f t="shared" si="11"/>
        <v>1445354.0999999999</v>
      </c>
      <c r="J35" s="26">
        <f t="shared" si="12"/>
        <v>1.1961855806937127</v>
      </c>
      <c r="K35" s="26">
        <f t="shared" si="0"/>
        <v>0.3361710052481327</v>
      </c>
      <c r="L35">
        <v>1981</v>
      </c>
      <c r="M35" s="5">
        <v>435345</v>
      </c>
      <c r="N35" s="31">
        <v>1492293</v>
      </c>
      <c r="P35" t="str">
        <f t="shared" si="41"/>
        <v>Grant</v>
      </c>
      <c r="Q35">
        <f t="shared" si="42"/>
        <v>1981</v>
      </c>
      <c r="R35" s="35">
        <f t="shared" si="43"/>
        <v>436996</v>
      </c>
      <c r="S35" s="39">
        <f t="shared" si="44"/>
        <v>500271</v>
      </c>
      <c r="T35" s="57">
        <f t="shared" si="13"/>
        <v>0.12648144705569586</v>
      </c>
      <c r="U35" s="69">
        <f t="shared" si="14"/>
        <v>63275</v>
      </c>
      <c r="V35" s="5"/>
      <c r="W35" s="5">
        <f>$S38*W$2</f>
        <v>183840.9</v>
      </c>
      <c r="X35" s="5">
        <f t="shared" si="15"/>
        <v>1103426.3999999999</v>
      </c>
      <c r="Y35" s="5">
        <f t="shared" si="16"/>
        <v>158086.80000000002</v>
      </c>
      <c r="Z35" s="5">
        <f t="shared" si="17"/>
        <v>0</v>
      </c>
      <c r="AA35" s="12">
        <f t="shared" si="18"/>
        <v>1445354.0999999999</v>
      </c>
      <c r="AB35" s="29"/>
      <c r="AC35" s="29"/>
      <c r="AD35" s="29"/>
      <c r="AE35" s="29"/>
      <c r="AF35" s="12">
        <f t="shared" si="19"/>
        <v>1445354.0999999999</v>
      </c>
      <c r="AG35" s="12">
        <f t="shared" si="20"/>
        <v>1981</v>
      </c>
      <c r="AH35" s="56">
        <f t="shared" si="21"/>
        <v>0.12719436711045412</v>
      </c>
      <c r="AI35" s="56">
        <f t="shared" si="22"/>
        <v>0.76342980588632225</v>
      </c>
      <c r="AJ35" s="56">
        <f t="shared" si="23"/>
        <v>0.10937582700322367</v>
      </c>
      <c r="AK35" s="56"/>
      <c r="AL35" s="56"/>
      <c r="AM35" s="68">
        <f t="shared" si="24"/>
        <v>1981</v>
      </c>
      <c r="AN35" s="60">
        <f t="shared" si="48"/>
        <v>717072.47296926472</v>
      </c>
      <c r="AO35" s="56">
        <f t="shared" si="3"/>
        <v>0.5</v>
      </c>
      <c r="AP35">
        <f t="shared" si="26"/>
        <v>358536.23648463236</v>
      </c>
      <c r="AQ35" s="59">
        <f t="shared" si="4"/>
        <v>1244537.6698329684</v>
      </c>
      <c r="AR35" s="59">
        <f t="shared" si="27"/>
        <v>358536.23648463236</v>
      </c>
      <c r="AS35" t="s">
        <v>52</v>
      </c>
      <c r="AT35">
        <v>1981</v>
      </c>
      <c r="AU35" s="14">
        <v>435345</v>
      </c>
      <c r="AV35" s="5">
        <f t="shared" ref="AV35:AV42" si="54">BH35</f>
        <v>56270</v>
      </c>
      <c r="AW35" s="6">
        <f t="shared" ref="AW35:AW42" si="55">AV35/(AU35+AV35)</f>
        <v>0.11445948557306022</v>
      </c>
      <c r="AX35" s="12">
        <f t="shared" si="49"/>
        <v>491615</v>
      </c>
      <c r="AY35" s="6">
        <f t="shared" si="50"/>
        <v>-1.7302621978887444E-2</v>
      </c>
      <c r="AZ35" t="s">
        <v>52</v>
      </c>
      <c r="BA35">
        <v>1981</v>
      </c>
      <c r="BB35" s="3">
        <v>26519</v>
      </c>
      <c r="BC35" s="4" t="s">
        <v>0</v>
      </c>
      <c r="BD35" s="3">
        <v>3205</v>
      </c>
      <c r="BE35" s="3">
        <v>5814</v>
      </c>
      <c r="BF35" s="4">
        <v>771</v>
      </c>
      <c r="BG35" s="3">
        <v>19961</v>
      </c>
      <c r="BH35" s="3">
        <v>56270</v>
      </c>
      <c r="BI35" s="38">
        <f t="shared" ref="BI35:BI44" si="56">BH35/BK35</f>
        <v>0.11445948557306022</v>
      </c>
      <c r="BJ35" s="16">
        <v>435345</v>
      </c>
      <c r="BK35" s="18">
        <v>491615</v>
      </c>
      <c r="BL35" s="7">
        <f t="shared" si="28"/>
        <v>0.11445948557306022</v>
      </c>
      <c r="BM35" s="1">
        <f t="shared" si="29"/>
        <v>5.394261769880903E-2</v>
      </c>
      <c r="BN35" s="2">
        <f t="shared" si="30"/>
        <v>6.8910504497996109E-3</v>
      </c>
      <c r="BO35" s="1">
        <f t="shared" si="31"/>
        <v>4.3288081193615546E-2</v>
      </c>
      <c r="BP35" s="8">
        <f t="shared" si="32"/>
        <v>0.11445948557306022</v>
      </c>
      <c r="BQ35" s="5">
        <f t="shared" si="33"/>
        <v>56270</v>
      </c>
      <c r="BR35" s="26">
        <v>0.14141359916611126</v>
      </c>
      <c r="BS35" s="6">
        <f t="shared" si="34"/>
        <v>0.51807252605324638</v>
      </c>
      <c r="BT35" s="6">
        <f t="shared" si="35"/>
        <v>6.6182622682897083E-2</v>
      </c>
      <c r="BU35" s="6">
        <f t="shared" si="36"/>
        <v>0.41574485126385657</v>
      </c>
      <c r="BW35">
        <v>1981</v>
      </c>
      <c r="BX35" s="5">
        <v>1302540</v>
      </c>
      <c r="BY35" s="5">
        <v>185726.44640561001</v>
      </c>
      <c r="BZ35" s="1">
        <v>0.124793814208583</v>
      </c>
      <c r="CA35" s="5">
        <v>1488266.4464056101</v>
      </c>
      <c r="CC35" s="6">
        <f t="shared" si="51"/>
        <v>0.11445948557306022</v>
      </c>
      <c r="CE35" t="s">
        <v>55</v>
      </c>
      <c r="CF35" s="19">
        <v>1981</v>
      </c>
      <c r="CG35" s="12">
        <v>500271</v>
      </c>
      <c r="CH35" s="5">
        <v>30394</v>
      </c>
      <c r="CI35" s="5">
        <v>3370</v>
      </c>
      <c r="CJ35" s="5">
        <v>2288</v>
      </c>
      <c r="CK35" s="5">
        <v>5814</v>
      </c>
      <c r="CL35">
        <v>0</v>
      </c>
      <c r="CM35" s="5">
        <v>21408</v>
      </c>
      <c r="CN35" s="14">
        <v>436996</v>
      </c>
      <c r="CO35" s="5">
        <f t="shared" si="45"/>
        <v>500270</v>
      </c>
      <c r="CP35" s="5"/>
      <c r="CQ35" s="41">
        <v>0.126</v>
      </c>
      <c r="CR35">
        <f t="shared" si="46"/>
        <v>1981</v>
      </c>
      <c r="CS35" s="6">
        <f t="shared" si="38"/>
        <v>1.760727398472382E-2</v>
      </c>
      <c r="CT35" s="6">
        <f t="shared" si="47"/>
        <v>3.7923945376655294E-3</v>
      </c>
      <c r="CW35">
        <v>1981</v>
      </c>
      <c r="CX35" s="5">
        <v>435345</v>
      </c>
      <c r="CY35" s="5">
        <v>1492293</v>
      </c>
      <c r="CZ35" s="6">
        <f t="shared" si="52"/>
        <v>-3.77806661845875E-3</v>
      </c>
      <c r="DA35" s="6">
        <f t="shared" si="53"/>
        <v>3.2475709585630362E-2</v>
      </c>
    </row>
    <row r="36" spans="1:115" x14ac:dyDescent="0.35">
      <c r="A36" t="str">
        <f t="shared" si="39"/>
        <v>Grant</v>
      </c>
      <c r="B36">
        <f t="shared" si="6"/>
        <v>1982</v>
      </c>
      <c r="C36" s="36">
        <f t="shared" si="7"/>
        <v>322286</v>
      </c>
      <c r="D36" s="31">
        <f t="shared" si="8"/>
        <v>1416221</v>
      </c>
      <c r="E36" s="26">
        <f t="shared" si="9"/>
        <v>1.4803079854347336</v>
      </c>
      <c r="F36" s="26" t="str">
        <f t="shared" si="10"/>
        <v>Grant</v>
      </c>
      <c r="G36" s="26">
        <v>8595.1273557723962</v>
      </c>
      <c r="H36" s="5">
        <f t="shared" si="40"/>
        <v>326439</v>
      </c>
      <c r="I36" s="5">
        <f t="shared" si="11"/>
        <v>1548341.6</v>
      </c>
      <c r="J36" s="26">
        <f t="shared" si="12"/>
        <v>1.5566966003935794</v>
      </c>
      <c r="K36" s="26">
        <f t="shared" si="0"/>
        <v>0.62861715233045601</v>
      </c>
      <c r="L36">
        <v>1982</v>
      </c>
      <c r="M36" s="5">
        <v>322286</v>
      </c>
      <c r="N36" s="31">
        <v>1416221</v>
      </c>
      <c r="P36" t="str">
        <f t="shared" si="41"/>
        <v>Grant</v>
      </c>
      <c r="Q36">
        <f t="shared" si="42"/>
        <v>1982</v>
      </c>
      <c r="R36" s="35">
        <f t="shared" si="43"/>
        <v>326439</v>
      </c>
      <c r="S36" s="39">
        <f t="shared" si="44"/>
        <v>724011</v>
      </c>
      <c r="T36" s="57">
        <f t="shared" si="13"/>
        <v>0.54912425363703044</v>
      </c>
      <c r="U36" s="69">
        <f t="shared" si="14"/>
        <v>397572</v>
      </c>
      <c r="V36" s="5"/>
      <c r="W36" s="5">
        <f t="shared" si="37"/>
        <v>551713.19999999995</v>
      </c>
      <c r="X36" s="5">
        <f t="shared" si="15"/>
        <v>948520.79999999993</v>
      </c>
      <c r="Y36" s="5">
        <f t="shared" si="16"/>
        <v>48107.600000000006</v>
      </c>
      <c r="Z36" s="5">
        <f t="shared" si="17"/>
        <v>0</v>
      </c>
      <c r="AA36" s="12">
        <f t="shared" si="18"/>
        <v>1548341.6</v>
      </c>
      <c r="AB36" s="29"/>
      <c r="AC36" s="29"/>
      <c r="AD36" s="29"/>
      <c r="AE36" s="29"/>
      <c r="AF36" s="12">
        <f t="shared" si="19"/>
        <v>1548341.6</v>
      </c>
      <c r="AG36" s="12">
        <f t="shared" si="20"/>
        <v>1982</v>
      </c>
      <c r="AH36" s="56">
        <f t="shared" si="21"/>
        <v>0.35632524502344953</v>
      </c>
      <c r="AI36" s="56">
        <f t="shared" si="22"/>
        <v>0.6126043503578279</v>
      </c>
      <c r="AJ36" s="56">
        <f t="shared" si="23"/>
        <v>3.1070404618722382E-2</v>
      </c>
      <c r="AK36" s="56"/>
      <c r="AL36" s="56"/>
      <c r="AM36" s="68">
        <f t="shared" si="24"/>
        <v>1982</v>
      </c>
      <c r="AN36" s="60">
        <f t="shared" si="48"/>
        <v>1092778.5968109213</v>
      </c>
      <c r="AO36" s="56">
        <f t="shared" si="3"/>
        <v>0.5</v>
      </c>
      <c r="AP36">
        <f t="shared" si="26"/>
        <v>546389.29840546066</v>
      </c>
      <c r="AQ36" s="59">
        <f t="shared" si="4"/>
        <v>2263381.0525508202</v>
      </c>
      <c r="AR36" s="59">
        <f t="shared" si="27"/>
        <v>546389.29840546066</v>
      </c>
      <c r="AS36" t="s">
        <v>52</v>
      </c>
      <c r="AT36">
        <v>1982</v>
      </c>
      <c r="AU36" s="14">
        <v>322286</v>
      </c>
      <c r="AV36" s="5">
        <f t="shared" si="54"/>
        <v>383164</v>
      </c>
      <c r="AW36" s="6">
        <f t="shared" si="55"/>
        <v>0.54314834502799636</v>
      </c>
      <c r="AX36" s="12">
        <f t="shared" si="49"/>
        <v>705450</v>
      </c>
      <c r="AY36" s="6">
        <f t="shared" si="50"/>
        <v>-2.5636350828923869E-2</v>
      </c>
      <c r="AZ36" t="s">
        <v>52</v>
      </c>
      <c r="BA36">
        <v>1982</v>
      </c>
      <c r="BB36" s="3">
        <v>235914</v>
      </c>
      <c r="BC36" s="4" t="s">
        <v>0</v>
      </c>
      <c r="BD36" s="3">
        <v>8527</v>
      </c>
      <c r="BE36" s="3">
        <v>54570</v>
      </c>
      <c r="BF36" s="3">
        <v>1649</v>
      </c>
      <c r="BG36" s="3">
        <v>82505</v>
      </c>
      <c r="BH36" s="3">
        <v>383164</v>
      </c>
      <c r="BI36" s="38">
        <f t="shared" si="56"/>
        <v>0.54314834502799636</v>
      </c>
      <c r="BJ36" s="16">
        <v>322286</v>
      </c>
      <c r="BK36" s="18">
        <v>705450</v>
      </c>
      <c r="BL36" s="7">
        <f t="shared" si="28"/>
        <v>0.54314834502799636</v>
      </c>
      <c r="BM36" s="1">
        <f t="shared" si="29"/>
        <v>0.33441633000212628</v>
      </c>
      <c r="BN36" s="2">
        <f t="shared" si="30"/>
        <v>1.8160481837388401E-2</v>
      </c>
      <c r="BO36" s="1">
        <f t="shared" si="31"/>
        <v>0.17960858585858586</v>
      </c>
      <c r="BP36" s="8">
        <f t="shared" si="32"/>
        <v>0.54314834502799636</v>
      </c>
      <c r="BQ36" s="5">
        <f t="shared" si="33"/>
        <v>383164.00000000012</v>
      </c>
      <c r="BR36" s="26">
        <v>0.57254888715913643</v>
      </c>
      <c r="BS36" s="6">
        <f t="shared" si="34"/>
        <v>0.62838313762196607</v>
      </c>
      <c r="BT36" s="6">
        <f t="shared" si="35"/>
        <v>3.4124351994510235E-2</v>
      </c>
      <c r="BU36" s="6">
        <f t="shared" si="36"/>
        <v>0.33749251038352363</v>
      </c>
      <c r="BW36">
        <v>1982</v>
      </c>
      <c r="BX36" s="5">
        <v>1453419</v>
      </c>
      <c r="BY36" s="5">
        <v>1484320.8797828001</v>
      </c>
      <c r="BZ36" s="1">
        <v>0.50525946493688301</v>
      </c>
      <c r="CA36" s="5">
        <v>2937739.8797828001</v>
      </c>
      <c r="CC36" s="6">
        <f t="shared" si="51"/>
        <v>0.54314834502799636</v>
      </c>
      <c r="CE36" t="s">
        <v>55</v>
      </c>
      <c r="CF36" s="19">
        <v>1982</v>
      </c>
      <c r="CG36" s="12">
        <v>724011</v>
      </c>
      <c r="CH36" s="5">
        <v>240409</v>
      </c>
      <c r="CI36" s="5">
        <v>12660</v>
      </c>
      <c r="CJ36" s="5">
        <v>7095</v>
      </c>
      <c r="CK36" s="5">
        <v>54508</v>
      </c>
      <c r="CL36">
        <v>0</v>
      </c>
      <c r="CM36" s="5">
        <v>82899</v>
      </c>
      <c r="CN36" s="14">
        <v>326439</v>
      </c>
      <c r="CO36" s="5">
        <f t="shared" si="45"/>
        <v>724010</v>
      </c>
      <c r="CP36" s="5"/>
      <c r="CQ36" s="41">
        <v>0.54900000000000004</v>
      </c>
      <c r="CR36">
        <f t="shared" si="46"/>
        <v>1982</v>
      </c>
      <c r="CS36" s="6">
        <f t="shared" si="38"/>
        <v>2.6310865405060599E-2</v>
      </c>
      <c r="CT36" s="6">
        <f t="shared" si="47"/>
        <v>1.2886070136462644E-2</v>
      </c>
      <c r="CW36">
        <v>1982</v>
      </c>
      <c r="CX36" s="5">
        <v>322286</v>
      </c>
      <c r="CY36" s="5">
        <v>1416221</v>
      </c>
      <c r="CZ36" s="6">
        <f t="shared" si="52"/>
        <v>-1.2722131853118041E-2</v>
      </c>
      <c r="DA36" s="6">
        <f t="shared" si="53"/>
        <v>-8.5330394791433672E-2</v>
      </c>
    </row>
    <row r="37" spans="1:115" x14ac:dyDescent="0.35">
      <c r="A37" t="str">
        <f t="shared" si="39"/>
        <v>Grant</v>
      </c>
      <c r="B37">
        <f t="shared" si="6"/>
        <v>1983</v>
      </c>
      <c r="C37" s="36">
        <f t="shared" si="7"/>
        <v>367363</v>
      </c>
      <c r="D37" s="31">
        <f t="shared" si="8"/>
        <v>795564</v>
      </c>
      <c r="E37" s="26">
        <f t="shared" si="9"/>
        <v>0.77270083705316917</v>
      </c>
      <c r="F37" s="26" t="str">
        <f t="shared" si="10"/>
        <v>Grant</v>
      </c>
      <c r="G37" s="26">
        <v>8827.2443673217513</v>
      </c>
      <c r="H37" s="5">
        <f t="shared" si="40"/>
        <v>371770</v>
      </c>
      <c r="I37" s="5">
        <f t="shared" si="11"/>
        <v>866417.1</v>
      </c>
      <c r="J37" s="26">
        <f t="shared" si="12"/>
        <v>0.84609104884449615</v>
      </c>
      <c r="K37" s="26">
        <f t="shared" ref="K37:K68" si="57">J37-(aa-bb*H37)</f>
        <v>-5.4080182275097144E-2</v>
      </c>
      <c r="L37">
        <v>1983</v>
      </c>
      <c r="M37" s="5">
        <v>367363</v>
      </c>
      <c r="N37" s="31">
        <v>795564</v>
      </c>
      <c r="P37" t="str">
        <f t="shared" si="41"/>
        <v>Grant</v>
      </c>
      <c r="Q37">
        <f t="shared" si="42"/>
        <v>1983</v>
      </c>
      <c r="R37" s="35">
        <f t="shared" si="43"/>
        <v>371770</v>
      </c>
      <c r="S37" s="39">
        <f t="shared" si="44"/>
        <v>470101</v>
      </c>
      <c r="T37" s="57">
        <f t="shared" si="13"/>
        <v>0.2091699443311118</v>
      </c>
      <c r="U37" s="69">
        <f t="shared" si="14"/>
        <v>98331</v>
      </c>
      <c r="V37" s="5"/>
      <c r="W37" s="5">
        <f t="shared" si="37"/>
        <v>474260.39999999997</v>
      </c>
      <c r="X37" s="5">
        <f t="shared" si="15"/>
        <v>288645.59999999998</v>
      </c>
      <c r="Y37" s="5">
        <f t="shared" si="16"/>
        <v>103511.1</v>
      </c>
      <c r="Z37" s="5">
        <f t="shared" si="17"/>
        <v>0</v>
      </c>
      <c r="AA37" s="12">
        <f t="shared" si="18"/>
        <v>866417.1</v>
      </c>
      <c r="AB37" s="29"/>
      <c r="AC37" s="29"/>
      <c r="AD37" s="29"/>
      <c r="AE37" s="29"/>
      <c r="AF37" s="12">
        <f t="shared" si="19"/>
        <v>866417.1</v>
      </c>
      <c r="AG37" s="12">
        <f t="shared" si="20"/>
        <v>1983</v>
      </c>
      <c r="AH37" s="56">
        <f t="shared" si="21"/>
        <v>0.54738116318341357</v>
      </c>
      <c r="AI37" s="56">
        <f t="shared" si="22"/>
        <v>0.33314854935342342</v>
      </c>
      <c r="AJ37" s="56">
        <f t="shared" si="23"/>
        <v>0.11947028746316296</v>
      </c>
      <c r="AK37" s="56"/>
      <c r="AL37" s="56"/>
      <c r="AM37" s="68">
        <f t="shared" si="24"/>
        <v>1983</v>
      </c>
      <c r="AN37" s="60">
        <f t="shared" si="48"/>
        <v>623400.02249403449</v>
      </c>
      <c r="AO37" s="56">
        <f t="shared" ref="AO37:AO68" si="58">CHOOSE(umethod,T37,retroU,MAX(0,cslope*(AN37-nlim)/AN37))</f>
        <v>0.5</v>
      </c>
      <c r="AP37">
        <f t="shared" si="26"/>
        <v>311700.01124701725</v>
      </c>
      <c r="AQ37" s="59">
        <f t="shared" ref="AQ37:AQ68" si="59">AP37*EXP(aa-bb*AP37+K37)</f>
        <v>753790.59788953396</v>
      </c>
      <c r="AR37" s="59">
        <f t="shared" si="27"/>
        <v>311700.01124701725</v>
      </c>
      <c r="AS37" t="s">
        <v>52</v>
      </c>
      <c r="AT37">
        <v>1983</v>
      </c>
      <c r="AU37" s="14">
        <v>367363</v>
      </c>
      <c r="AV37" s="5">
        <f t="shared" si="54"/>
        <v>88034</v>
      </c>
      <c r="AW37" s="6">
        <f t="shared" si="55"/>
        <v>0.19331264808507742</v>
      </c>
      <c r="AX37" s="12">
        <f t="shared" si="49"/>
        <v>455397</v>
      </c>
      <c r="AY37" s="6">
        <f t="shared" si="50"/>
        <v>-3.1278384857722066E-2</v>
      </c>
      <c r="AZ37" t="s">
        <v>52</v>
      </c>
      <c r="BA37">
        <v>1983</v>
      </c>
      <c r="BB37" s="3">
        <v>56191</v>
      </c>
      <c r="BC37" s="4" t="s">
        <v>0</v>
      </c>
      <c r="BD37" s="4">
        <v>81</v>
      </c>
      <c r="BE37" s="3">
        <v>1671</v>
      </c>
      <c r="BF37" s="3">
        <v>4899</v>
      </c>
      <c r="BG37" s="3">
        <v>25194</v>
      </c>
      <c r="BH37" s="3">
        <v>88034</v>
      </c>
      <c r="BI37" s="38">
        <f t="shared" si="56"/>
        <v>0.19331264808507742</v>
      </c>
      <c r="BJ37" s="16">
        <v>367363</v>
      </c>
      <c r="BK37" s="18">
        <v>455397</v>
      </c>
      <c r="BL37" s="7">
        <f t="shared" si="28"/>
        <v>0.19331264808507742</v>
      </c>
      <c r="BM37" s="1">
        <f t="shared" si="29"/>
        <v>0.1233890429669058</v>
      </c>
      <c r="BN37" s="2">
        <f t="shared" si="30"/>
        <v>2.0290276198253534E-4</v>
      </c>
      <c r="BO37" s="1">
        <f t="shared" si="31"/>
        <v>6.3907504832253575E-2</v>
      </c>
      <c r="BP37" s="8">
        <f t="shared" si="32"/>
        <v>0.19331264808507742</v>
      </c>
      <c r="BQ37" s="5">
        <f t="shared" si="33"/>
        <v>88034</v>
      </c>
      <c r="BR37" s="26">
        <v>0.2308663419449562</v>
      </c>
      <c r="BS37" s="6">
        <f t="shared" si="34"/>
        <v>0.65807682421271796</v>
      </c>
      <c r="BT37" s="6">
        <f t="shared" si="35"/>
        <v>1.0821512349785288E-3</v>
      </c>
      <c r="BU37" s="6">
        <f t="shared" si="36"/>
        <v>0.34084102455230342</v>
      </c>
      <c r="BW37">
        <v>1983</v>
      </c>
      <c r="BX37" s="5">
        <v>1196968</v>
      </c>
      <c r="BY37" s="5">
        <v>306257.41664499301</v>
      </c>
      <c r="BZ37" s="1">
        <v>0.20373352742299999</v>
      </c>
      <c r="CA37" s="5">
        <v>1503225.41664499</v>
      </c>
      <c r="CC37" s="6">
        <f t="shared" si="51"/>
        <v>0.19331264808507742</v>
      </c>
      <c r="CE37" t="s">
        <v>55</v>
      </c>
      <c r="CF37" s="19">
        <v>1983</v>
      </c>
      <c r="CG37" s="12">
        <v>470101</v>
      </c>
      <c r="CH37" s="5">
        <v>60431</v>
      </c>
      <c r="CI37" s="5">
        <v>14683</v>
      </c>
      <c r="CJ37">
        <v>20</v>
      </c>
      <c r="CK37" s="5">
        <v>1602</v>
      </c>
      <c r="CL37">
        <v>0</v>
      </c>
      <c r="CM37" s="5">
        <v>21595</v>
      </c>
      <c r="CN37" s="14">
        <v>371770</v>
      </c>
      <c r="CO37" s="5">
        <f t="shared" si="45"/>
        <v>470101</v>
      </c>
      <c r="CP37" s="5"/>
      <c r="CQ37" s="41">
        <v>0.20899999999999999</v>
      </c>
      <c r="CR37">
        <f t="shared" si="46"/>
        <v>1983</v>
      </c>
      <c r="CS37" s="6">
        <f t="shared" si="38"/>
        <v>3.2288311078026426E-2</v>
      </c>
      <c r="CT37" s="6">
        <f t="shared" si="47"/>
        <v>1.1996308828052906E-2</v>
      </c>
      <c r="CW37">
        <v>1983</v>
      </c>
      <c r="CX37" s="5">
        <v>367363</v>
      </c>
      <c r="CY37" s="5">
        <v>795564</v>
      </c>
      <c r="CZ37" s="6">
        <f t="shared" si="52"/>
        <v>-1.1854103343465046E-2</v>
      </c>
      <c r="DA37" s="6">
        <f t="shared" si="53"/>
        <v>-8.1777125589972743E-2</v>
      </c>
    </row>
    <row r="38" spans="1:115" x14ac:dyDescent="0.35">
      <c r="A38" t="str">
        <f t="shared" si="39"/>
        <v>Grant</v>
      </c>
      <c r="B38">
        <f t="shared" si="6"/>
        <v>1984</v>
      </c>
      <c r="C38" s="36">
        <f t="shared" si="7"/>
        <v>540265</v>
      </c>
      <c r="D38" s="31">
        <f t="shared" si="8"/>
        <v>1061099</v>
      </c>
      <c r="E38" s="26">
        <f t="shared" si="9"/>
        <v>0.67500068253565193</v>
      </c>
      <c r="F38" s="26" t="str">
        <f t="shared" si="10"/>
        <v>Grant</v>
      </c>
      <c r="G38" s="26">
        <v>9077.8116642001532</v>
      </c>
      <c r="H38" s="5">
        <f t="shared" si="40"/>
        <v>541478</v>
      </c>
      <c r="I38" s="5">
        <f t="shared" si="11"/>
        <v>874855.49999999988</v>
      </c>
      <c r="J38" s="26">
        <f t="shared" si="12"/>
        <v>0.47975629213268117</v>
      </c>
      <c r="K38" s="26">
        <f t="shared" si="57"/>
        <v>-0.31593350947835047</v>
      </c>
      <c r="L38">
        <v>1984</v>
      </c>
      <c r="M38" s="5">
        <v>540265</v>
      </c>
      <c r="N38" s="31">
        <v>1061099</v>
      </c>
      <c r="P38" t="str">
        <f t="shared" si="41"/>
        <v>Grant</v>
      </c>
      <c r="Q38">
        <f t="shared" si="42"/>
        <v>1984</v>
      </c>
      <c r="R38" s="35">
        <f t="shared" si="43"/>
        <v>541478</v>
      </c>
      <c r="S38" s="39">
        <f t="shared" si="44"/>
        <v>612803</v>
      </c>
      <c r="T38" s="57">
        <f t="shared" si="13"/>
        <v>0.11639140147812588</v>
      </c>
      <c r="U38" s="69">
        <f t="shared" si="14"/>
        <v>71325</v>
      </c>
      <c r="V38" s="5"/>
      <c r="W38" s="5">
        <f t="shared" si="37"/>
        <v>144322.79999999999</v>
      </c>
      <c r="X38" s="5">
        <f t="shared" si="15"/>
        <v>621066.6</v>
      </c>
      <c r="Y38" s="5">
        <f t="shared" si="16"/>
        <v>109466.1</v>
      </c>
      <c r="Z38" s="5">
        <f t="shared" si="17"/>
        <v>0</v>
      </c>
      <c r="AA38" s="12">
        <f t="shared" si="18"/>
        <v>874855.49999999988</v>
      </c>
      <c r="AB38" s="29"/>
      <c r="AC38" s="29"/>
      <c r="AD38" s="29"/>
      <c r="AE38" s="29"/>
      <c r="AF38" s="12">
        <f t="shared" si="19"/>
        <v>874855.49999999988</v>
      </c>
      <c r="AG38" s="12">
        <f t="shared" si="20"/>
        <v>1984</v>
      </c>
      <c r="AH38" s="56">
        <f t="shared" si="21"/>
        <v>0.16496758607564335</v>
      </c>
      <c r="AI38" s="56">
        <f t="shared" si="22"/>
        <v>0.70990763617534558</v>
      </c>
      <c r="AJ38" s="56">
        <f t="shared" si="23"/>
        <v>0.12512477774901115</v>
      </c>
      <c r="AK38" s="56"/>
      <c r="AL38" s="56"/>
      <c r="AM38" s="68">
        <f t="shared" si="24"/>
        <v>1984</v>
      </c>
      <c r="AN38" s="60">
        <f t="shared" si="48"/>
        <v>890146.64717912464</v>
      </c>
      <c r="AO38" s="56">
        <f t="shared" si="58"/>
        <v>0.5</v>
      </c>
      <c r="AP38">
        <f t="shared" si="26"/>
        <v>445073.32358956232</v>
      </c>
      <c r="AQ38" s="59">
        <f t="shared" si="59"/>
        <v>763068.09150634846</v>
      </c>
      <c r="AR38" s="59">
        <f t="shared" si="27"/>
        <v>445073.32358956232</v>
      </c>
      <c r="AS38" t="s">
        <v>52</v>
      </c>
      <c r="AT38">
        <v>1984</v>
      </c>
      <c r="AU38" s="14">
        <v>540265</v>
      </c>
      <c r="AV38" s="5">
        <f t="shared" si="54"/>
        <v>65644</v>
      </c>
      <c r="AW38" s="6">
        <f t="shared" si="55"/>
        <v>0.10833970117624923</v>
      </c>
      <c r="AX38" s="12">
        <f t="shared" si="49"/>
        <v>605909</v>
      </c>
      <c r="AY38" s="6">
        <f t="shared" si="50"/>
        <v>-1.1249944925204348E-2</v>
      </c>
      <c r="AZ38" t="s">
        <v>52</v>
      </c>
      <c r="BA38">
        <v>1984</v>
      </c>
      <c r="BB38" s="3">
        <v>19746</v>
      </c>
      <c r="BC38" s="4" t="s">
        <v>0</v>
      </c>
      <c r="BD38" s="3">
        <v>6131</v>
      </c>
      <c r="BE38" s="3">
        <v>1192</v>
      </c>
      <c r="BF38" s="3">
        <v>4846</v>
      </c>
      <c r="BG38" s="3">
        <v>337299</v>
      </c>
      <c r="BH38" s="3">
        <v>65644</v>
      </c>
      <c r="BI38" s="38">
        <f t="shared" si="56"/>
        <v>0.10833970117624923</v>
      </c>
      <c r="BJ38" s="16">
        <v>540265</v>
      </c>
      <c r="BK38" s="18">
        <v>605909</v>
      </c>
      <c r="BL38" s="7">
        <f t="shared" si="28"/>
        <v>0.10833970117624923</v>
      </c>
      <c r="BM38" s="1">
        <f t="shared" si="29"/>
        <v>3.2589052151395674E-2</v>
      </c>
      <c r="BN38" s="2">
        <f t="shared" si="30"/>
        <v>1.0459547941442909E-2</v>
      </c>
      <c r="BO38" s="1">
        <f t="shared" si="31"/>
        <v>0.58641726328526778</v>
      </c>
      <c r="BP38" s="8">
        <f t="shared" si="32"/>
        <v>0.10833970117624923</v>
      </c>
      <c r="BQ38" s="5">
        <f t="shared" si="33"/>
        <v>65644</v>
      </c>
      <c r="BR38" s="26">
        <v>0.17431250101218676</v>
      </c>
      <c r="BS38" s="6">
        <f t="shared" si="34"/>
        <v>5.1772548834503107E-2</v>
      </c>
      <c r="BT38" s="6">
        <f t="shared" si="35"/>
        <v>1.6616545153553604E-2</v>
      </c>
      <c r="BU38" s="6">
        <f t="shared" si="36"/>
        <v>0.93161090601194319</v>
      </c>
      <c r="BW38">
        <v>1984</v>
      </c>
      <c r="BX38" s="5">
        <v>1627518</v>
      </c>
      <c r="BY38" s="5">
        <v>295867.09154975798</v>
      </c>
      <c r="BZ38" s="1">
        <v>0.153826237319623</v>
      </c>
      <c r="CA38" s="5">
        <v>1923385.09154976</v>
      </c>
      <c r="CC38" s="6">
        <f t="shared" si="51"/>
        <v>0.10833970117624923</v>
      </c>
      <c r="CE38" t="s">
        <v>55</v>
      </c>
      <c r="CF38" s="19">
        <v>1984</v>
      </c>
      <c r="CG38" s="12">
        <v>612803</v>
      </c>
      <c r="CH38" s="5">
        <v>30552</v>
      </c>
      <c r="CI38" s="5">
        <v>17335</v>
      </c>
      <c r="CJ38">
        <v>1</v>
      </c>
      <c r="CK38" s="5">
        <v>1192</v>
      </c>
      <c r="CL38">
        <v>0</v>
      </c>
      <c r="CM38" s="5">
        <v>22246</v>
      </c>
      <c r="CN38" s="14">
        <v>541478</v>
      </c>
      <c r="CO38" s="5">
        <f t="shared" si="45"/>
        <v>612804</v>
      </c>
      <c r="CP38" s="5"/>
      <c r="CQ38" s="41">
        <v>0.11600000000000001</v>
      </c>
      <c r="CR38">
        <f t="shared" si="46"/>
        <v>1984</v>
      </c>
      <c r="CS38" s="6">
        <f t="shared" si="38"/>
        <v>1.137794619324024E-2</v>
      </c>
      <c r="CT38" s="6">
        <f t="shared" si="47"/>
        <v>2.245194487890202E-3</v>
      </c>
      <c r="CW38">
        <v>1984</v>
      </c>
      <c r="CX38" s="5">
        <v>540265</v>
      </c>
      <c r="CY38" s="5">
        <v>1061099</v>
      </c>
      <c r="CZ38" s="6">
        <f t="shared" si="52"/>
        <v>-2.2401648820450691E-3</v>
      </c>
      <c r="DA38" s="6">
        <f t="shared" si="53"/>
        <v>0.21288487070150458</v>
      </c>
    </row>
    <row r="39" spans="1:115" x14ac:dyDescent="0.35">
      <c r="A39" t="str">
        <f t="shared" si="39"/>
        <v>Grant</v>
      </c>
      <c r="B39">
        <f t="shared" si="6"/>
        <v>1985</v>
      </c>
      <c r="C39" s="36">
        <f t="shared" si="7"/>
        <v>1147702</v>
      </c>
      <c r="D39" s="31">
        <f t="shared" si="8"/>
        <v>1010518</v>
      </c>
      <c r="E39" s="26">
        <f t="shared" si="9"/>
        <v>-0.12729861165186437</v>
      </c>
      <c r="F39" s="26" t="str">
        <f t="shared" si="10"/>
        <v>Grant</v>
      </c>
      <c r="G39" s="26">
        <v>9348.2958042718892</v>
      </c>
      <c r="H39" s="5">
        <f t="shared" si="40"/>
        <v>1383808</v>
      </c>
      <c r="I39" s="5">
        <f t="shared" si="11"/>
        <v>1126818.3999999999</v>
      </c>
      <c r="J39" s="26">
        <f t="shared" si="12"/>
        <v>-0.20544103293288771</v>
      </c>
      <c r="K39" s="26">
        <f t="shared" si="57"/>
        <v>-0.48254689909039461</v>
      </c>
      <c r="L39">
        <v>1985</v>
      </c>
      <c r="M39" s="5">
        <v>1147702</v>
      </c>
      <c r="N39" s="31">
        <v>1010518</v>
      </c>
      <c r="P39" t="str">
        <f t="shared" si="41"/>
        <v>Grant</v>
      </c>
      <c r="Q39">
        <f t="shared" si="42"/>
        <v>1985</v>
      </c>
      <c r="R39" s="35">
        <f t="shared" si="43"/>
        <v>1383808</v>
      </c>
      <c r="S39" s="39">
        <f t="shared" si="44"/>
        <v>1839044</v>
      </c>
      <c r="T39" s="57">
        <f t="shared" si="13"/>
        <v>0.24753948247023994</v>
      </c>
      <c r="U39" s="69">
        <f t="shared" si="14"/>
        <v>455236</v>
      </c>
      <c r="V39" s="5"/>
      <c r="W39" s="5">
        <f t="shared" si="37"/>
        <v>310533.3</v>
      </c>
      <c r="X39" s="5">
        <f t="shared" si="15"/>
        <v>656796.6</v>
      </c>
      <c r="Y39" s="5">
        <f t="shared" si="16"/>
        <v>159488.5</v>
      </c>
      <c r="Z39" s="5">
        <f t="shared" si="17"/>
        <v>0</v>
      </c>
      <c r="AA39" s="12">
        <f t="shared" si="18"/>
        <v>1126818.3999999999</v>
      </c>
      <c r="AB39" s="29"/>
      <c r="AC39" s="29"/>
      <c r="AD39" s="29"/>
      <c r="AE39" s="29"/>
      <c r="AF39" s="12">
        <f t="shared" si="19"/>
        <v>1126818.3999999999</v>
      </c>
      <c r="AG39" s="12">
        <f t="shared" si="20"/>
        <v>1985</v>
      </c>
      <c r="AH39" s="56">
        <f t="shared" si="21"/>
        <v>0.27558415801516911</v>
      </c>
      <c r="AI39" s="56">
        <f t="shared" si="22"/>
        <v>0.58287706342033463</v>
      </c>
      <c r="AJ39" s="56">
        <f t="shared" si="23"/>
        <v>0.14153877856449629</v>
      </c>
      <c r="AK39" s="56"/>
      <c r="AL39" s="56"/>
      <c r="AM39" s="68">
        <f t="shared" si="24"/>
        <v>1985</v>
      </c>
      <c r="AN39" s="60">
        <f t="shared" si="48"/>
        <v>2092218.6990468297</v>
      </c>
      <c r="AO39" s="56">
        <f t="shared" si="58"/>
        <v>0.5</v>
      </c>
      <c r="AP39">
        <f t="shared" si="26"/>
        <v>1046109.3495234149</v>
      </c>
      <c r="AQ39" s="59">
        <f t="shared" si="59"/>
        <v>1048690.6999047485</v>
      </c>
      <c r="AR39" s="59">
        <f t="shared" si="27"/>
        <v>1046109.3495234149</v>
      </c>
      <c r="AS39" t="s">
        <v>52</v>
      </c>
      <c r="AT39">
        <v>1985</v>
      </c>
      <c r="AU39" s="14">
        <v>1147702</v>
      </c>
      <c r="AV39" s="5">
        <f t="shared" si="54"/>
        <v>604708</v>
      </c>
      <c r="AW39" s="6">
        <f t="shared" si="55"/>
        <v>0.34507221483556932</v>
      </c>
      <c r="AX39" s="12">
        <f t="shared" si="49"/>
        <v>1752410</v>
      </c>
      <c r="AY39" s="6">
        <f t="shared" si="50"/>
        <v>-4.7108171419498392E-2</v>
      </c>
      <c r="AZ39" t="s">
        <v>52</v>
      </c>
      <c r="BA39">
        <v>1985</v>
      </c>
      <c r="BB39" s="3">
        <v>242114</v>
      </c>
      <c r="BC39" s="3">
        <v>36552</v>
      </c>
      <c r="BD39" s="3">
        <v>128032</v>
      </c>
      <c r="BE39" s="3">
        <v>124160</v>
      </c>
      <c r="BF39" s="3">
        <v>15449</v>
      </c>
      <c r="BG39" s="3">
        <v>58400</v>
      </c>
      <c r="BH39" s="3">
        <v>604708</v>
      </c>
      <c r="BI39" s="38">
        <f t="shared" si="56"/>
        <v>0.34507221483556932</v>
      </c>
      <c r="BJ39" s="16">
        <v>1147702</v>
      </c>
      <c r="BK39" s="18">
        <v>1752410</v>
      </c>
      <c r="BL39" s="7">
        <f t="shared" si="28"/>
        <v>0.34507221483556932</v>
      </c>
      <c r="BM39" s="1">
        <f t="shared" si="29"/>
        <v>0.13816059027282429</v>
      </c>
      <c r="BN39" s="2">
        <f t="shared" si="30"/>
        <v>8.4772786261765903E-2</v>
      </c>
      <c r="BO39" s="1">
        <f t="shared" si="31"/>
        <v>4.2727069866807139E-2</v>
      </c>
      <c r="BP39" s="8">
        <f t="shared" si="32"/>
        <v>0.34507221483556932</v>
      </c>
      <c r="BQ39" s="5">
        <f t="shared" si="33"/>
        <v>604708.00000000012</v>
      </c>
      <c r="BR39" s="26">
        <v>0.38</v>
      </c>
      <c r="BS39" s="6">
        <f t="shared" si="34"/>
        <v>0.52006458674721845</v>
      </c>
      <c r="BT39" s="6">
        <f t="shared" si="35"/>
        <v>0.31910202444544267</v>
      </c>
      <c r="BU39" s="6">
        <f t="shared" si="36"/>
        <v>0.16083338880733883</v>
      </c>
      <c r="BW39">
        <v>1985</v>
      </c>
      <c r="BX39" s="5">
        <v>2969439</v>
      </c>
      <c r="BY39" s="5">
        <v>1733316.5485748299</v>
      </c>
      <c r="BZ39" s="1">
        <v>0.36857466450709098</v>
      </c>
      <c r="CA39" s="5">
        <v>4702755.5485748304</v>
      </c>
      <c r="CC39" s="6">
        <f t="shared" si="51"/>
        <v>0.34507221483556932</v>
      </c>
      <c r="CE39" t="s">
        <v>55</v>
      </c>
      <c r="CF39" s="19">
        <v>1985</v>
      </c>
      <c r="CG39" s="12">
        <v>1839044</v>
      </c>
      <c r="CH39" s="5">
        <v>248099</v>
      </c>
      <c r="CI39" s="5">
        <v>23242</v>
      </c>
      <c r="CJ39" s="5">
        <v>2142</v>
      </c>
      <c r="CK39" s="5">
        <v>124098</v>
      </c>
      <c r="CL39">
        <v>0</v>
      </c>
      <c r="CM39" s="5">
        <v>57656</v>
      </c>
      <c r="CN39" s="14">
        <v>1383808</v>
      </c>
      <c r="CO39" s="5">
        <f t="shared" si="45"/>
        <v>1839045</v>
      </c>
      <c r="CP39" s="5"/>
      <c r="CQ39" s="41">
        <v>0.248</v>
      </c>
      <c r="CR39">
        <f t="shared" si="46"/>
        <v>1985</v>
      </c>
      <c r="CS39" s="6">
        <f t="shared" si="38"/>
        <v>4.9437060961761231E-2</v>
      </c>
      <c r="CT39" s="6">
        <f t="shared" si="47"/>
        <v>0.20572064873982968</v>
      </c>
      <c r="CW39">
        <v>1985</v>
      </c>
      <c r="CX39" s="5">
        <v>1147702</v>
      </c>
      <c r="CY39" s="5">
        <v>1010518</v>
      </c>
      <c r="CZ39" s="6">
        <f t="shared" si="52"/>
        <v>-0.17062049070391269</v>
      </c>
      <c r="DA39" s="6">
        <f t="shared" si="53"/>
        <v>-0.10321130716360322</v>
      </c>
    </row>
    <row r="40" spans="1:115" x14ac:dyDescent="0.35">
      <c r="A40" t="str">
        <f t="shared" si="39"/>
        <v>Grant</v>
      </c>
      <c r="B40">
        <f t="shared" si="6"/>
        <v>1986</v>
      </c>
      <c r="C40" s="36">
        <f t="shared" si="7"/>
        <v>833591</v>
      </c>
      <c r="D40" s="31">
        <f t="shared" si="8"/>
        <v>1322564</v>
      </c>
      <c r="E40" s="26">
        <f t="shared" si="9"/>
        <v>0.46158468136053471</v>
      </c>
      <c r="F40" s="26" t="str">
        <f t="shared" si="10"/>
        <v>Grant</v>
      </c>
      <c r="G40" s="26">
        <v>9640.2799176889421</v>
      </c>
      <c r="H40" s="5">
        <f t="shared" si="40"/>
        <v>997327</v>
      </c>
      <c r="I40" s="5">
        <f t="shared" si="11"/>
        <v>1430746.2</v>
      </c>
      <c r="J40" s="26">
        <f t="shared" si="12"/>
        <v>0.36087270519729242</v>
      </c>
      <c r="K40" s="26">
        <f t="shared" si="57"/>
        <v>-0.15417178116608821</v>
      </c>
      <c r="L40">
        <v>1986</v>
      </c>
      <c r="M40" s="5">
        <v>833591</v>
      </c>
      <c r="N40" s="31">
        <v>1322564</v>
      </c>
      <c r="P40" t="str">
        <f t="shared" si="41"/>
        <v>Grant</v>
      </c>
      <c r="Q40">
        <f t="shared" si="42"/>
        <v>1986</v>
      </c>
      <c r="R40" s="35">
        <f t="shared" si="43"/>
        <v>997327</v>
      </c>
      <c r="S40" s="39">
        <f t="shared" si="44"/>
        <v>1580868</v>
      </c>
      <c r="T40" s="57">
        <f t="shared" si="13"/>
        <v>0.36912696063175421</v>
      </c>
      <c r="U40" s="69">
        <f t="shared" si="14"/>
        <v>583541</v>
      </c>
      <c r="V40" s="5"/>
      <c r="W40" s="5">
        <f t="shared" si="37"/>
        <v>328398.3</v>
      </c>
      <c r="X40" s="5">
        <f t="shared" si="15"/>
        <v>956931</v>
      </c>
      <c r="Y40" s="5">
        <f t="shared" si="16"/>
        <v>145416.9</v>
      </c>
      <c r="Z40" s="5">
        <f t="shared" si="17"/>
        <v>0</v>
      </c>
      <c r="AA40" s="12">
        <f t="shared" si="18"/>
        <v>1430746.2</v>
      </c>
      <c r="AB40" s="29"/>
      <c r="AC40" s="29"/>
      <c r="AD40" s="29"/>
      <c r="AE40" s="29"/>
      <c r="AF40" s="12">
        <f t="shared" si="19"/>
        <v>1430746.2</v>
      </c>
      <c r="AG40" s="12">
        <f t="shared" si="20"/>
        <v>1986</v>
      </c>
      <c r="AH40" s="56">
        <f t="shared" si="21"/>
        <v>0.22952938823112023</v>
      </c>
      <c r="AI40" s="56">
        <f t="shared" si="22"/>
        <v>0.66883350799743524</v>
      </c>
      <c r="AJ40" s="56">
        <f t="shared" si="23"/>
        <v>0.10163710377144458</v>
      </c>
      <c r="AK40" s="56"/>
      <c r="AL40" s="56"/>
      <c r="AM40" s="68">
        <f t="shared" si="24"/>
        <v>1986</v>
      </c>
      <c r="AN40" s="60">
        <f t="shared" si="48"/>
        <v>1935290.1904542518</v>
      </c>
      <c r="AO40" s="56">
        <f t="shared" si="58"/>
        <v>0.5</v>
      </c>
      <c r="AP40">
        <f t="shared" si="26"/>
        <v>967645.09522712592</v>
      </c>
      <c r="AQ40" s="59">
        <f t="shared" si="59"/>
        <v>1413765.3359286152</v>
      </c>
      <c r="AR40" s="59">
        <f t="shared" si="27"/>
        <v>967645.09522712592</v>
      </c>
      <c r="AS40" t="s">
        <v>52</v>
      </c>
      <c r="AT40">
        <v>1986</v>
      </c>
      <c r="AU40" s="14">
        <v>833591</v>
      </c>
      <c r="AV40" s="5">
        <f t="shared" si="54"/>
        <v>622194</v>
      </c>
      <c r="AW40" s="6">
        <f t="shared" si="55"/>
        <v>0.42739415504349887</v>
      </c>
      <c r="AX40" s="12">
        <f t="shared" si="49"/>
        <v>1455785</v>
      </c>
      <c r="AY40" s="6">
        <f t="shared" si="50"/>
        <v>-7.9122988130571309E-2</v>
      </c>
      <c r="AZ40" t="s">
        <v>52</v>
      </c>
      <c r="BA40">
        <v>1986</v>
      </c>
      <c r="BB40" s="3">
        <v>342548</v>
      </c>
      <c r="BC40" s="3">
        <v>61331</v>
      </c>
      <c r="BD40" s="3">
        <v>17228</v>
      </c>
      <c r="BE40" s="3">
        <v>68213</v>
      </c>
      <c r="BF40" s="3">
        <v>17213</v>
      </c>
      <c r="BG40" s="3">
        <v>115661</v>
      </c>
      <c r="BH40" s="3">
        <v>622194</v>
      </c>
      <c r="BI40" s="38">
        <f t="shared" si="56"/>
        <v>0.42739415504349887</v>
      </c>
      <c r="BJ40" s="16">
        <v>833591</v>
      </c>
      <c r="BK40" s="18">
        <v>1455785</v>
      </c>
      <c r="BL40" s="7">
        <f t="shared" si="28"/>
        <v>0.42739415504349887</v>
      </c>
      <c r="BM40" s="1">
        <f t="shared" si="29"/>
        <v>0.23530122923371238</v>
      </c>
      <c r="BN40" s="2">
        <f t="shared" si="30"/>
        <v>1.5475590552595718E-2</v>
      </c>
      <c r="BO40" s="1">
        <f t="shared" si="31"/>
        <v>0.10721304120519543</v>
      </c>
      <c r="BP40" s="8">
        <f t="shared" si="32"/>
        <v>0.42739415504349887</v>
      </c>
      <c r="BQ40" s="5">
        <f t="shared" si="33"/>
        <v>622194</v>
      </c>
      <c r="BR40" s="26">
        <v>0.5</v>
      </c>
      <c r="BS40" s="6">
        <f t="shared" si="34"/>
        <v>0.65728461856995712</v>
      </c>
      <c r="BT40" s="6">
        <f t="shared" si="35"/>
        <v>4.3229130874639525E-2</v>
      </c>
      <c r="BU40" s="6">
        <f t="shared" si="36"/>
        <v>0.29948625055540329</v>
      </c>
      <c r="BW40">
        <v>1986</v>
      </c>
      <c r="BX40" s="5">
        <v>2321907</v>
      </c>
      <c r="BY40" s="5">
        <v>1888703.2457457201</v>
      </c>
      <c r="BZ40" s="1">
        <v>0.44855807959285898</v>
      </c>
      <c r="CA40" s="5">
        <v>4210610.2457457203</v>
      </c>
      <c r="CC40" s="6">
        <f t="shared" si="51"/>
        <v>0.42739415504349887</v>
      </c>
      <c r="CE40" t="s">
        <v>55</v>
      </c>
      <c r="CF40" s="19">
        <v>1986</v>
      </c>
      <c r="CG40" s="12">
        <v>1580868</v>
      </c>
      <c r="CH40" s="5">
        <v>346413</v>
      </c>
      <c r="CI40" s="5">
        <v>54696</v>
      </c>
      <c r="CJ40" s="5">
        <v>1188</v>
      </c>
      <c r="CK40" s="5">
        <v>67221</v>
      </c>
      <c r="CL40">
        <v>0</v>
      </c>
      <c r="CM40" s="5">
        <v>114023</v>
      </c>
      <c r="CN40" s="14">
        <v>997327</v>
      </c>
      <c r="CO40" s="5">
        <f t="shared" si="45"/>
        <v>1580868</v>
      </c>
      <c r="CP40" s="5"/>
      <c r="CQ40" s="41">
        <v>0.36899999999999999</v>
      </c>
      <c r="CR40">
        <f t="shared" si="46"/>
        <v>1986</v>
      </c>
      <c r="CS40" s="6">
        <f t="shared" si="38"/>
        <v>8.5921341406869828E-2</v>
      </c>
      <c r="CT40" s="6">
        <f t="shared" si="47"/>
        <v>0.19642246617345915</v>
      </c>
      <c r="CW40">
        <v>1986</v>
      </c>
      <c r="CX40" s="5">
        <v>833591</v>
      </c>
      <c r="CY40" s="5">
        <v>1322564</v>
      </c>
      <c r="CZ40" s="6">
        <f t="shared" si="52"/>
        <v>-0.1641748393455707</v>
      </c>
      <c r="DA40" s="6">
        <f t="shared" si="53"/>
        <v>-7.5612432170010277E-2</v>
      </c>
    </row>
    <row r="41" spans="1:115" x14ac:dyDescent="0.35">
      <c r="A41" t="str">
        <f t="shared" si="39"/>
        <v>Grant</v>
      </c>
      <c r="B41">
        <f t="shared" si="6"/>
        <v>1987</v>
      </c>
      <c r="C41" s="36">
        <f t="shared" si="7"/>
        <v>430000</v>
      </c>
      <c r="D41" s="31">
        <f t="shared" si="8"/>
        <v>1116839</v>
      </c>
      <c r="E41" s="26">
        <f t="shared" si="9"/>
        <v>0.95447244391420738</v>
      </c>
      <c r="F41" s="26" t="str">
        <f t="shared" si="10"/>
        <v>Grant</v>
      </c>
      <c r="G41" s="26">
        <v>9955.4729728726197</v>
      </c>
      <c r="H41" s="5">
        <f t="shared" si="40"/>
        <v>363671</v>
      </c>
      <c r="I41" s="5">
        <f t="shared" si="11"/>
        <v>1506538.7</v>
      </c>
      <c r="J41" s="26">
        <f t="shared" si="12"/>
        <v>1.4213204341551198</v>
      </c>
      <c r="K41" s="26">
        <f t="shared" si="57"/>
        <v>0.51616302031232053</v>
      </c>
      <c r="L41">
        <v>1987</v>
      </c>
      <c r="M41" s="5">
        <v>430000</v>
      </c>
      <c r="N41" s="31">
        <v>1116839</v>
      </c>
      <c r="P41" t="str">
        <f t="shared" si="41"/>
        <v>Grant</v>
      </c>
      <c r="Q41">
        <f t="shared" si="42"/>
        <v>1987</v>
      </c>
      <c r="R41" s="35">
        <f t="shared" si="43"/>
        <v>363671</v>
      </c>
      <c r="S41" s="39">
        <f t="shared" si="44"/>
        <v>481076</v>
      </c>
      <c r="T41" s="57">
        <f t="shared" si="13"/>
        <v>0.24404667869525809</v>
      </c>
      <c r="U41" s="69">
        <f t="shared" si="14"/>
        <v>117405</v>
      </c>
      <c r="V41" s="5"/>
      <c r="W41" s="5">
        <f>$S44*W$2</f>
        <v>478465.5</v>
      </c>
      <c r="X41" s="5">
        <f t="shared" si="15"/>
        <v>872501.4</v>
      </c>
      <c r="Y41" s="5">
        <f>$S46*Y$2</f>
        <v>155571.80000000002</v>
      </c>
      <c r="Z41" s="5">
        <f t="shared" si="17"/>
        <v>0</v>
      </c>
      <c r="AA41" s="12">
        <f t="shared" si="18"/>
        <v>1506538.7</v>
      </c>
      <c r="AB41" s="29"/>
      <c r="AC41" s="29"/>
      <c r="AD41" s="29"/>
      <c r="AE41" s="29"/>
      <c r="AF41" s="12">
        <f t="shared" si="19"/>
        <v>1506538.7</v>
      </c>
      <c r="AG41" s="12">
        <f t="shared" si="20"/>
        <v>1987</v>
      </c>
      <c r="AH41" s="56">
        <f t="shared" si="21"/>
        <v>0.31759257163456872</v>
      </c>
      <c r="AI41" s="56">
        <f t="shared" si="22"/>
        <v>0.57914303827707847</v>
      </c>
      <c r="AJ41" s="56">
        <f t="shared" si="23"/>
        <v>0.10326439008835288</v>
      </c>
      <c r="AK41" s="56"/>
      <c r="AL41" s="56"/>
      <c r="AM41" s="68">
        <f t="shared" si="24"/>
        <v>1987</v>
      </c>
      <c r="AN41" s="60">
        <f t="shared" si="48"/>
        <v>447329.91037940211</v>
      </c>
      <c r="AO41" s="56">
        <f t="shared" si="58"/>
        <v>0.5</v>
      </c>
      <c r="AP41">
        <f t="shared" si="26"/>
        <v>223664.95518970105</v>
      </c>
      <c r="AQ41" s="59">
        <f t="shared" si="59"/>
        <v>1009958.913116236</v>
      </c>
      <c r="AR41" s="59">
        <f t="shared" si="27"/>
        <v>223664.95518970105</v>
      </c>
      <c r="AS41" t="s">
        <v>52</v>
      </c>
      <c r="AT41">
        <v>1987</v>
      </c>
      <c r="AU41" s="14">
        <v>430000</v>
      </c>
      <c r="AV41" s="5">
        <f t="shared" si="54"/>
        <v>136674</v>
      </c>
      <c r="AW41" s="6">
        <f t="shared" si="55"/>
        <v>0.24118629053035784</v>
      </c>
      <c r="AX41" s="12">
        <f t="shared" si="49"/>
        <v>566674</v>
      </c>
      <c r="AY41" s="6">
        <f t="shared" si="50"/>
        <v>0.17793030623020065</v>
      </c>
      <c r="AZ41" t="s">
        <v>52</v>
      </c>
      <c r="BA41">
        <v>1987</v>
      </c>
      <c r="BB41" s="3">
        <v>17868</v>
      </c>
      <c r="BC41" s="3">
        <v>26729</v>
      </c>
      <c r="BD41" s="3">
        <v>22999</v>
      </c>
      <c r="BE41" s="3">
        <v>18649</v>
      </c>
      <c r="BF41" s="3">
        <v>14081</v>
      </c>
      <c r="BG41" s="3">
        <v>36348</v>
      </c>
      <c r="BH41" s="3">
        <v>136674</v>
      </c>
      <c r="BI41" s="38">
        <f t="shared" si="56"/>
        <v>0.24118629053035784</v>
      </c>
      <c r="BJ41" s="16">
        <v>430000</v>
      </c>
      <c r="BK41" s="18">
        <v>566674</v>
      </c>
      <c r="BL41" s="7">
        <f t="shared" si="28"/>
        <v>0.24118629053035784</v>
      </c>
      <c r="BM41" s="1">
        <f t="shared" si="29"/>
        <v>3.1531356653031549E-2</v>
      </c>
      <c r="BN41" s="2">
        <f t="shared" si="30"/>
        <v>4.1907340663185168E-2</v>
      </c>
      <c r="BO41" s="1">
        <f t="shared" si="31"/>
        <v>7.1030199755337822E-2</v>
      </c>
      <c r="BP41" s="8">
        <f t="shared" si="32"/>
        <v>0.24118629053035784</v>
      </c>
      <c r="BQ41" s="5">
        <f t="shared" si="33"/>
        <v>136674</v>
      </c>
      <c r="BR41" s="26">
        <v>0.52</v>
      </c>
      <c r="BS41" s="6">
        <f t="shared" si="34"/>
        <v>0.21825705942376142</v>
      </c>
      <c r="BT41" s="6">
        <f t="shared" si="35"/>
        <v>0.29007863638931725</v>
      </c>
      <c r="BU41" s="6">
        <f t="shared" si="36"/>
        <v>0.49166430418692142</v>
      </c>
      <c r="BW41">
        <v>1987</v>
      </c>
      <c r="BX41" s="5">
        <v>1317145</v>
      </c>
      <c r="BY41" s="5">
        <v>638770.31534722797</v>
      </c>
      <c r="BZ41" s="1">
        <v>0.32658383025843302</v>
      </c>
      <c r="CA41" s="5">
        <v>1955915.3153472301</v>
      </c>
      <c r="CC41" s="6">
        <f t="shared" si="51"/>
        <v>0.24118629053035784</v>
      </c>
      <c r="CE41" t="s">
        <v>55</v>
      </c>
      <c r="CF41" s="19">
        <v>1987</v>
      </c>
      <c r="CG41" s="12">
        <v>481076</v>
      </c>
      <c r="CH41" s="5">
        <v>22167</v>
      </c>
      <c r="CI41" s="5">
        <v>25236</v>
      </c>
      <c r="CJ41" s="5">
        <v>10167</v>
      </c>
      <c r="CK41" s="5">
        <v>21984</v>
      </c>
      <c r="CL41">
        <v>0</v>
      </c>
      <c r="CM41" s="5">
        <v>37852</v>
      </c>
      <c r="CN41" s="14">
        <v>363671</v>
      </c>
      <c r="CO41" s="5">
        <f t="shared" si="45"/>
        <v>481077</v>
      </c>
      <c r="CP41" s="5"/>
      <c r="CQ41" s="41">
        <v>0.24399999999999999</v>
      </c>
      <c r="CR41">
        <f t="shared" si="46"/>
        <v>1987</v>
      </c>
      <c r="CS41" s="6">
        <f t="shared" si="38"/>
        <v>-0.15105333930972659</v>
      </c>
      <c r="CT41" s="6">
        <f t="shared" si="47"/>
        <v>-0.15425348837209302</v>
      </c>
      <c r="CW41">
        <v>1987</v>
      </c>
      <c r="CX41" s="5">
        <v>430000</v>
      </c>
      <c r="CY41" s="5">
        <v>1116839</v>
      </c>
      <c r="CZ41" s="6">
        <f t="shared" si="52"/>
        <v>0.18238737760228338</v>
      </c>
      <c r="DA41" s="6">
        <f t="shared" si="53"/>
        <v>-0.25867221333245538</v>
      </c>
    </row>
    <row r="42" spans="1:115" s="47" customFormat="1" x14ac:dyDescent="0.35">
      <c r="A42" s="47" t="str">
        <f t="shared" si="39"/>
        <v>Grant</v>
      </c>
      <c r="B42" s="47">
        <f t="shared" si="6"/>
        <v>1988</v>
      </c>
      <c r="C42" s="48">
        <f t="shared" si="7"/>
        <v>488070</v>
      </c>
      <c r="D42" s="48">
        <f t="shared" si="8"/>
        <v>406805</v>
      </c>
      <c r="E42" s="49">
        <f t="shared" si="9"/>
        <v>-0.18212488303820401</v>
      </c>
      <c r="F42" s="49" t="str">
        <f t="shared" si="10"/>
        <v>Grant</v>
      </c>
      <c r="G42" s="49">
        <v>10295.71977902033</v>
      </c>
      <c r="H42" s="48">
        <f t="shared" si="40"/>
        <v>528467</v>
      </c>
      <c r="I42" s="48">
        <f t="shared" si="11"/>
        <v>1517347.8</v>
      </c>
      <c r="J42" s="49">
        <f t="shared" si="12"/>
        <v>1.0547388588728643</v>
      </c>
      <c r="K42" s="49">
        <f t="shared" si="57"/>
        <v>0.25103878149795666</v>
      </c>
      <c r="L42" s="47">
        <v>1988</v>
      </c>
      <c r="M42" s="48">
        <v>488070</v>
      </c>
      <c r="N42" s="48">
        <v>406805</v>
      </c>
      <c r="P42" s="47" t="str">
        <f t="shared" si="41"/>
        <v>Grant</v>
      </c>
      <c r="Q42" s="47">
        <f t="shared" si="42"/>
        <v>1988</v>
      </c>
      <c r="R42" s="48">
        <f t="shared" si="43"/>
        <v>528467</v>
      </c>
      <c r="S42" s="48">
        <f>CG42</f>
        <v>1035111</v>
      </c>
      <c r="T42" s="57">
        <f t="shared" si="13"/>
        <v>0.48945861844768335</v>
      </c>
      <c r="U42" s="69">
        <f t="shared" si="14"/>
        <v>506644</v>
      </c>
      <c r="V42" s="48"/>
      <c r="W42" s="48">
        <f>$S45*W$2</f>
        <v>436250.7</v>
      </c>
      <c r="X42" s="48">
        <f>$S46*X$2</f>
        <v>933430.79999999993</v>
      </c>
      <c r="Y42" s="48">
        <f>$S47*Y$2</f>
        <v>147666.30000000002</v>
      </c>
      <c r="Z42" s="48">
        <f>$S48*Z$2</f>
        <v>0</v>
      </c>
      <c r="AA42" s="48">
        <f t="shared" si="18"/>
        <v>1517347.8</v>
      </c>
      <c r="AB42" s="48">
        <f>$S45*$W$2</f>
        <v>436250.7</v>
      </c>
      <c r="AC42" s="48">
        <f>$S46*$X$2</f>
        <v>933430.79999999993</v>
      </c>
      <c r="AD42" s="48">
        <f>$S47*$Y$2</f>
        <v>147666.30000000002</v>
      </c>
      <c r="AE42" s="48">
        <f>$S48*$Z$2</f>
        <v>0</v>
      </c>
      <c r="AF42" s="48">
        <f>SUM(AB42:AE42)</f>
        <v>1517347.8</v>
      </c>
      <c r="AG42" s="12">
        <f t="shared" si="20"/>
        <v>1988</v>
      </c>
      <c r="AH42" s="56">
        <f t="shared" si="21"/>
        <v>0.28750870433265202</v>
      </c>
      <c r="AI42" s="56">
        <f t="shared" si="22"/>
        <v>0.61517260577963728</v>
      </c>
      <c r="AJ42" s="56">
        <f t="shared" si="23"/>
        <v>9.7318689887710655E-2</v>
      </c>
      <c r="AK42" s="56"/>
      <c r="AL42" s="56"/>
      <c r="AM42" s="68">
        <f t="shared" si="24"/>
        <v>1988</v>
      </c>
      <c r="AN42" s="60">
        <f t="shared" si="48"/>
        <v>920765.9880505848</v>
      </c>
      <c r="AO42" s="56">
        <f t="shared" si="58"/>
        <v>0.5</v>
      </c>
      <c r="AP42">
        <f t="shared" si="26"/>
        <v>460382.9940252924</v>
      </c>
      <c r="AQ42" s="59">
        <f t="shared" si="59"/>
        <v>1378448.3982147302</v>
      </c>
      <c r="AR42" s="59">
        <f t="shared" si="27"/>
        <v>460382.9940252924</v>
      </c>
      <c r="AS42" s="47" t="s">
        <v>52</v>
      </c>
      <c r="AT42" s="47">
        <v>1988</v>
      </c>
      <c r="AU42" s="48">
        <v>488070</v>
      </c>
      <c r="AV42" s="48">
        <f t="shared" si="54"/>
        <v>685238</v>
      </c>
      <c r="AW42" s="50">
        <f t="shared" si="55"/>
        <v>0.58402226866261886</v>
      </c>
      <c r="AX42" s="48">
        <f t="shared" si="49"/>
        <v>1173308</v>
      </c>
      <c r="AY42" s="50">
        <f>(AX42-CG42)/CG42</f>
        <v>0.13350935310319376</v>
      </c>
      <c r="AZ42" s="47" t="s">
        <v>52</v>
      </c>
      <c r="BA42" s="47">
        <v>1988</v>
      </c>
      <c r="BB42" s="51">
        <v>250953</v>
      </c>
      <c r="BC42" s="51">
        <v>4743</v>
      </c>
      <c r="BD42" s="51">
        <v>196360</v>
      </c>
      <c r="BE42" s="51">
        <v>96300</v>
      </c>
      <c r="BF42" s="51">
        <v>30719</v>
      </c>
      <c r="BG42" s="51">
        <v>106162</v>
      </c>
      <c r="BH42" s="51">
        <v>685238</v>
      </c>
      <c r="BI42" s="52">
        <f t="shared" si="56"/>
        <v>0.58402226866261886</v>
      </c>
      <c r="BJ42" s="51">
        <v>488070</v>
      </c>
      <c r="BK42" s="51">
        <v>1173308</v>
      </c>
      <c r="BL42" s="53">
        <f t="shared" si="28"/>
        <v>0.58402226866261886</v>
      </c>
      <c r="BM42" s="52">
        <f t="shared" si="29"/>
        <v>0.2138850156992026</v>
      </c>
      <c r="BN42" s="54">
        <f t="shared" si="30"/>
        <v>0.21288983092193353</v>
      </c>
      <c r="BO42" s="52">
        <f t="shared" si="31"/>
        <v>0.1526904423567044</v>
      </c>
      <c r="BP42" s="55">
        <f t="shared" si="32"/>
        <v>0.58402226866261886</v>
      </c>
      <c r="BQ42" s="48">
        <f t="shared" si="33"/>
        <v>685238.00000000012</v>
      </c>
      <c r="BR42" s="49">
        <v>0.56000000000000005</v>
      </c>
      <c r="BS42" s="50">
        <f t="shared" si="34"/>
        <v>0.36910755444297511</v>
      </c>
      <c r="BT42" s="50">
        <f t="shared" si="35"/>
        <v>0.36739013530467862</v>
      </c>
      <c r="BU42" s="50">
        <f t="shared" si="36"/>
        <v>0.26350231025234622</v>
      </c>
      <c r="BW42" s="47">
        <v>1988</v>
      </c>
      <c r="BX42" s="48">
        <v>1634560</v>
      </c>
      <c r="BY42" s="48">
        <v>1788874.08846441</v>
      </c>
      <c r="BZ42" s="52">
        <v>0.52253790849725801</v>
      </c>
      <c r="CA42" s="48">
        <v>3423434.08846441</v>
      </c>
      <c r="CC42" s="50">
        <f t="shared" si="51"/>
        <v>0.58402226866261886</v>
      </c>
      <c r="CE42" s="47" t="s">
        <v>55</v>
      </c>
      <c r="CF42" s="47">
        <v>1988</v>
      </c>
      <c r="CG42" s="48">
        <v>1035111</v>
      </c>
      <c r="CH42" s="48">
        <v>296424</v>
      </c>
      <c r="CI42" s="48">
        <v>3964</v>
      </c>
      <c r="CJ42" s="48">
        <v>1537</v>
      </c>
      <c r="CK42" s="48">
        <v>96892</v>
      </c>
      <c r="CL42" s="47">
        <v>0</v>
      </c>
      <c r="CM42" s="48">
        <v>107827</v>
      </c>
      <c r="CN42" s="48">
        <v>528467</v>
      </c>
      <c r="CO42" s="48">
        <f t="shared" si="45"/>
        <v>1035111</v>
      </c>
      <c r="CP42" s="48"/>
      <c r="CQ42" s="50">
        <v>0.48899999999999999</v>
      </c>
      <c r="CR42" s="47">
        <f t="shared" si="46"/>
        <v>1988</v>
      </c>
      <c r="CS42" s="50">
        <f t="shared" si="38"/>
        <v>-0.11778407715621132</v>
      </c>
      <c r="CT42" s="50">
        <f t="shared" si="47"/>
        <v>8.2768865121806298E-2</v>
      </c>
      <c r="CW42" s="47">
        <v>1988</v>
      </c>
      <c r="CX42" s="48">
        <v>488070</v>
      </c>
      <c r="CY42" s="48">
        <v>406805</v>
      </c>
      <c r="CZ42" s="50">
        <f t="shared" si="52"/>
        <v>-7.6441859188937061E-2</v>
      </c>
      <c r="DA42" s="50">
        <f t="shared" si="53"/>
        <v>-0.73189732769243809</v>
      </c>
    </row>
    <row r="43" spans="1:115" x14ac:dyDescent="0.35">
      <c r="A43" t="str">
        <f t="shared" si="39"/>
        <v>Grant</v>
      </c>
      <c r="B43">
        <f t="shared" si="6"/>
        <v>1989</v>
      </c>
      <c r="C43" s="36">
        <f>M43</f>
        <v>523657</v>
      </c>
      <c r="D43" s="29">
        <f t="shared" ref="D43" si="60">AA43</f>
        <v>1582242</v>
      </c>
      <c r="E43" s="26">
        <f t="shared" si="9"/>
        <v>1.105761217714377</v>
      </c>
      <c r="F43" s="26" t="str">
        <f t="shared" si="10"/>
        <v>Grant</v>
      </c>
      <c r="G43" s="26">
        <v>10663.011783681579</v>
      </c>
      <c r="H43" s="5">
        <f t="shared" si="40"/>
        <v>739647</v>
      </c>
      <c r="I43" s="5">
        <f t="shared" si="11"/>
        <v>1582242</v>
      </c>
      <c r="J43" s="26">
        <f t="shared" si="12"/>
        <v>0.76042506219402317</v>
      </c>
      <c r="K43" s="26">
        <f t="shared" si="57"/>
        <v>8.673882201958949E-2</v>
      </c>
      <c r="L43">
        <v>1989</v>
      </c>
      <c r="M43" s="5">
        <v>523657</v>
      </c>
      <c r="N43" s="5" t="e">
        <f>NA()</f>
        <v>#N/A</v>
      </c>
      <c r="P43" t="str">
        <f t="shared" si="41"/>
        <v>Grant</v>
      </c>
      <c r="Q43">
        <f t="shared" si="42"/>
        <v>1989</v>
      </c>
      <c r="R43" s="35">
        <f t="shared" si="43"/>
        <v>739647</v>
      </c>
      <c r="S43" s="39">
        <f t="shared" ref="S43:S49" si="61">CG43</f>
        <v>1094661</v>
      </c>
      <c r="T43" s="57">
        <f t="shared" si="13"/>
        <v>0.32431410272221262</v>
      </c>
      <c r="U43" s="69">
        <f t="shared" si="14"/>
        <v>355014</v>
      </c>
      <c r="V43" s="5"/>
      <c r="W43" s="5">
        <f t="shared" ref="W43:W47" si="62">$S46*W$2</f>
        <v>466715.39999999997</v>
      </c>
      <c r="X43" s="5">
        <f t="shared" ref="X43:X47" si="63">$S47*X$2</f>
        <v>885997.79999999993</v>
      </c>
      <c r="Y43" s="5">
        <f t="shared" ref="Y43:Y48" si="64">$S48*Y$2</f>
        <v>229528.80000000002</v>
      </c>
      <c r="Z43" s="5">
        <f t="shared" ref="Z43:Z48" si="65">$S49*Z$2</f>
        <v>0</v>
      </c>
      <c r="AA43" s="29">
        <f t="shared" si="18"/>
        <v>1582242</v>
      </c>
      <c r="AB43" s="5">
        <f>$S46*$W$2</f>
        <v>466715.39999999997</v>
      </c>
      <c r="AC43" s="5">
        <f>$S47*$X$2</f>
        <v>885997.79999999993</v>
      </c>
      <c r="AD43" s="5">
        <f>$S48*$Y$2</f>
        <v>229528.80000000002</v>
      </c>
      <c r="AE43" s="5">
        <f>$S49*$Z$2</f>
        <v>0</v>
      </c>
      <c r="AF43" s="12">
        <f t="shared" ref="AF43" si="66">SUM(AB43:AE43)</f>
        <v>1582242</v>
      </c>
      <c r="AG43" s="12">
        <f t="shared" si="20"/>
        <v>1989</v>
      </c>
      <c r="AH43" s="56">
        <f t="shared" si="21"/>
        <v>0.29497093364984622</v>
      </c>
      <c r="AI43" s="56">
        <f t="shared" si="22"/>
        <v>0.55996352011891981</v>
      </c>
      <c r="AJ43" s="56">
        <f t="shared" si="23"/>
        <v>0.14506554623123391</v>
      </c>
      <c r="AK43" s="56"/>
      <c r="AL43" s="56"/>
      <c r="AM43" s="68">
        <f t="shared" si="24"/>
        <v>1989</v>
      </c>
      <c r="AN43" s="60">
        <f t="shared" si="48"/>
        <v>1031237.1736118485</v>
      </c>
      <c r="AO43" s="56">
        <f t="shared" si="58"/>
        <v>0.5</v>
      </c>
      <c r="AP43">
        <f t="shared" si="26"/>
        <v>515618.58680592425</v>
      </c>
      <c r="AQ43" s="59">
        <f t="shared" si="59"/>
        <v>1266125.0800396826</v>
      </c>
      <c r="AR43" s="59">
        <f t="shared" si="27"/>
        <v>515618.58680592425</v>
      </c>
      <c r="AT43">
        <v>1989</v>
      </c>
      <c r="AU43" s="14"/>
      <c r="AV43" s="5"/>
      <c r="AW43" s="6"/>
      <c r="AX43" s="12"/>
      <c r="AY43" s="6"/>
      <c r="AZ43" t="s">
        <v>52</v>
      </c>
      <c r="BA43">
        <v>1989</v>
      </c>
      <c r="BB43" s="3">
        <v>256398</v>
      </c>
      <c r="BC43" s="3">
        <v>8017</v>
      </c>
      <c r="BD43" s="3">
        <v>25786</v>
      </c>
      <c r="BE43" s="3">
        <v>55544</v>
      </c>
      <c r="BF43" s="3">
        <v>16769</v>
      </c>
      <c r="BG43" s="3">
        <v>37156</v>
      </c>
      <c r="BH43" s="3">
        <v>399670</v>
      </c>
      <c r="BI43" s="38">
        <f t="shared" si="56"/>
        <v>0.43093335288510887</v>
      </c>
      <c r="BJ43" s="16">
        <v>527782</v>
      </c>
      <c r="BK43" s="18">
        <v>927452</v>
      </c>
      <c r="BL43" s="7">
        <f t="shared" si="28"/>
        <v>0.43093335288510887</v>
      </c>
      <c r="BM43" s="1">
        <f t="shared" si="29"/>
        <v>0.27645419924696912</v>
      </c>
      <c r="BN43" s="2">
        <f t="shared" si="30"/>
        <v>3.842611771928936E-2</v>
      </c>
      <c r="BO43" s="1">
        <f t="shared" si="31"/>
        <v>5.9118630260350455E-2</v>
      </c>
      <c r="BP43" s="8">
        <f t="shared" si="32"/>
        <v>0.43093335288510887</v>
      </c>
      <c r="BQ43" s="5">
        <f t="shared" si="33"/>
        <v>399670.00000000006</v>
      </c>
      <c r="BR43" s="26">
        <v>0.56000000000000005</v>
      </c>
      <c r="BS43" s="6">
        <f t="shared" si="34"/>
        <v>0.73918443165954495</v>
      </c>
      <c r="BT43" s="6">
        <f t="shared" si="35"/>
        <v>0.10274391947955581</v>
      </c>
      <c r="BU43" s="6">
        <f t="shared" si="36"/>
        <v>0.15807164886089906</v>
      </c>
      <c r="BW43">
        <v>1989</v>
      </c>
      <c r="BX43" s="5">
        <v>1029563</v>
      </c>
      <c r="BY43" s="5">
        <v>822368.73517123703</v>
      </c>
      <c r="BZ43" s="1">
        <v>0.44405996158125</v>
      </c>
      <c r="CA43" s="5">
        <v>1851931.7351712401</v>
      </c>
      <c r="CC43" s="6">
        <f t="shared" si="51"/>
        <v>0.43093335288510887</v>
      </c>
      <c r="CE43" t="s">
        <v>55</v>
      </c>
      <c r="CF43" s="19">
        <v>1989</v>
      </c>
      <c r="CG43" s="12">
        <v>1094661</v>
      </c>
      <c r="CH43" s="5">
        <v>244269</v>
      </c>
      <c r="CI43" s="5">
        <v>6323</v>
      </c>
      <c r="CJ43" s="5">
        <v>9749</v>
      </c>
      <c r="CK43" s="5">
        <v>55358</v>
      </c>
      <c r="CL43">
        <v>0</v>
      </c>
      <c r="CM43" s="5">
        <v>39315</v>
      </c>
      <c r="CN43" s="14">
        <v>739647</v>
      </c>
      <c r="CO43" s="5">
        <f t="shared" si="45"/>
        <v>1094661</v>
      </c>
      <c r="CP43" s="5"/>
      <c r="CQ43" s="41">
        <v>0.32400000000000001</v>
      </c>
      <c r="CR43">
        <f t="shared" si="46"/>
        <v>1989</v>
      </c>
      <c r="CS43" s="6">
        <f t="shared" si="38"/>
        <v>0.18028857558126998</v>
      </c>
      <c r="CT43" s="6">
        <f t="shared" si="47"/>
        <v>0.40142520965095435</v>
      </c>
      <c r="CW43">
        <v>1989</v>
      </c>
      <c r="CX43" s="5"/>
      <c r="CY43" s="5"/>
    </row>
    <row r="44" spans="1:115" x14ac:dyDescent="0.35">
      <c r="A44" t="str">
        <f t="shared" si="39"/>
        <v>Grant</v>
      </c>
      <c r="B44">
        <f t="shared" si="6"/>
        <v>1990</v>
      </c>
      <c r="C44" s="36">
        <f t="shared" si="7"/>
        <v>736039</v>
      </c>
      <c r="D44" s="29">
        <f>AA44</f>
        <v>2004615.8</v>
      </c>
      <c r="E44" s="26">
        <f t="shared" si="9"/>
        <v>1.0019245939759625</v>
      </c>
      <c r="F44" s="26" t="str">
        <f t="shared" si="10"/>
        <v>Grant</v>
      </c>
      <c r="G44" s="26">
        <v>11059.498728600949</v>
      </c>
      <c r="H44" s="5">
        <f t="shared" si="40"/>
        <v>861972</v>
      </c>
      <c r="I44" s="5">
        <f t="shared" si="11"/>
        <v>2004615.8</v>
      </c>
      <c r="J44" s="26">
        <f t="shared" si="12"/>
        <v>0.84398491289388511</v>
      </c>
      <c r="K44" s="26">
        <f t="shared" si="57"/>
        <v>0.24560856302889367</v>
      </c>
      <c r="L44">
        <v>1990</v>
      </c>
      <c r="M44" s="5">
        <v>736039</v>
      </c>
      <c r="N44" s="5" t="e">
        <f>NA()</f>
        <v>#N/A</v>
      </c>
      <c r="P44" t="str">
        <f t="shared" si="41"/>
        <v>Grant</v>
      </c>
      <c r="Q44">
        <f t="shared" si="42"/>
        <v>1990</v>
      </c>
      <c r="R44" s="35">
        <f t="shared" si="43"/>
        <v>861972</v>
      </c>
      <c r="S44" s="39">
        <f t="shared" si="61"/>
        <v>1594885</v>
      </c>
      <c r="T44" s="57">
        <f t="shared" si="13"/>
        <v>0.45953971602968235</v>
      </c>
      <c r="U44" s="69">
        <f t="shared" si="14"/>
        <v>732913</v>
      </c>
      <c r="V44" s="5"/>
      <c r="W44" s="5">
        <f t="shared" si="62"/>
        <v>442998.89999999997</v>
      </c>
      <c r="X44" s="5">
        <f t="shared" si="63"/>
        <v>1377172.8</v>
      </c>
      <c r="Y44" s="5">
        <f t="shared" si="64"/>
        <v>184444.1</v>
      </c>
      <c r="Z44" s="5">
        <f>$S50*Z$2</f>
        <v>0</v>
      </c>
      <c r="AA44" s="29">
        <f>SUM(W44:Z44)</f>
        <v>2004615.8</v>
      </c>
      <c r="AB44" s="5">
        <f>$S47*$W$2</f>
        <v>442998.89999999997</v>
      </c>
      <c r="AC44" s="5">
        <f>$S48*$X$2</f>
        <v>1377172.8</v>
      </c>
      <c r="AD44" s="5">
        <f>$S49*$Y$2</f>
        <v>184444.1</v>
      </c>
      <c r="AE44" s="32">
        <f>$V50*$Z$2</f>
        <v>0</v>
      </c>
      <c r="AF44" s="29">
        <f>SUM(AB44:AE44)</f>
        <v>2004615.8</v>
      </c>
      <c r="AG44" s="12">
        <f t="shared" si="20"/>
        <v>1990</v>
      </c>
      <c r="AH44" s="56">
        <f t="shared" si="21"/>
        <v>0.22098942849796951</v>
      </c>
      <c r="AI44" s="56">
        <f t="shared" si="22"/>
        <v>0.68700087069053328</v>
      </c>
      <c r="AJ44" s="56">
        <f t="shared" si="23"/>
        <v>9.2009700811497147E-2</v>
      </c>
      <c r="AK44" s="56"/>
      <c r="AL44" s="56"/>
      <c r="AM44" s="68">
        <f t="shared" si="24"/>
        <v>1990</v>
      </c>
      <c r="AN44" s="60">
        <f t="shared" si="48"/>
        <v>1414759.4783326122</v>
      </c>
      <c r="AO44" s="56">
        <f t="shared" si="58"/>
        <v>0.5</v>
      </c>
      <c r="AP44">
        <f t="shared" si="26"/>
        <v>707379.7391663061</v>
      </c>
      <c r="AQ44" s="59">
        <f t="shared" si="59"/>
        <v>1809358.9864304212</v>
      </c>
      <c r="AR44" s="59">
        <f t="shared" si="27"/>
        <v>707379.7391663061</v>
      </c>
      <c r="AT44">
        <v>1990</v>
      </c>
      <c r="AU44" s="14"/>
      <c r="AV44" s="5"/>
      <c r="AW44" s="6"/>
      <c r="AX44" s="12"/>
      <c r="AY44" s="6"/>
      <c r="AZ44" t="s">
        <v>52</v>
      </c>
      <c r="BA44">
        <v>1990</v>
      </c>
      <c r="BB44" s="3">
        <v>437784</v>
      </c>
      <c r="BC44" s="3">
        <v>8274</v>
      </c>
      <c r="BD44" s="3">
        <v>1988</v>
      </c>
      <c r="BE44" s="3">
        <v>143511</v>
      </c>
      <c r="BF44" s="3">
        <v>15719</v>
      </c>
      <c r="BG44" s="3">
        <v>127188</v>
      </c>
      <c r="BH44" s="3">
        <v>734464</v>
      </c>
      <c r="BI44" s="38">
        <f t="shared" si="56"/>
        <v>0.49435485716516503</v>
      </c>
      <c r="BJ44" s="16">
        <v>751239</v>
      </c>
      <c r="BK44" s="18">
        <v>1485702</v>
      </c>
      <c r="BL44" s="7">
        <f t="shared" si="28"/>
        <v>0.49435485716516503</v>
      </c>
      <c r="BM44" s="1">
        <f t="shared" si="29"/>
        <v>0.29466474434307821</v>
      </c>
      <c r="BN44" s="2">
        <f t="shared" si="30"/>
        <v>1.8970950017081489E-3</v>
      </c>
      <c r="BO44" s="1">
        <f t="shared" si="31"/>
        <v>0.1234582041931216</v>
      </c>
      <c r="BP44" s="8">
        <f t="shared" si="32"/>
        <v>0.49435485716516503</v>
      </c>
      <c r="BQ44" s="5">
        <f t="shared" si="33"/>
        <v>734464.97767152358</v>
      </c>
      <c r="BR44" s="26">
        <v>0.56999999999999995</v>
      </c>
      <c r="BS44" s="6">
        <f t="shared" si="34"/>
        <v>0.70154924479570446</v>
      </c>
      <c r="BT44" s="6">
        <f t="shared" si="35"/>
        <v>4.5166773131314411E-3</v>
      </c>
      <c r="BU44" s="6">
        <f t="shared" si="36"/>
        <v>0.29393407789116416</v>
      </c>
      <c r="BW44">
        <v>1990</v>
      </c>
      <c r="BX44" s="5">
        <v>1743112</v>
      </c>
      <c r="BY44" s="5">
        <v>1884857.28070792</v>
      </c>
      <c r="BZ44" s="1">
        <v>0.51953507179094105</v>
      </c>
      <c r="CA44" s="5">
        <v>3627969.28070792</v>
      </c>
      <c r="CC44" s="6">
        <f t="shared" si="51"/>
        <v>0.49435485716516503</v>
      </c>
      <c r="CE44" t="s">
        <v>55</v>
      </c>
      <c r="CF44" s="19">
        <v>1990</v>
      </c>
      <c r="CG44" s="12">
        <v>1594885</v>
      </c>
      <c r="CH44" s="5">
        <v>451937</v>
      </c>
      <c r="CI44" s="5">
        <v>16682</v>
      </c>
      <c r="CJ44">
        <v>4</v>
      </c>
      <c r="CK44" s="5">
        <v>144478</v>
      </c>
      <c r="CL44">
        <v>0</v>
      </c>
      <c r="CM44" s="5">
        <v>119812</v>
      </c>
      <c r="CN44" s="14">
        <v>861972</v>
      </c>
      <c r="CO44" s="5">
        <f t="shared" si="45"/>
        <v>1594885</v>
      </c>
      <c r="CP44" s="5"/>
      <c r="CQ44" s="41">
        <v>0.46</v>
      </c>
      <c r="CR44">
        <f t="shared" si="46"/>
        <v>1990</v>
      </c>
      <c r="CS44" s="6">
        <f t="shared" si="38"/>
        <v>7.3489165391175351E-2</v>
      </c>
      <c r="CT44" s="6">
        <f t="shared" si="47"/>
        <v>0.14740049438327882</v>
      </c>
      <c r="CW44">
        <v>1990</v>
      </c>
      <c r="CX44" s="5"/>
      <c r="CY44" s="5"/>
    </row>
    <row r="45" spans="1:115" x14ac:dyDescent="0.35">
      <c r="A45" t="str">
        <f t="shared" si="39"/>
        <v>Grant</v>
      </c>
      <c r="B45">
        <f t="shared" si="6"/>
        <v>1991</v>
      </c>
      <c r="C45" s="36">
        <f t="shared" si="7"/>
        <v>790060</v>
      </c>
      <c r="D45" s="29">
        <f t="shared" ref="D45:D46" si="67">AA45</f>
        <v>1920095.2946191225</v>
      </c>
      <c r="E45" s="26">
        <f t="shared" si="9"/>
        <v>0.88802120446014754</v>
      </c>
      <c r="F45" s="26" t="str">
        <f t="shared" si="10"/>
        <v>Grant</v>
      </c>
      <c r="G45" s="26">
        <v>11487.501232049079</v>
      </c>
      <c r="H45" s="5">
        <f t="shared" si="40"/>
        <v>1106348</v>
      </c>
      <c r="I45" s="5">
        <f t="shared" si="11"/>
        <v>1920095.2946191225</v>
      </c>
      <c r="J45" s="26">
        <f t="shared" si="12"/>
        <v>0.55131031643518247</v>
      </c>
      <c r="K45" s="26">
        <f t="shared" si="57"/>
        <v>0.10338505796001507</v>
      </c>
      <c r="L45">
        <v>1991</v>
      </c>
      <c r="M45" s="5">
        <v>790060</v>
      </c>
      <c r="N45" s="5" t="e">
        <f>NA()</f>
        <v>#N/A</v>
      </c>
      <c r="P45" t="str">
        <f t="shared" si="41"/>
        <v>Grant</v>
      </c>
      <c r="Q45">
        <f t="shared" si="42"/>
        <v>1991</v>
      </c>
      <c r="R45" s="35">
        <f t="shared" si="43"/>
        <v>1106348</v>
      </c>
      <c r="S45" s="39">
        <f t="shared" si="61"/>
        <v>1454169</v>
      </c>
      <c r="T45" s="57">
        <f t="shared" si="13"/>
        <v>0.23918884256231565</v>
      </c>
      <c r="U45" s="69">
        <f t="shared" si="14"/>
        <v>347821</v>
      </c>
      <c r="V45" s="5"/>
      <c r="W45" s="5">
        <f t="shared" si="62"/>
        <v>688586.4</v>
      </c>
      <c r="X45" s="5">
        <f t="shared" si="63"/>
        <v>1106664.5999999999</v>
      </c>
      <c r="Y45" s="5">
        <f t="shared" si="64"/>
        <v>124844.2946191224</v>
      </c>
      <c r="Z45" s="5">
        <f>$S51*Z$2</f>
        <v>0</v>
      </c>
      <c r="AA45" s="29">
        <f t="shared" si="18"/>
        <v>1920095.2946191225</v>
      </c>
      <c r="AB45" s="5">
        <f>$S48*$W$2</f>
        <v>688586.4</v>
      </c>
      <c r="AC45" s="5">
        <f>$S49*$X$2</f>
        <v>1106664.5999999999</v>
      </c>
      <c r="AD45" s="32">
        <f>$V50*$Y$2</f>
        <v>124844.2946191224</v>
      </c>
      <c r="AE45" s="32">
        <f t="shared" ref="AE45:AE73" si="68">$V51*$Z$2</f>
        <v>0</v>
      </c>
      <c r="AF45" s="29">
        <f t="shared" ref="AF45:AF71" si="69">SUM(AB45:AE45)</f>
        <v>1920095.2946191225</v>
      </c>
      <c r="AG45" s="12">
        <f t="shared" si="20"/>
        <v>1991</v>
      </c>
      <c r="AH45" s="56">
        <f t="shared" si="21"/>
        <v>0.3586209507047361</v>
      </c>
      <c r="AI45" s="56">
        <f t="shared" si="22"/>
        <v>0.57635920628591619</v>
      </c>
      <c r="AJ45" s="56">
        <f t="shared" si="23"/>
        <v>6.5019843009347614E-2</v>
      </c>
      <c r="AK45" s="56"/>
      <c r="AL45" s="56"/>
      <c r="AM45" s="68">
        <f t="shared" si="24"/>
        <v>1991</v>
      </c>
      <c r="AN45" s="60">
        <f t="shared" si="48"/>
        <v>1124917.6005935373</v>
      </c>
      <c r="AO45" s="56">
        <f t="shared" si="58"/>
        <v>0.5</v>
      </c>
      <c r="AP45">
        <f t="shared" si="26"/>
        <v>562458.80029676866</v>
      </c>
      <c r="AQ45" s="59">
        <f t="shared" si="59"/>
        <v>1364407.8867301631</v>
      </c>
      <c r="AR45" s="59">
        <f t="shared" si="27"/>
        <v>562458.80029676866</v>
      </c>
      <c r="AT45">
        <v>1991</v>
      </c>
      <c r="AU45" s="14"/>
      <c r="AV45" s="5"/>
      <c r="AW45" s="6"/>
      <c r="AX45" s="12"/>
      <c r="AY45" s="6"/>
      <c r="AZ45" s="6"/>
      <c r="BA45">
        <v>1991</v>
      </c>
      <c r="BI45" s="27">
        <f>BR45</f>
        <v>0.42</v>
      </c>
      <c r="BL45" s="6"/>
      <c r="BP45" s="5"/>
      <c r="BR45" s="26">
        <v>0.42</v>
      </c>
      <c r="CE45" t="s">
        <v>55</v>
      </c>
      <c r="CF45" s="19">
        <v>1991</v>
      </c>
      <c r="CG45" s="12">
        <v>1454169</v>
      </c>
      <c r="CH45" s="5">
        <v>104533</v>
      </c>
      <c r="CI45" s="5">
        <v>54637</v>
      </c>
      <c r="CJ45">
        <v>78</v>
      </c>
      <c r="CK45" s="5">
        <v>110837</v>
      </c>
      <c r="CL45">
        <v>0</v>
      </c>
      <c r="CM45" s="5">
        <v>77737</v>
      </c>
      <c r="CN45" s="14">
        <v>1106348</v>
      </c>
      <c r="CO45" s="5">
        <f t="shared" si="45"/>
        <v>1454170</v>
      </c>
      <c r="CP45" s="5"/>
      <c r="CQ45" s="41">
        <v>0.23899999999999999</v>
      </c>
      <c r="CW45">
        <v>1991</v>
      </c>
      <c r="CX45" s="5"/>
      <c r="CY45" s="5"/>
    </row>
    <row r="46" spans="1:115" x14ac:dyDescent="0.35">
      <c r="A46" t="str">
        <f t="shared" si="39"/>
        <v>Grant</v>
      </c>
      <c r="B46">
        <f t="shared" si="6"/>
        <v>1992</v>
      </c>
      <c r="C46" s="36">
        <f t="shared" si="7"/>
        <v>757025</v>
      </c>
      <c r="D46" s="29">
        <f t="shared" si="67"/>
        <v>1415807.9091659964</v>
      </c>
      <c r="E46" s="26">
        <f t="shared" si="9"/>
        <v>0.6260593296915179</v>
      </c>
      <c r="F46" s="26" t="str">
        <f t="shared" si="10"/>
        <v>Grant</v>
      </c>
      <c r="G46" s="26">
        <v>11949.524371285395</v>
      </c>
      <c r="H46" s="5">
        <f t="shared" si="40"/>
        <v>1035859</v>
      </c>
      <c r="I46" s="5">
        <f t="shared" si="11"/>
        <v>1415807.9091659964</v>
      </c>
      <c r="J46" s="26">
        <f t="shared" si="12"/>
        <v>0.31246929451189542</v>
      </c>
      <c r="K46" s="26">
        <f t="shared" si="57"/>
        <v>-0.17885280727430619</v>
      </c>
      <c r="L46">
        <v>1992</v>
      </c>
      <c r="M46" s="5">
        <v>757025</v>
      </c>
      <c r="N46" s="5" t="e">
        <f>NA()</f>
        <v>#N/A</v>
      </c>
      <c r="P46" t="str">
        <f t="shared" si="41"/>
        <v>Grant</v>
      </c>
      <c r="Q46">
        <f t="shared" si="42"/>
        <v>1992</v>
      </c>
      <c r="R46" s="35">
        <f>CN46</f>
        <v>1035859</v>
      </c>
      <c r="S46" s="39">
        <f t="shared" si="61"/>
        <v>1555718</v>
      </c>
      <c r="T46" s="57">
        <f t="shared" si="13"/>
        <v>0.3341601755588095</v>
      </c>
      <c r="U46" s="69">
        <f t="shared" si="14"/>
        <v>519859</v>
      </c>
      <c r="V46" s="5"/>
      <c r="W46" s="5">
        <f t="shared" si="62"/>
        <v>553332.29999999993</v>
      </c>
      <c r="X46" s="5">
        <f t="shared" si="63"/>
        <v>749065.76771473442</v>
      </c>
      <c r="Y46" s="5">
        <f t="shared" si="64"/>
        <v>113409.8414512618</v>
      </c>
      <c r="Z46" s="5">
        <f t="shared" si="65"/>
        <v>0</v>
      </c>
      <c r="AA46" s="29">
        <f t="shared" si="18"/>
        <v>1415807.9091659964</v>
      </c>
      <c r="AB46" s="5">
        <f>$S49*$W$2</f>
        <v>553332.29999999993</v>
      </c>
      <c r="AC46" s="32">
        <f>$V50*$X$2</f>
        <v>749065.76771473442</v>
      </c>
      <c r="AD46" s="32">
        <f t="shared" ref="AD46:AD73" si="70">$V51*$Y$2</f>
        <v>113409.8414512618</v>
      </c>
      <c r="AE46" s="32">
        <f t="shared" si="68"/>
        <v>0</v>
      </c>
      <c r="AF46" s="29">
        <f t="shared" si="69"/>
        <v>1415807.9091659964</v>
      </c>
      <c r="AG46" s="12">
        <f t="shared" si="20"/>
        <v>1992</v>
      </c>
      <c r="AH46" s="56">
        <f t="shared" si="21"/>
        <v>0.39082441651703226</v>
      </c>
      <c r="AI46" s="56">
        <f t="shared" si="22"/>
        <v>0.52907302103996812</v>
      </c>
      <c r="AJ46" s="56">
        <f t="shared" si="23"/>
        <v>8.0102562442999514E-2</v>
      </c>
      <c r="AK46" s="56"/>
      <c r="AL46" s="56"/>
      <c r="AM46" s="68">
        <f t="shared" si="24"/>
        <v>1992</v>
      </c>
      <c r="AN46" s="60">
        <f t="shared" si="48"/>
        <v>1325746.5812165581</v>
      </c>
      <c r="AO46" s="56">
        <f t="shared" si="58"/>
        <v>0.5</v>
      </c>
      <c r="AP46">
        <f t="shared" si="26"/>
        <v>662873.29060827906</v>
      </c>
      <c r="AQ46" s="59">
        <f t="shared" si="59"/>
        <v>1139885.7763051747</v>
      </c>
      <c r="AR46" s="59">
        <f t="shared" si="27"/>
        <v>662873.29060827906</v>
      </c>
      <c r="AT46">
        <v>1992</v>
      </c>
      <c r="AU46" s="14"/>
      <c r="AV46" s="5"/>
      <c r="AW46" s="6"/>
      <c r="AX46" s="12"/>
      <c r="AY46" s="6"/>
      <c r="AZ46" s="6"/>
      <c r="BA46">
        <v>1992</v>
      </c>
      <c r="BI46" s="27">
        <f t="shared" ref="BI46:BI74" si="71">BR46</f>
        <v>0.53</v>
      </c>
      <c r="BL46" s="6"/>
      <c r="BP46" s="5"/>
      <c r="BR46" s="26">
        <v>0.53</v>
      </c>
      <c r="CE46" t="s">
        <v>55</v>
      </c>
      <c r="CF46" s="19">
        <v>1992</v>
      </c>
      <c r="CG46" s="12">
        <v>1555718</v>
      </c>
      <c r="CH46" s="5">
        <v>309541</v>
      </c>
      <c r="CI46" s="5">
        <v>48931</v>
      </c>
      <c r="CJ46">
        <v>57</v>
      </c>
      <c r="CK46" s="5">
        <v>90015</v>
      </c>
      <c r="CL46">
        <v>0</v>
      </c>
      <c r="CM46" s="5">
        <v>71317</v>
      </c>
      <c r="CN46" s="14">
        <v>1035859</v>
      </c>
      <c r="CO46" s="5">
        <f t="shared" si="45"/>
        <v>1555720</v>
      </c>
      <c r="CP46" s="5"/>
      <c r="CQ46" s="41">
        <v>0.33400000000000002</v>
      </c>
      <c r="CW46">
        <v>1992</v>
      </c>
      <c r="CX46" s="5"/>
      <c r="CY46" s="5"/>
    </row>
    <row r="47" spans="1:115" x14ac:dyDescent="0.35">
      <c r="A47" t="str">
        <f t="shared" si="39"/>
        <v>Grant</v>
      </c>
      <c r="B47">
        <f t="shared" si="6"/>
        <v>1993</v>
      </c>
      <c r="C47" s="36">
        <f t="shared" si="7"/>
        <v>788831</v>
      </c>
      <c r="D47" s="29">
        <f>N47</f>
        <v>1361315</v>
      </c>
      <c r="E47" s="26">
        <f t="shared" si="9"/>
        <v>0.54565432061770003</v>
      </c>
      <c r="F47" s="26" t="str">
        <f t="shared" si="10"/>
        <v>Grant</v>
      </c>
      <c r="G47" s="26">
        <v>12448.272344650122</v>
      </c>
      <c r="H47" s="5">
        <f t="shared" si="40"/>
        <v>985479</v>
      </c>
      <c r="I47" s="5">
        <f t="shared" si="11"/>
        <v>1461959.9522844465</v>
      </c>
      <c r="J47" s="26">
        <f t="shared" si="12"/>
        <v>0.39440543013072316</v>
      </c>
      <c r="K47" s="26">
        <f t="shared" si="57"/>
        <v>-0.12793332625420883</v>
      </c>
      <c r="L47">
        <v>1993</v>
      </c>
      <c r="M47" s="5">
        <v>788831</v>
      </c>
      <c r="N47" s="31">
        <v>1361315</v>
      </c>
      <c r="P47" t="str">
        <f t="shared" si="41"/>
        <v>Grant</v>
      </c>
      <c r="Q47">
        <f>AT47</f>
        <v>1993</v>
      </c>
      <c r="R47" s="35">
        <f t="shared" si="43"/>
        <v>985479</v>
      </c>
      <c r="S47" s="39">
        <f>CG47</f>
        <v>1476663</v>
      </c>
      <c r="T47" s="57">
        <f t="shared" si="13"/>
        <v>0.3326310742532318</v>
      </c>
      <c r="U47" s="69">
        <f t="shared" si="14"/>
        <v>491184</v>
      </c>
      <c r="V47" s="5"/>
      <c r="W47" s="5">
        <f t="shared" si="62"/>
        <v>374532.88385736721</v>
      </c>
      <c r="X47" s="5">
        <f t="shared" si="63"/>
        <v>680459.04870757076</v>
      </c>
      <c r="Y47" s="5">
        <f t="shared" si="64"/>
        <v>406968.01971950848</v>
      </c>
      <c r="Z47" s="5">
        <f t="shared" si="65"/>
        <v>0</v>
      </c>
      <c r="AA47" s="29">
        <f>SUM(W47:Z47)</f>
        <v>1461959.9522844465</v>
      </c>
      <c r="AB47" s="32">
        <f>$V50*$W$2</f>
        <v>374532.88385736721</v>
      </c>
      <c r="AC47" s="32">
        <f t="shared" ref="AC47:AC73" si="72">$V51*$X$2</f>
        <v>680459.04870757076</v>
      </c>
      <c r="AD47" s="32">
        <f t="shared" si="70"/>
        <v>406968.01971950848</v>
      </c>
      <c r="AE47" s="32">
        <f t="shared" si="68"/>
        <v>0</v>
      </c>
      <c r="AF47" s="29">
        <f t="shared" si="69"/>
        <v>1461959.9522844465</v>
      </c>
      <c r="AG47" s="12">
        <f t="shared" si="20"/>
        <v>1993</v>
      </c>
      <c r="AH47" s="56">
        <f t="shared" si="21"/>
        <v>0.25618546067019499</v>
      </c>
      <c r="AI47" s="56">
        <f t="shared" si="22"/>
        <v>0.46544301548362604</v>
      </c>
      <c r="AJ47" s="56">
        <f t="shared" si="23"/>
        <v>0.27837152384617897</v>
      </c>
      <c r="AK47" s="56"/>
      <c r="AL47" s="56"/>
      <c r="AM47" s="68">
        <f t="shared" si="24"/>
        <v>1993</v>
      </c>
      <c r="AN47" s="60">
        <f t="shared" si="48"/>
        <v>1242981.8572808646</v>
      </c>
      <c r="AO47" s="56">
        <f t="shared" si="58"/>
        <v>0.5</v>
      </c>
      <c r="AP47">
        <f t="shared" si="26"/>
        <v>621490.92864043231</v>
      </c>
      <c r="AQ47" s="59">
        <f t="shared" si="59"/>
        <v>1153570.8541273072</v>
      </c>
      <c r="AR47" s="59">
        <f t="shared" si="27"/>
        <v>621490.92864043231</v>
      </c>
      <c r="AS47" t="s">
        <v>53</v>
      </c>
      <c r="AT47" s="19">
        <v>1993</v>
      </c>
      <c r="AU47" s="14">
        <v>788831</v>
      </c>
      <c r="AV47" s="5">
        <f>AU47*BI47/(1-BI47)</f>
        <v>854566.91666666674</v>
      </c>
      <c r="AW47" s="6">
        <f>AV47/(AU47+AV47)</f>
        <v>0.52</v>
      </c>
      <c r="AX47" s="12">
        <f t="shared" si="49"/>
        <v>1643397.9166666667</v>
      </c>
      <c r="AY47" s="6">
        <f>(AX47-CG47)/CG47</f>
        <v>0.11291331648904777</v>
      </c>
      <c r="AZ47" s="6"/>
      <c r="BA47">
        <v>1993</v>
      </c>
      <c r="BI47" s="27">
        <f t="shared" si="71"/>
        <v>0.52</v>
      </c>
      <c r="BL47" s="6"/>
      <c r="BP47" s="5"/>
      <c r="BR47" s="26">
        <v>0.52</v>
      </c>
      <c r="CE47" t="s">
        <v>55</v>
      </c>
      <c r="CF47">
        <v>1993</v>
      </c>
      <c r="CG47" s="12">
        <v>1476663</v>
      </c>
      <c r="CH47" s="5">
        <v>250194</v>
      </c>
      <c r="CI47" s="5">
        <v>26665</v>
      </c>
      <c r="CJ47">
        <v>28</v>
      </c>
      <c r="CK47" s="5">
        <v>98891</v>
      </c>
      <c r="CL47">
        <v>0</v>
      </c>
      <c r="CM47" s="5">
        <v>115406</v>
      </c>
      <c r="CN47" s="14">
        <v>985479</v>
      </c>
      <c r="CO47" s="5">
        <f t="shared" si="45"/>
        <v>1476663</v>
      </c>
      <c r="CP47" s="5"/>
      <c r="CQ47" s="41">
        <v>0.33300000000000002</v>
      </c>
      <c r="CW47">
        <v>1993</v>
      </c>
      <c r="CX47" s="5">
        <v>788831</v>
      </c>
      <c r="CY47" s="5">
        <v>1361315</v>
      </c>
      <c r="CZ47" s="6">
        <f t="shared" ref="CZ47" si="73">(CX47-R47)/R47</f>
        <v>-0.19954560168202468</v>
      </c>
      <c r="DA47" s="6">
        <f t="shared" ref="DA47" si="74">(CY47-AF47)/AF47</f>
        <v>-6.8842482399862931E-2</v>
      </c>
    </row>
    <row r="48" spans="1:115" x14ac:dyDescent="0.35">
      <c r="A48" t="str">
        <f t="shared" si="39"/>
        <v>Grant</v>
      </c>
      <c r="B48">
        <f t="shared" si="6"/>
        <v>1994</v>
      </c>
      <c r="C48" s="5">
        <f t="shared" ref="C48:C49" si="75">R48</f>
        <v>1666079</v>
      </c>
      <c r="D48" s="29">
        <f t="shared" ref="D48:D71" si="76">N48</f>
        <v>3442899</v>
      </c>
      <c r="E48" s="26">
        <f t="shared" si="9"/>
        <v>0.72584088745574638</v>
      </c>
      <c r="F48" s="26" t="str">
        <f t="shared" si="10"/>
        <v>Grant</v>
      </c>
      <c r="G48" s="26">
        <v>12986.664299101971</v>
      </c>
      <c r="H48" s="5">
        <f t="shared" si="40"/>
        <v>1666079</v>
      </c>
      <c r="I48" s="5">
        <f t="shared" si="11"/>
        <v>3090405.3720841995</v>
      </c>
      <c r="J48" s="26">
        <f t="shared" si="12"/>
        <v>0.61782930909398082</v>
      </c>
      <c r="K48" s="26">
        <f t="shared" si="57"/>
        <v>0.51450474722861816</v>
      </c>
      <c r="L48">
        <v>1994</v>
      </c>
      <c r="M48" s="5" t="e">
        <f>NA()</f>
        <v>#N/A</v>
      </c>
      <c r="N48" s="31">
        <v>3442899</v>
      </c>
      <c r="P48" t="str">
        <f t="shared" si="41"/>
        <v>Grant</v>
      </c>
      <c r="Q48">
        <f t="shared" si="42"/>
        <v>1994</v>
      </c>
      <c r="R48" s="35">
        <f t="shared" si="43"/>
        <v>1666079</v>
      </c>
      <c r="S48" s="39">
        <f t="shared" si="61"/>
        <v>2295288</v>
      </c>
      <c r="T48" s="57">
        <f t="shared" si="13"/>
        <v>0.2741307408917748</v>
      </c>
      <c r="U48" s="69">
        <f t="shared" si="14"/>
        <v>629209</v>
      </c>
      <c r="V48" s="5"/>
      <c r="W48" s="5">
        <f>$S51*W$2</f>
        <v>340229.52435378538</v>
      </c>
      <c r="X48" s="5">
        <f>$S52*X$2</f>
        <v>2441808.1183170509</v>
      </c>
      <c r="Y48" s="5">
        <f t="shared" si="64"/>
        <v>308367.72941336298</v>
      </c>
      <c r="Z48" s="5">
        <f t="shared" si="65"/>
        <v>0</v>
      </c>
      <c r="AA48" s="29">
        <f>SUM(W48:Z48)</f>
        <v>3090405.3720841995</v>
      </c>
      <c r="AB48" s="32">
        <f t="shared" ref="AB48:AB73" si="77">$V51*$W$2</f>
        <v>340229.52435378538</v>
      </c>
      <c r="AC48" s="32">
        <f t="shared" si="72"/>
        <v>2441808.1183170509</v>
      </c>
      <c r="AD48" s="32">
        <f t="shared" si="70"/>
        <v>308367.72941336298</v>
      </c>
      <c r="AE48" s="32">
        <f t="shared" si="68"/>
        <v>0</v>
      </c>
      <c r="AF48" s="29">
        <f t="shared" si="69"/>
        <v>3090405.3720841995</v>
      </c>
      <c r="AG48" s="12">
        <f t="shared" si="20"/>
        <v>1994</v>
      </c>
      <c r="AH48" s="56">
        <f t="shared" si="21"/>
        <v>0.11009219936876154</v>
      </c>
      <c r="AI48" s="56">
        <f t="shared" si="22"/>
        <v>0.79012550922090574</v>
      </c>
      <c r="AJ48" s="56">
        <f t="shared" si="23"/>
        <v>9.978229141033261E-2</v>
      </c>
      <c r="AK48" s="56"/>
      <c r="AL48" s="56"/>
      <c r="AM48" s="68">
        <f t="shared" si="24"/>
        <v>1994</v>
      </c>
      <c r="AN48" s="60">
        <f t="shared" si="48"/>
        <v>1916007.5788906724</v>
      </c>
      <c r="AO48" s="56">
        <f t="shared" si="58"/>
        <v>0.5</v>
      </c>
      <c r="AP48">
        <f t="shared" si="26"/>
        <v>958003.78944533621</v>
      </c>
      <c r="AQ48" s="59">
        <f t="shared" si="59"/>
        <v>2747950.0154556329</v>
      </c>
      <c r="AR48" s="59">
        <f t="shared" si="27"/>
        <v>958003.78944533621</v>
      </c>
      <c r="AS48" t="s">
        <v>53</v>
      </c>
      <c r="AT48">
        <v>1994</v>
      </c>
      <c r="AU48" s="14"/>
      <c r="AV48" s="5"/>
      <c r="AW48" s="6">
        <f>BI48</f>
        <v>0.44</v>
      </c>
      <c r="AX48" s="12"/>
      <c r="AY48" s="6"/>
      <c r="AZ48" s="6"/>
      <c r="BA48">
        <v>1994</v>
      </c>
      <c r="BI48" s="27">
        <f t="shared" si="71"/>
        <v>0.44</v>
      </c>
      <c r="BL48" s="6"/>
      <c r="BP48" s="5"/>
      <c r="BR48" s="26">
        <v>0.44</v>
      </c>
      <c r="CE48" t="s">
        <v>55</v>
      </c>
      <c r="CF48">
        <v>1994</v>
      </c>
      <c r="CG48" s="12">
        <v>2295288</v>
      </c>
      <c r="CH48" s="5">
        <v>335201</v>
      </c>
      <c r="CI48" s="5">
        <v>24576</v>
      </c>
      <c r="CJ48">
        <v>0</v>
      </c>
      <c r="CK48" s="5">
        <v>54975</v>
      </c>
      <c r="CL48">
        <v>0</v>
      </c>
      <c r="CM48" s="5">
        <v>214456</v>
      </c>
      <c r="CN48" s="14">
        <v>1666079</v>
      </c>
      <c r="CO48" s="5">
        <f t="shared" si="45"/>
        <v>2295287</v>
      </c>
      <c r="CP48" s="5"/>
      <c r="CQ48" s="41">
        <v>0.27400000000000002</v>
      </c>
      <c r="CW48">
        <v>1994</v>
      </c>
      <c r="CX48" s="5"/>
      <c r="CY48" s="5"/>
      <c r="CZ48" s="6"/>
      <c r="DA48" s="6"/>
      <c r="DK48" t="s">
        <v>78</v>
      </c>
    </row>
    <row r="49" spans="1:120" ht="29" x14ac:dyDescent="0.35">
      <c r="A49" t="str">
        <f t="shared" si="39"/>
        <v>Grant</v>
      </c>
      <c r="B49">
        <f t="shared" si="6"/>
        <v>1995</v>
      </c>
      <c r="C49" s="5">
        <f t="shared" si="75"/>
        <v>1628542</v>
      </c>
      <c r="D49" s="29">
        <f t="shared" si="76"/>
        <v>3112653</v>
      </c>
      <c r="E49" s="26">
        <f t="shared" si="9"/>
        <v>0.64779028120275439</v>
      </c>
      <c r="F49" s="26" t="str">
        <f t="shared" si="10"/>
        <v>Grant</v>
      </c>
      <c r="G49" s="26">
        <v>13567.851415839403</v>
      </c>
      <c r="H49" s="5">
        <f t="shared" si="40"/>
        <v>1628542</v>
      </c>
      <c r="I49" s="5">
        <f t="shared" si="11"/>
        <v>3153242.8250972875</v>
      </c>
      <c r="J49" s="26">
        <f t="shared" si="12"/>
        <v>0.66074625557688782</v>
      </c>
      <c r="K49" s="26">
        <f t="shared" si="57"/>
        <v>0.53431188498440052</v>
      </c>
      <c r="L49">
        <v>1995</v>
      </c>
      <c r="M49" s="5" t="e">
        <f>NA()</f>
        <v>#N/A</v>
      </c>
      <c r="N49" s="31">
        <v>3112653</v>
      </c>
      <c r="P49" t="str">
        <f t="shared" si="41"/>
        <v>Grant</v>
      </c>
      <c r="Q49">
        <f t="shared" ref="Q49:Q76" si="78">AT49</f>
        <v>1995</v>
      </c>
      <c r="R49" s="35">
        <f>CN49</f>
        <v>1628542</v>
      </c>
      <c r="S49" s="39">
        <f t="shared" si="61"/>
        <v>1844441</v>
      </c>
      <c r="T49" s="57">
        <f t="shared" si="13"/>
        <v>0.1170538932934152</v>
      </c>
      <c r="U49" s="69">
        <f t="shared" si="14"/>
        <v>215899</v>
      </c>
      <c r="V49" s="42" t="s">
        <v>83</v>
      </c>
      <c r="W49" s="5">
        <f>$S52*$W$2</f>
        <v>1220904.0591585254</v>
      </c>
      <c r="X49" s="5">
        <f>$S53*$X$2</f>
        <v>1850206.3764801777</v>
      </c>
      <c r="Y49" s="5">
        <f>$S54*$Y$2</f>
        <v>82132.389458584308</v>
      </c>
      <c r="Z49" s="5">
        <f>$S55*$Z$2</f>
        <v>0</v>
      </c>
      <c r="AA49" s="29">
        <f>SUM(W49:Z49)</f>
        <v>3153242.8250972875</v>
      </c>
      <c r="AB49" s="32">
        <f t="shared" si="77"/>
        <v>1220904.0591585254</v>
      </c>
      <c r="AC49" s="32">
        <f t="shared" si="72"/>
        <v>1850206.3764801777</v>
      </c>
      <c r="AD49" s="32">
        <f t="shared" si="70"/>
        <v>82132.389458584308</v>
      </c>
      <c r="AE49" s="32">
        <f t="shared" si="68"/>
        <v>0</v>
      </c>
      <c r="AF49" s="29">
        <f t="shared" si="69"/>
        <v>3153242.8250972875</v>
      </c>
      <c r="AG49" s="12">
        <f t="shared" si="20"/>
        <v>1995</v>
      </c>
      <c r="AH49" s="56">
        <f t="shared" si="21"/>
        <v>0.38718999039373275</v>
      </c>
      <c r="AI49" s="56">
        <f t="shared" si="22"/>
        <v>0.58676304969411708</v>
      </c>
      <c r="AJ49" s="56">
        <f t="shared" si="23"/>
        <v>2.6046959912150204E-2</v>
      </c>
      <c r="AK49" s="56"/>
      <c r="AL49" s="56"/>
      <c r="AM49" s="68">
        <f t="shared" si="24"/>
        <v>1995</v>
      </c>
      <c r="AN49" s="60">
        <f t="shared" si="48"/>
        <v>1398362.8190686321</v>
      </c>
      <c r="AO49" s="56">
        <f t="shared" si="58"/>
        <v>0.5</v>
      </c>
      <c r="AP49">
        <f t="shared" si="26"/>
        <v>699181.40953431604</v>
      </c>
      <c r="AQ49" s="59">
        <f t="shared" si="59"/>
        <v>2399033.3598320927</v>
      </c>
      <c r="AR49" s="59">
        <f t="shared" si="27"/>
        <v>699181.40953431604</v>
      </c>
      <c r="AS49" t="s">
        <v>53</v>
      </c>
      <c r="AT49" s="19">
        <v>1995</v>
      </c>
      <c r="AU49" s="14"/>
      <c r="AV49" s="5"/>
      <c r="AW49" s="6">
        <f t="shared" ref="AW49" si="79">BI49</f>
        <v>0.28000000000000003</v>
      </c>
      <c r="AX49" s="12"/>
      <c r="AY49" s="6"/>
      <c r="AZ49" s="6"/>
      <c r="BA49">
        <v>1995</v>
      </c>
      <c r="BI49" s="27">
        <f t="shared" si="71"/>
        <v>0.28000000000000003</v>
      </c>
      <c r="BL49" s="6"/>
      <c r="BP49" s="5"/>
      <c r="BR49" s="26">
        <v>0.28000000000000003</v>
      </c>
      <c r="CE49" t="s">
        <v>55</v>
      </c>
      <c r="CF49">
        <v>1995</v>
      </c>
      <c r="CG49" s="12">
        <v>1844441</v>
      </c>
      <c r="CH49" s="5">
        <v>94747</v>
      </c>
      <c r="CI49" s="5">
        <v>2224</v>
      </c>
      <c r="CJ49">
        <v>507</v>
      </c>
      <c r="CK49" s="5">
        <v>31940</v>
      </c>
      <c r="CL49">
        <v>0</v>
      </c>
      <c r="CM49" s="5">
        <v>86480</v>
      </c>
      <c r="CN49" s="14">
        <v>1628542</v>
      </c>
      <c r="CO49" s="5">
        <f t="shared" si="45"/>
        <v>1844440</v>
      </c>
      <c r="CP49" s="5"/>
      <c r="CQ49" s="41">
        <v>0.11700000000000001</v>
      </c>
      <c r="CW49">
        <v>1995</v>
      </c>
      <c r="CX49" s="5"/>
      <c r="CY49" s="5"/>
      <c r="CZ49" s="6"/>
      <c r="DA49" s="6"/>
      <c r="DI49" s="9" t="s">
        <v>1</v>
      </c>
      <c r="DJ49" s="9" t="s">
        <v>67</v>
      </c>
      <c r="DK49" s="30" t="s">
        <v>30</v>
      </c>
      <c r="DL49" s="9" t="s">
        <v>32</v>
      </c>
      <c r="DM49" s="9" t="s">
        <v>68</v>
      </c>
      <c r="DO49" s="33" t="s">
        <v>69</v>
      </c>
      <c r="DP49" s="9" t="s">
        <v>70</v>
      </c>
    </row>
    <row r="50" spans="1:120" x14ac:dyDescent="0.35">
      <c r="A50" t="s">
        <v>73</v>
      </c>
      <c r="B50">
        <f t="shared" si="6"/>
        <v>1996</v>
      </c>
      <c r="C50" s="43">
        <f>M50</f>
        <v>1186180</v>
      </c>
      <c r="D50" s="31">
        <f t="shared" si="76"/>
        <v>1431408</v>
      </c>
      <c r="E50" s="26">
        <f t="shared" si="9"/>
        <v>0.18792051552344743</v>
      </c>
      <c r="F50" s="26" t="s">
        <v>82</v>
      </c>
      <c r="G50" s="26">
        <v>14195.235354006662</v>
      </c>
      <c r="H50" s="5">
        <f>R50</f>
        <v>1186180</v>
      </c>
      <c r="I50" s="5">
        <f t="shared" si="11"/>
        <v>1757511.260493631</v>
      </c>
      <c r="J50" s="26">
        <f t="shared" si="12"/>
        <v>0.39316069207370369</v>
      </c>
      <c r="K50" s="26">
        <f t="shared" si="57"/>
        <v>-5.6156666411252831E-3</v>
      </c>
      <c r="L50">
        <v>1996</v>
      </c>
      <c r="M50" s="43">
        <v>1186180</v>
      </c>
      <c r="N50" s="31">
        <v>1431408</v>
      </c>
      <c r="P50" t="str">
        <f t="shared" ref="P50:P76" si="80">AS50</f>
        <v>Brittany</v>
      </c>
      <c r="Q50">
        <f t="shared" si="78"/>
        <v>1996</v>
      </c>
      <c r="R50" s="5">
        <f t="shared" ref="R50:R76" si="81">AU50</f>
        <v>1186180</v>
      </c>
      <c r="S50" s="5">
        <f>AX50</f>
        <v>1248442.946191224</v>
      </c>
      <c r="T50" s="57">
        <f t="shared" si="13"/>
        <v>4.9872480261254348E-2</v>
      </c>
      <c r="U50" s="69">
        <f t="shared" si="14"/>
        <v>62262.946191224037</v>
      </c>
      <c r="V50" s="29">
        <f>S50</f>
        <v>1248442.946191224</v>
      </c>
      <c r="W50" s="5">
        <f>$S53*$W$2</f>
        <v>925103.18824008887</v>
      </c>
      <c r="X50" s="5">
        <f>$S54*$X$2</f>
        <v>492794.33675150573</v>
      </c>
      <c r="Y50" s="5">
        <f>$S55*$Y$2</f>
        <v>339613.73550203635</v>
      </c>
      <c r="Z50" s="5">
        <f>$S56*$Z$2</f>
        <v>0</v>
      </c>
      <c r="AA50" s="22">
        <f t="shared" ref="AA50:AA70" si="82">SUM(W50:Z50)</f>
        <v>1757511.260493631</v>
      </c>
      <c r="AB50" s="32">
        <f t="shared" si="77"/>
        <v>925103.18824008887</v>
      </c>
      <c r="AC50" s="32">
        <f t="shared" si="72"/>
        <v>492794.33675150573</v>
      </c>
      <c r="AD50" s="32">
        <f t="shared" si="70"/>
        <v>339613.73550203635</v>
      </c>
      <c r="AE50" s="32">
        <f t="shared" si="68"/>
        <v>0</v>
      </c>
      <c r="AF50" s="12">
        <f t="shared" si="69"/>
        <v>1757511.260493631</v>
      </c>
      <c r="AG50" s="12">
        <f t="shared" si="20"/>
        <v>1996</v>
      </c>
      <c r="AH50" s="56">
        <f t="shared" si="21"/>
        <v>0.52637113003774194</v>
      </c>
      <c r="AI50" s="56">
        <f t="shared" si="22"/>
        <v>0.28039327418766857</v>
      </c>
      <c r="AJ50" s="56">
        <f t="shared" si="23"/>
        <v>0.19323559577458937</v>
      </c>
      <c r="AK50" s="56"/>
      <c r="AL50" s="56"/>
      <c r="AM50" s="68">
        <f t="shared" si="24"/>
        <v>1996</v>
      </c>
      <c r="AN50" s="60">
        <f t="shared" si="48"/>
        <v>987324.47858649364</v>
      </c>
      <c r="AO50" s="56">
        <f t="shared" si="58"/>
        <v>0.5</v>
      </c>
      <c r="AP50">
        <f t="shared" si="26"/>
        <v>493662.23929324682</v>
      </c>
      <c r="AQ50" s="59">
        <f t="shared" si="59"/>
        <v>1120313.3055799743</v>
      </c>
      <c r="AR50" s="59">
        <f t="shared" si="27"/>
        <v>493662.23929324682</v>
      </c>
      <c r="AS50" t="s">
        <v>53</v>
      </c>
      <c r="AT50" s="19">
        <v>1996</v>
      </c>
      <c r="AU50" s="14">
        <v>1186180</v>
      </c>
      <c r="AV50" s="5">
        <f>AX50-AU50</f>
        <v>62262.946191224037</v>
      </c>
      <c r="AW50" s="41">
        <f>AV50/AX50</f>
        <v>4.9872480261254341E-2</v>
      </c>
      <c r="AX50" s="12">
        <v>1248442.946191224</v>
      </c>
      <c r="AY50" s="6">
        <f>(AX50-CG50)/CG50</f>
        <v>0.40842129593228443</v>
      </c>
      <c r="AZ50" s="6"/>
      <c r="BA50">
        <v>1996</v>
      </c>
      <c r="BI50" s="27">
        <f t="shared" si="71"/>
        <v>0.27</v>
      </c>
      <c r="BL50" s="6"/>
      <c r="BP50" s="5"/>
      <c r="BR50" s="26">
        <v>0.27</v>
      </c>
      <c r="CE50" t="s">
        <v>55</v>
      </c>
      <c r="CF50">
        <v>1996</v>
      </c>
      <c r="CG50" s="12">
        <v>886413</v>
      </c>
      <c r="CH50" s="5">
        <v>24816</v>
      </c>
      <c r="CI50">
        <v>0</v>
      </c>
      <c r="CJ50">
        <v>0</v>
      </c>
      <c r="CK50">
        <v>81</v>
      </c>
      <c r="CL50">
        <v>0</v>
      </c>
      <c r="CM50" s="5">
        <v>16175</v>
      </c>
      <c r="CN50" s="14">
        <v>845342</v>
      </c>
      <c r="CO50" s="5">
        <f t="shared" si="45"/>
        <v>886414</v>
      </c>
      <c r="CP50" s="5"/>
      <c r="CQ50" s="41">
        <v>4.5999999999999999E-2</v>
      </c>
      <c r="CW50">
        <v>1996</v>
      </c>
      <c r="CX50" s="5">
        <v>1186180</v>
      </c>
      <c r="CY50" s="5">
        <v>1431408</v>
      </c>
      <c r="CZ50" s="6">
        <f t="shared" ref="CZ50:CZ71" si="83">(CX50-R50)/R50</f>
        <v>0</v>
      </c>
      <c r="DA50" s="6">
        <f t="shared" ref="DA50:DA71" si="84">(CY50-AF50)/AF50</f>
        <v>-0.18554831927622392</v>
      </c>
      <c r="DI50">
        <v>1996</v>
      </c>
      <c r="DJ50" s="5">
        <v>1253503.3355702001</v>
      </c>
      <c r="DK50" s="29">
        <v>1123652.9428018699</v>
      </c>
      <c r="DL50" s="5">
        <f>DJ50-DK50</f>
        <v>129850.39276833017</v>
      </c>
      <c r="DM50" s="6">
        <f>DL50/DJ50</f>
        <v>0.10358998582900711</v>
      </c>
      <c r="DO50" s="34">
        <f>(M50-DK50)/DJ50</f>
        <v>4.9881843489221693E-2</v>
      </c>
      <c r="DP50" s="6">
        <f>(AW50-DM50)/DM50</f>
        <v>-0.51855886587746669</v>
      </c>
    </row>
    <row r="51" spans="1:120" x14ac:dyDescent="0.35">
      <c r="A51" t="s">
        <v>73</v>
      </c>
      <c r="B51">
        <f t="shared" si="6"/>
        <v>1997</v>
      </c>
      <c r="C51" s="43">
        <f t="shared" ref="C51:C78" si="85">M51</f>
        <v>1045815</v>
      </c>
      <c r="D51" s="31">
        <f t="shared" si="76"/>
        <v>2858328</v>
      </c>
      <c r="E51" s="26">
        <f t="shared" si="9"/>
        <v>1.0054403527372759</v>
      </c>
      <c r="F51" s="26" t="s">
        <v>82</v>
      </c>
      <c r="G51" s="26">
        <v>14872.488160434723</v>
      </c>
      <c r="H51" s="5">
        <f t="shared" ref="H51:H76" si="86">R51</f>
        <v>1045815</v>
      </c>
      <c r="I51" s="5">
        <f t="shared" si="11"/>
        <v>2557187.9481640672</v>
      </c>
      <c r="J51" s="26">
        <f t="shared" si="12"/>
        <v>0.89411171124051547</v>
      </c>
      <c r="K51" s="26">
        <f t="shared" si="57"/>
        <v>0.40891906187958105</v>
      </c>
      <c r="L51">
        <v>1997</v>
      </c>
      <c r="M51" s="43">
        <v>1045815</v>
      </c>
      <c r="N51" s="31">
        <v>2858328</v>
      </c>
      <c r="P51" t="str">
        <f t="shared" si="80"/>
        <v>Brittany</v>
      </c>
      <c r="Q51">
        <f t="shared" si="78"/>
        <v>1997</v>
      </c>
      <c r="R51" s="5">
        <f t="shared" si="81"/>
        <v>1045815</v>
      </c>
      <c r="S51" s="5">
        <f t="shared" ref="S51:S71" si="87">AX51</f>
        <v>1134098.414512618</v>
      </c>
      <c r="T51" s="57">
        <f t="shared" si="13"/>
        <v>7.7844579785042778E-2</v>
      </c>
      <c r="U51" s="69">
        <f t="shared" si="14"/>
        <v>88283.414512617979</v>
      </c>
      <c r="V51" s="29">
        <f t="shared" ref="V51:V76" si="88">S51</f>
        <v>1134098.414512618</v>
      </c>
      <c r="W51" s="5">
        <f>$S54*$W$2</f>
        <v>246397.16837575287</v>
      </c>
      <c r="X51" s="5">
        <f>$S55*$X$2</f>
        <v>2037682.413012218</v>
      </c>
      <c r="Y51" s="5">
        <f>$S56*$Y$2</f>
        <v>270192.25280034391</v>
      </c>
      <c r="Z51" s="31">
        <f>$S57*$DF57</f>
        <v>2916.1139757523961</v>
      </c>
      <c r="AA51" s="22">
        <f t="shared" si="82"/>
        <v>2557187.9481640672</v>
      </c>
      <c r="AB51" s="32">
        <f t="shared" si="77"/>
        <v>246397.16837575287</v>
      </c>
      <c r="AC51" s="32">
        <f t="shared" si="72"/>
        <v>2037682.413012218</v>
      </c>
      <c r="AD51" s="32">
        <f>$V56*$Y$2</f>
        <v>270192.25280034391</v>
      </c>
      <c r="AE51" s="32">
        <f t="shared" si="68"/>
        <v>0</v>
      </c>
      <c r="AF51" s="12">
        <f t="shared" si="69"/>
        <v>2554271.8341883146</v>
      </c>
      <c r="AG51" s="12">
        <f t="shared" si="20"/>
        <v>1997</v>
      </c>
      <c r="AH51" s="56">
        <f t="shared" si="21"/>
        <v>9.6354735502587399E-2</v>
      </c>
      <c r="AI51" s="56">
        <f t="shared" si="22"/>
        <v>0.79684499313989487</v>
      </c>
      <c r="AJ51" s="56">
        <f t="shared" si="23"/>
        <v>0.10565991169883637</v>
      </c>
      <c r="AK51" s="56"/>
      <c r="AL51" s="56"/>
      <c r="AM51" s="68">
        <f t="shared" si="24"/>
        <v>1997</v>
      </c>
      <c r="AN51" s="60">
        <f t="shared" si="48"/>
        <v>930757.12945034099</v>
      </c>
      <c r="AO51" s="56">
        <f t="shared" si="58"/>
        <v>0.5</v>
      </c>
      <c r="AP51">
        <f t="shared" si="26"/>
        <v>465378.56472517049</v>
      </c>
      <c r="AQ51" s="59">
        <f t="shared" si="59"/>
        <v>1626703.7165041217</v>
      </c>
      <c r="AR51" s="59">
        <f t="shared" si="27"/>
        <v>465378.56472517049</v>
      </c>
      <c r="AS51" t="s">
        <v>53</v>
      </c>
      <c r="AT51" s="19">
        <v>1997</v>
      </c>
      <c r="AU51" s="14">
        <v>1045815</v>
      </c>
      <c r="AV51" s="5">
        <f t="shared" ref="AV51:AV76" si="89">AX51-AU51</f>
        <v>88283.414512617979</v>
      </c>
      <c r="AW51" s="41">
        <f t="shared" ref="AW51:AW76" si="90">AV51/AX51</f>
        <v>7.784457978504275E-2</v>
      </c>
      <c r="AX51" s="12">
        <v>1134098.414512618</v>
      </c>
      <c r="AY51" s="6">
        <f t="shared" ref="AY51:AY60" si="91">(AX51-CG51)/CG51</f>
        <v>-0.32886158733977194</v>
      </c>
      <c r="AZ51" s="6"/>
      <c r="BA51">
        <v>1997</v>
      </c>
      <c r="BI51" s="27">
        <f t="shared" si="71"/>
        <v>0.18</v>
      </c>
      <c r="BL51" s="6"/>
      <c r="BP51" s="5"/>
      <c r="BR51" s="26">
        <v>0.18</v>
      </c>
      <c r="CE51" t="s">
        <v>55</v>
      </c>
      <c r="CF51">
        <v>1997</v>
      </c>
      <c r="CG51" s="12">
        <v>1689813</v>
      </c>
      <c r="CH51" s="5">
        <v>38231</v>
      </c>
      <c r="CI51">
        <v>0</v>
      </c>
      <c r="CJ51">
        <v>20</v>
      </c>
      <c r="CK51">
        <v>191</v>
      </c>
      <c r="CL51">
        <v>0</v>
      </c>
      <c r="CM51" s="5">
        <v>31764</v>
      </c>
      <c r="CN51" s="14">
        <v>1619608</v>
      </c>
      <c r="CO51" s="5">
        <f t="shared" si="45"/>
        <v>1689814</v>
      </c>
      <c r="CP51" s="5"/>
      <c r="CQ51" s="41">
        <v>4.2000000000000003E-2</v>
      </c>
      <c r="CW51">
        <v>1997</v>
      </c>
      <c r="CX51" s="5">
        <v>1045815</v>
      </c>
      <c r="CY51" s="5">
        <v>2858328</v>
      </c>
      <c r="CZ51" s="6">
        <f t="shared" si="83"/>
        <v>0</v>
      </c>
      <c r="DA51" s="6">
        <f t="shared" si="84"/>
        <v>0.11903829566687722</v>
      </c>
      <c r="DI51">
        <v>1997</v>
      </c>
      <c r="DJ51" s="5">
        <v>1137153.1204357899</v>
      </c>
      <c r="DK51" s="29">
        <v>955315.20151580998</v>
      </c>
      <c r="DL51" s="5">
        <f t="shared" ref="DL51:DL76" si="92">DJ51-DK51</f>
        <v>181837.91891997994</v>
      </c>
      <c r="DM51" s="6">
        <f t="shared" ref="DM51:DM76" si="93">DL51/DJ51</f>
        <v>0.15990627440770194</v>
      </c>
      <c r="DO51" s="34">
        <f t="shared" ref="DO51:DO76" si="94">(M51-DK51)/DJ51</f>
        <v>7.9584531632387268E-2</v>
      </c>
      <c r="DP51" s="6">
        <f t="shared" ref="DP51:DP76" si="95">(AW51-DM51)/DM51</f>
        <v>-0.51318620814985771</v>
      </c>
    </row>
    <row r="52" spans="1:120" x14ac:dyDescent="0.35">
      <c r="A52" t="s">
        <v>73</v>
      </c>
      <c r="B52">
        <f t="shared" si="6"/>
        <v>1998</v>
      </c>
      <c r="C52" s="43">
        <f t="shared" si="85"/>
        <v>3561043</v>
      </c>
      <c r="D52" s="31">
        <f t="shared" si="76"/>
        <v>2785129</v>
      </c>
      <c r="E52" s="26">
        <f t="shared" si="9"/>
        <v>-0.24575928760684423</v>
      </c>
      <c r="F52" s="26" t="s">
        <v>82</v>
      </c>
      <c r="G52" s="26">
        <v>15603.573761947853</v>
      </c>
      <c r="H52" s="5">
        <f t="shared" si="86"/>
        <v>3561043</v>
      </c>
      <c r="I52" s="5">
        <f t="shared" si="11"/>
        <v>2766941.9917605631</v>
      </c>
      <c r="J52" s="26">
        <f t="shared" si="12"/>
        <v>-0.25231074320517038</v>
      </c>
      <c r="K52" s="26">
        <f t="shared" si="57"/>
        <v>0.81100709002729454</v>
      </c>
      <c r="L52">
        <v>1998</v>
      </c>
      <c r="M52" s="43">
        <v>3561043</v>
      </c>
      <c r="N52" s="31">
        <v>2785129</v>
      </c>
      <c r="P52" t="str">
        <f t="shared" si="80"/>
        <v>Brittany</v>
      </c>
      <c r="Q52">
        <f t="shared" si="78"/>
        <v>1998</v>
      </c>
      <c r="R52" s="5">
        <f t="shared" si="81"/>
        <v>3561043</v>
      </c>
      <c r="S52" s="5">
        <f t="shared" si="87"/>
        <v>4069680.1971950848</v>
      </c>
      <c r="T52" s="57">
        <f t="shared" si="13"/>
        <v>0.12498210487046357</v>
      </c>
      <c r="U52" s="69">
        <f t="shared" si="14"/>
        <v>508637.19719508477</v>
      </c>
      <c r="V52" s="29">
        <f t="shared" si="88"/>
        <v>4069680.1971950848</v>
      </c>
      <c r="W52" s="5">
        <f>$S55*$W$2</f>
        <v>1018841.206506109</v>
      </c>
      <c r="X52" s="5">
        <f>$S56*$X$2</f>
        <v>1621153.5168020632</v>
      </c>
      <c r="Y52" s="31">
        <f>$S57*$DE57</f>
        <v>122476.78698160063</v>
      </c>
      <c r="Z52" s="31">
        <f t="shared" ref="Z52:Z76" si="96">$S58*DF58</f>
        <v>4470.4814707902096</v>
      </c>
      <c r="AA52" s="22">
        <f t="shared" si="82"/>
        <v>2766941.9917605631</v>
      </c>
      <c r="AB52" s="32">
        <f t="shared" si="77"/>
        <v>1018841.206506109</v>
      </c>
      <c r="AC52" s="32">
        <f t="shared" si="72"/>
        <v>1621153.5168020632</v>
      </c>
      <c r="AD52" s="32">
        <f t="shared" si="70"/>
        <v>200628.64153176488</v>
      </c>
      <c r="AE52" s="32">
        <f t="shared" si="68"/>
        <v>0</v>
      </c>
      <c r="AF52" s="12">
        <f t="shared" si="69"/>
        <v>2840623.3648399371</v>
      </c>
      <c r="AG52" s="12">
        <f t="shared" si="20"/>
        <v>1998</v>
      </c>
      <c r="AH52" s="56">
        <f t="shared" si="21"/>
        <v>0.36821921440349237</v>
      </c>
      <c r="AI52" s="56">
        <f t="shared" si="22"/>
        <v>0.58590079648563498</v>
      </c>
      <c r="AJ52" s="56">
        <f t="shared" si="23"/>
        <v>4.4264313218821953E-2</v>
      </c>
      <c r="AK52" s="56"/>
      <c r="AL52" s="56"/>
      <c r="AM52" s="68">
        <f t="shared" si="24"/>
        <v>1998</v>
      </c>
      <c r="AN52" s="60">
        <f t="shared" si="48"/>
        <v>3421228.3853510665</v>
      </c>
      <c r="AO52" s="56">
        <f t="shared" si="58"/>
        <v>0.5</v>
      </c>
      <c r="AP52">
        <f t="shared" si="26"/>
        <v>1710614.1926755332</v>
      </c>
      <c r="AQ52" s="59">
        <f t="shared" si="59"/>
        <v>4152729.6293487018</v>
      </c>
      <c r="AR52" s="59">
        <f t="shared" si="27"/>
        <v>1710614.1926755332</v>
      </c>
      <c r="AS52" t="s">
        <v>53</v>
      </c>
      <c r="AT52" s="19">
        <v>1998</v>
      </c>
      <c r="AU52" s="14">
        <v>3561043</v>
      </c>
      <c r="AV52" s="5">
        <f t="shared" si="89"/>
        <v>508637.19719508477</v>
      </c>
      <c r="AW52" s="41">
        <f t="shared" si="90"/>
        <v>0.12498210487046353</v>
      </c>
      <c r="AX52" s="12">
        <v>4069680.1971950848</v>
      </c>
      <c r="AY52" s="6">
        <f t="shared" si="91"/>
        <v>-5.7344078121006094E-3</v>
      </c>
      <c r="AZ52" s="6"/>
      <c r="BA52">
        <v>1998</v>
      </c>
      <c r="BI52" s="27">
        <f t="shared" si="71"/>
        <v>0.36</v>
      </c>
      <c r="BL52" s="6"/>
      <c r="BP52" s="5"/>
      <c r="BR52" s="26">
        <v>0.36</v>
      </c>
      <c r="CE52" t="s">
        <v>55</v>
      </c>
      <c r="CF52">
        <v>1998</v>
      </c>
      <c r="CG52" s="12">
        <v>4093152</v>
      </c>
      <c r="CH52" s="5">
        <v>334938</v>
      </c>
      <c r="CI52" s="5">
        <v>80296</v>
      </c>
      <c r="CJ52">
        <v>0</v>
      </c>
      <c r="CK52" s="5">
        <v>26006</v>
      </c>
      <c r="CL52">
        <v>0</v>
      </c>
      <c r="CM52" s="5">
        <v>28281</v>
      </c>
      <c r="CN52" s="14">
        <v>3623631</v>
      </c>
      <c r="CO52" s="5">
        <f t="shared" si="45"/>
        <v>4093152</v>
      </c>
      <c r="CP52" s="5"/>
      <c r="CQ52" s="41">
        <v>0.115</v>
      </c>
      <c r="CW52">
        <v>1998</v>
      </c>
      <c r="CX52" s="5">
        <v>3561043</v>
      </c>
      <c r="CY52" s="5">
        <v>2785129</v>
      </c>
      <c r="CZ52" s="6">
        <f t="shared" si="83"/>
        <v>0</v>
      </c>
      <c r="DA52" s="6">
        <f t="shared" si="84"/>
        <v>-1.9535981266233109E-2</v>
      </c>
      <c r="DI52">
        <v>1998</v>
      </c>
      <c r="DJ52" s="5">
        <v>4085678.7589310301</v>
      </c>
      <c r="DK52" s="29">
        <v>3384399.7947341399</v>
      </c>
      <c r="DL52" s="5">
        <f t="shared" si="92"/>
        <v>701278.96419689013</v>
      </c>
      <c r="DM52" s="6">
        <f t="shared" si="93"/>
        <v>0.17164319702422506</v>
      </c>
      <c r="DO52" s="34">
        <f t="shared" si="94"/>
        <v>4.3234726880993626E-2</v>
      </c>
      <c r="DP52" s="6">
        <f t="shared" si="95"/>
        <v>-0.27184935355856815</v>
      </c>
    </row>
    <row r="53" spans="1:120" x14ac:dyDescent="0.35">
      <c r="A53" t="s">
        <v>73</v>
      </c>
      <c r="B53">
        <f t="shared" si="6"/>
        <v>1999</v>
      </c>
      <c r="C53" s="43">
        <f t="shared" si="85"/>
        <v>2987256</v>
      </c>
      <c r="D53" s="31">
        <f t="shared" si="76"/>
        <v>2232718</v>
      </c>
      <c r="E53" s="26">
        <f t="shared" si="9"/>
        <v>-0.29113556290450376</v>
      </c>
      <c r="F53" s="26" t="s">
        <v>82</v>
      </c>
      <c r="G53" s="26">
        <v>16392.771166029168</v>
      </c>
      <c r="H53" s="5">
        <f t="shared" si="86"/>
        <v>2987256</v>
      </c>
      <c r="I53" s="5">
        <f t="shared" si="11"/>
        <v>3598370.8542432808</v>
      </c>
      <c r="J53" s="26">
        <f t="shared" si="12"/>
        <v>0.18612596226474895</v>
      </c>
      <c r="K53" s="26">
        <f t="shared" si="57"/>
        <v>0.89618946456744586</v>
      </c>
      <c r="L53">
        <v>1999</v>
      </c>
      <c r="M53" s="43">
        <v>2987256</v>
      </c>
      <c r="N53" s="31">
        <v>2232718</v>
      </c>
      <c r="P53" t="str">
        <f t="shared" si="80"/>
        <v>Brittany</v>
      </c>
      <c r="Q53">
        <f t="shared" si="78"/>
        <v>1999</v>
      </c>
      <c r="R53" s="5">
        <f t="shared" si="81"/>
        <v>2987256</v>
      </c>
      <c r="S53" s="5">
        <f t="shared" si="87"/>
        <v>3083677.2941336296</v>
      </c>
      <c r="T53" s="57">
        <f t="shared" si="13"/>
        <v>3.1268282941623315E-2</v>
      </c>
      <c r="U53" s="69">
        <f t="shared" si="14"/>
        <v>96421.29413362965</v>
      </c>
      <c r="V53" s="29">
        <f t="shared" si="88"/>
        <v>3083677.2941336296</v>
      </c>
      <c r="W53" s="5">
        <f>$S56*$W$2</f>
        <v>810576.75840103161</v>
      </c>
      <c r="X53" s="31">
        <f>$S57*$DD57</f>
        <v>1825487.348821</v>
      </c>
      <c r="Y53" s="31">
        <f t="shared" ref="Y53:Y76" si="97">$S58*DE58</f>
        <v>952212.55327831465</v>
      </c>
      <c r="Z53" s="31">
        <f t="shared" si="96"/>
        <v>10094.19374293412</v>
      </c>
      <c r="AA53" s="22">
        <f t="shared" si="82"/>
        <v>3598370.8542432808</v>
      </c>
      <c r="AB53" s="32">
        <f t="shared" si="77"/>
        <v>810576.75840103161</v>
      </c>
      <c r="AC53" s="32">
        <f t="shared" si="72"/>
        <v>1203771.849190589</v>
      </c>
      <c r="AD53" s="32">
        <f t="shared" si="70"/>
        <v>335286.11030926579</v>
      </c>
      <c r="AE53" s="32">
        <f t="shared" si="68"/>
        <v>0</v>
      </c>
      <c r="AF53" s="12">
        <f t="shared" si="69"/>
        <v>2349634.7179008862</v>
      </c>
      <c r="AG53" s="12">
        <f t="shared" si="20"/>
        <v>1999</v>
      </c>
      <c r="AH53" s="56">
        <f t="shared" si="21"/>
        <v>0.22526215091064919</v>
      </c>
      <c r="AI53" s="56">
        <f t="shared" si="22"/>
        <v>0.5073093971590904</v>
      </c>
      <c r="AJ53" s="56">
        <f t="shared" si="23"/>
        <v>0.26462323975180158</v>
      </c>
      <c r="AK53" s="56"/>
      <c r="AL53" s="56"/>
      <c r="AM53" s="68">
        <f t="shared" si="24"/>
        <v>1999</v>
      </c>
      <c r="AN53" s="60">
        <f t="shared" si="48"/>
        <v>2271561.4604106741</v>
      </c>
      <c r="AO53" s="56">
        <f t="shared" si="58"/>
        <v>0.5</v>
      </c>
      <c r="AP53">
        <f t="shared" si="26"/>
        <v>1135780.7302053371</v>
      </c>
      <c r="AQ53" s="59">
        <f t="shared" si="59"/>
        <v>4277268.5811405908</v>
      </c>
      <c r="AR53" s="59">
        <f t="shared" si="27"/>
        <v>1135780.7302053371</v>
      </c>
      <c r="AS53" t="s">
        <v>53</v>
      </c>
      <c r="AT53" s="19">
        <v>1999</v>
      </c>
      <c r="AU53" s="14">
        <v>2987256</v>
      </c>
      <c r="AV53" s="5">
        <f t="shared" si="89"/>
        <v>96421.29413362965</v>
      </c>
      <c r="AW53" s="41">
        <f t="shared" si="90"/>
        <v>3.1268282941623295E-2</v>
      </c>
      <c r="AX53" s="12">
        <v>3083677.2941336296</v>
      </c>
      <c r="AY53" s="6">
        <f t="shared" si="91"/>
        <v>9.4269835674766992E-3</v>
      </c>
      <c r="AZ53" s="6"/>
      <c r="BA53">
        <v>1999</v>
      </c>
      <c r="BI53" s="27">
        <f t="shared" si="71"/>
        <v>0.15</v>
      </c>
      <c r="BL53" s="6"/>
      <c r="BP53" s="5"/>
      <c r="BR53" s="26">
        <v>0.15</v>
      </c>
      <c r="CE53" t="s">
        <v>55</v>
      </c>
      <c r="CF53">
        <v>1999</v>
      </c>
      <c r="CG53" s="12">
        <v>3054879</v>
      </c>
      <c r="CH53" s="5">
        <v>15202</v>
      </c>
      <c r="CI53">
        <v>0</v>
      </c>
      <c r="CJ53">
        <v>0</v>
      </c>
      <c r="CK53">
        <v>71</v>
      </c>
      <c r="CL53">
        <v>0</v>
      </c>
      <c r="CM53" s="5">
        <v>54640</v>
      </c>
      <c r="CN53" s="14">
        <v>2984966</v>
      </c>
      <c r="CO53" s="5">
        <f t="shared" si="45"/>
        <v>3054879</v>
      </c>
      <c r="CP53" s="5"/>
      <c r="CQ53" s="41">
        <v>2.3E-2</v>
      </c>
      <c r="CW53">
        <v>1999</v>
      </c>
      <c r="CX53" s="5">
        <v>2987256</v>
      </c>
      <c r="CY53" s="5">
        <v>2232718</v>
      </c>
      <c r="CZ53" s="6">
        <f t="shared" si="83"/>
        <v>0</v>
      </c>
      <c r="DA53" s="6">
        <f t="shared" si="84"/>
        <v>-4.9759529432446041E-2</v>
      </c>
      <c r="DI53">
        <v>1999</v>
      </c>
      <c r="DJ53" s="5">
        <v>3086172.18647613</v>
      </c>
      <c r="DK53" s="29">
        <v>2774503.6118896301</v>
      </c>
      <c r="DL53" s="5">
        <f t="shared" si="92"/>
        <v>311668.57458649995</v>
      </c>
      <c r="DM53" s="6">
        <f t="shared" si="93"/>
        <v>0.10098871863088464</v>
      </c>
      <c r="DO53" s="34">
        <f t="shared" si="94"/>
        <v>6.8937303317899448E-2</v>
      </c>
      <c r="DP53" s="6">
        <f t="shared" si="95"/>
        <v>-0.69037845646988183</v>
      </c>
    </row>
    <row r="54" spans="1:120" x14ac:dyDescent="0.35">
      <c r="A54" t="s">
        <v>73</v>
      </c>
      <c r="B54">
        <f t="shared" si="6"/>
        <v>2000</v>
      </c>
      <c r="C54" s="43">
        <f t="shared" si="85"/>
        <v>699976</v>
      </c>
      <c r="D54" s="31">
        <f t="shared" si="76"/>
        <v>2988615</v>
      </c>
      <c r="E54" s="26">
        <f t="shared" si="9"/>
        <v>1.4515192996258222</v>
      </c>
      <c r="F54" s="26" t="s">
        <v>82</v>
      </c>
      <c r="G54" s="26">
        <v>17244.699505637574</v>
      </c>
      <c r="H54" s="5">
        <f t="shared" si="86"/>
        <v>699976</v>
      </c>
      <c r="I54" s="5">
        <f t="shared" si="11"/>
        <v>2282485.9433021657</v>
      </c>
      <c r="J54" s="26">
        <f t="shared" si="12"/>
        <v>1.1819744052431649</v>
      </c>
      <c r="K54" s="26">
        <f t="shared" si="57"/>
        <v>0.48386455044812315</v>
      </c>
      <c r="L54">
        <v>2000</v>
      </c>
      <c r="M54" s="43">
        <v>699976</v>
      </c>
      <c r="N54" s="31">
        <v>2988615</v>
      </c>
      <c r="P54" t="str">
        <f t="shared" si="80"/>
        <v>Brittany</v>
      </c>
      <c r="Q54">
        <f t="shared" si="78"/>
        <v>2000</v>
      </c>
      <c r="R54" s="5">
        <f t="shared" si="81"/>
        <v>699976</v>
      </c>
      <c r="S54" s="5">
        <f t="shared" si="87"/>
        <v>821323.89458584297</v>
      </c>
      <c r="T54" s="57">
        <f t="shared" si="13"/>
        <v>0.147746699427311</v>
      </c>
      <c r="U54" s="69">
        <f t="shared" si="14"/>
        <v>121347.89458584297</v>
      </c>
      <c r="V54" s="29">
        <f t="shared" si="88"/>
        <v>821323.89458584297</v>
      </c>
      <c r="W54" s="31">
        <f>$S57*$DC57</f>
        <v>55406.165539295529</v>
      </c>
      <c r="X54" s="31">
        <f t="shared" ref="X54:X76" si="98">$S58*DD58</f>
        <v>1926777.5139105804</v>
      </c>
      <c r="Y54" s="31">
        <f t="shared" si="97"/>
        <v>300302.26385229005</v>
      </c>
      <c r="Z54" s="31">
        <f t="shared" si="96"/>
        <v>0</v>
      </c>
      <c r="AA54" s="22">
        <f t="shared" si="82"/>
        <v>2282485.9433021657</v>
      </c>
      <c r="AB54" s="32">
        <f t="shared" si="77"/>
        <v>601885.92459529452</v>
      </c>
      <c r="AC54" s="32">
        <f t="shared" si="72"/>
        <v>2011716.6618555943</v>
      </c>
      <c r="AD54" s="32">
        <f t="shared" si="70"/>
        <v>180433.71315494739</v>
      </c>
      <c r="AE54" s="32">
        <f t="shared" si="68"/>
        <v>0</v>
      </c>
      <c r="AF54" s="12">
        <f t="shared" si="69"/>
        <v>2794036.2996058362</v>
      </c>
      <c r="AG54" s="12">
        <f t="shared" si="20"/>
        <v>2000</v>
      </c>
      <c r="AH54" s="56">
        <f t="shared" si="21"/>
        <v>2.427448269807838E-2</v>
      </c>
      <c r="AI54" s="56">
        <f t="shared" si="22"/>
        <v>0.84415745015412125</v>
      </c>
      <c r="AJ54" s="56">
        <f t="shared" si="23"/>
        <v>0.13156806714780048</v>
      </c>
      <c r="AK54" s="56"/>
      <c r="AL54" s="56"/>
      <c r="AM54" s="68">
        <f t="shared" si="24"/>
        <v>2000</v>
      </c>
      <c r="AN54" s="60">
        <f t="shared" si="48"/>
        <v>533356.44796386722</v>
      </c>
      <c r="AO54" s="56">
        <f t="shared" si="58"/>
        <v>0.5</v>
      </c>
      <c r="AP54">
        <f t="shared" si="26"/>
        <v>266678.22398193361</v>
      </c>
      <c r="AQ54" s="59">
        <f t="shared" si="59"/>
        <v>1135443.6612575985</v>
      </c>
      <c r="AR54" s="59">
        <f t="shared" si="27"/>
        <v>266678.22398193361</v>
      </c>
      <c r="AS54" t="s">
        <v>53</v>
      </c>
      <c r="AT54" s="19">
        <v>2000</v>
      </c>
      <c r="AU54" s="14">
        <v>699976</v>
      </c>
      <c r="AV54" s="5">
        <f t="shared" si="89"/>
        <v>121347.89458584297</v>
      </c>
      <c r="AW54" s="41">
        <f t="shared" si="90"/>
        <v>0.14774669942731095</v>
      </c>
      <c r="AX54" s="12">
        <v>821323.89458584297</v>
      </c>
      <c r="AY54" s="6">
        <f t="shared" si="91"/>
        <v>1.8010685003269692E-2</v>
      </c>
      <c r="AZ54" s="6"/>
      <c r="BA54">
        <v>2000</v>
      </c>
      <c r="BI54" s="27">
        <f t="shared" si="71"/>
        <v>0.31</v>
      </c>
      <c r="BL54" s="6"/>
      <c r="BP54" s="5"/>
      <c r="BR54" s="26">
        <v>0.31</v>
      </c>
      <c r="CE54" t="s">
        <v>55</v>
      </c>
      <c r="CF54">
        <v>2000</v>
      </c>
      <c r="CG54" s="12">
        <v>806793</v>
      </c>
      <c r="CH54" s="5">
        <v>59602</v>
      </c>
      <c r="CI54">
        <v>17</v>
      </c>
      <c r="CJ54">
        <v>4</v>
      </c>
      <c r="CK54">
        <v>243</v>
      </c>
      <c r="CL54">
        <v>0</v>
      </c>
      <c r="CM54" s="5">
        <v>24188</v>
      </c>
      <c r="CN54" s="14">
        <v>722739</v>
      </c>
      <c r="CO54" s="5">
        <f t="shared" si="45"/>
        <v>806793</v>
      </c>
      <c r="CP54" s="5"/>
      <c r="CQ54" s="41">
        <v>0.104</v>
      </c>
      <c r="CW54">
        <v>2000</v>
      </c>
      <c r="CX54" s="5">
        <v>699976</v>
      </c>
      <c r="CY54" s="5">
        <v>2988615</v>
      </c>
      <c r="CZ54" s="6">
        <f t="shared" si="83"/>
        <v>0</v>
      </c>
      <c r="DA54" s="6">
        <f t="shared" si="84"/>
        <v>6.9640720280410712E-2</v>
      </c>
      <c r="DI54">
        <v>2000</v>
      </c>
      <c r="DJ54" s="5">
        <v>813977.815497573</v>
      </c>
      <c r="DK54" s="29">
        <v>697074.96151265095</v>
      </c>
      <c r="DL54" s="5">
        <f t="shared" si="92"/>
        <v>116902.85398492205</v>
      </c>
      <c r="DM54" s="6">
        <f t="shared" si="93"/>
        <v>0.14361921388909232</v>
      </c>
      <c r="DO54" s="34">
        <f t="shared" si="94"/>
        <v>3.5640264785050577E-3</v>
      </c>
      <c r="DP54" s="6">
        <f t="shared" si="95"/>
        <v>2.8739090170804085E-2</v>
      </c>
    </row>
    <row r="55" spans="1:120" x14ac:dyDescent="0.35">
      <c r="A55" t="s">
        <v>73</v>
      </c>
      <c r="B55">
        <f t="shared" si="6"/>
        <v>2001</v>
      </c>
      <c r="C55" s="43">
        <f t="shared" si="85"/>
        <v>3151893</v>
      </c>
      <c r="D55" s="31">
        <f t="shared" si="76"/>
        <v>2160110</v>
      </c>
      <c r="E55" s="26">
        <f t="shared" si="9"/>
        <v>-0.37784407839360423</v>
      </c>
      <c r="F55" s="26" t="s">
        <v>82</v>
      </c>
      <c r="G55" s="26">
        <v>18164.345074762063</v>
      </c>
      <c r="H55" s="5">
        <f t="shared" si="86"/>
        <v>3151893</v>
      </c>
      <c r="I55" s="5">
        <f t="shared" si="11"/>
        <v>1868662.078775011</v>
      </c>
      <c r="J55" s="26">
        <f t="shared" si="12"/>
        <v>-0.52278051581601337</v>
      </c>
      <c r="K55" s="26">
        <f t="shared" si="57"/>
        <v>0.28864243394939038</v>
      </c>
      <c r="L55">
        <v>2001</v>
      </c>
      <c r="M55" s="43">
        <v>3151893</v>
      </c>
      <c r="N55" s="31">
        <v>2160110</v>
      </c>
      <c r="P55" t="str">
        <f t="shared" si="80"/>
        <v>Brittany</v>
      </c>
      <c r="Q55">
        <f t="shared" si="78"/>
        <v>2001</v>
      </c>
      <c r="R55" s="5">
        <f t="shared" si="81"/>
        <v>3151893</v>
      </c>
      <c r="S55" s="5">
        <f t="shared" si="87"/>
        <v>3396137.3550203633</v>
      </c>
      <c r="T55" s="57">
        <f t="shared" si="13"/>
        <v>7.1918279353250347E-2</v>
      </c>
      <c r="U55" s="69">
        <f t="shared" si="14"/>
        <v>244244.35502036335</v>
      </c>
      <c r="V55" s="29">
        <f t="shared" si="88"/>
        <v>3396137.3550203633</v>
      </c>
      <c r="W55" s="31">
        <f t="shared" ref="W55:W76" si="99">$S58*DC58</f>
        <v>469400.5544329721</v>
      </c>
      <c r="X55" s="31">
        <f t="shared" si="98"/>
        <v>1332433.5740673039</v>
      </c>
      <c r="Y55" s="31">
        <f t="shared" si="97"/>
        <v>66827.950274735049</v>
      </c>
      <c r="Z55" s="31">
        <f t="shared" si="96"/>
        <v>0</v>
      </c>
      <c r="AA55" s="22">
        <f t="shared" si="82"/>
        <v>1868662.078775011</v>
      </c>
      <c r="AB55" s="32">
        <f t="shared" si="77"/>
        <v>1005858.3309277971</v>
      </c>
      <c r="AC55" s="32">
        <f t="shared" si="72"/>
        <v>1082602.2789296843</v>
      </c>
      <c r="AD55" s="32">
        <f t="shared" si="70"/>
        <v>268366.97926117288</v>
      </c>
      <c r="AE55" s="32">
        <f t="shared" si="68"/>
        <v>0</v>
      </c>
      <c r="AF55" s="12">
        <f t="shared" si="69"/>
        <v>2356827.5891186544</v>
      </c>
      <c r="AG55" s="12">
        <f t="shared" si="20"/>
        <v>2001</v>
      </c>
      <c r="AH55" s="56">
        <f t="shared" si="21"/>
        <v>0.25119606148409912</v>
      </c>
      <c r="AI55" s="56">
        <f t="shared" si="22"/>
        <v>0.71304147989173727</v>
      </c>
      <c r="AJ55" s="56">
        <f t="shared" si="23"/>
        <v>3.5762458624163697E-2</v>
      </c>
      <c r="AK55" s="56"/>
      <c r="AL55" s="56"/>
      <c r="AM55" s="68">
        <f t="shared" si="24"/>
        <v>2001</v>
      </c>
      <c r="AN55" s="60">
        <f t="shared" si="48"/>
        <v>3041829.9626251995</v>
      </c>
      <c r="AO55" s="56">
        <f t="shared" si="58"/>
        <v>0.5</v>
      </c>
      <c r="AP55">
        <f t="shared" si="26"/>
        <v>1520914.9813125997</v>
      </c>
      <c r="AQ55" s="59">
        <f t="shared" si="59"/>
        <v>2461202.2184002786</v>
      </c>
      <c r="AR55" s="59">
        <f t="shared" si="27"/>
        <v>1520914.9813125997</v>
      </c>
      <c r="AS55" t="s">
        <v>53</v>
      </c>
      <c r="AT55" s="19">
        <v>2001</v>
      </c>
      <c r="AU55" s="14">
        <v>3151893</v>
      </c>
      <c r="AV55" s="5">
        <f t="shared" si="89"/>
        <v>244244.35502036335</v>
      </c>
      <c r="AW55" s="41">
        <f t="shared" si="90"/>
        <v>7.1918279353250375E-2</v>
      </c>
      <c r="AX55" s="12">
        <v>3396137.3550203633</v>
      </c>
      <c r="AY55" s="6">
        <f t="shared" si="91"/>
        <v>-1.1710310667469729E-3</v>
      </c>
      <c r="AZ55" s="6"/>
      <c r="BA55">
        <v>2001</v>
      </c>
      <c r="BI55" s="27">
        <f t="shared" si="71"/>
        <v>0.32</v>
      </c>
      <c r="BL55" s="6"/>
      <c r="BP55" s="5"/>
      <c r="BR55" s="26">
        <v>0.32</v>
      </c>
      <c r="CE55" t="s">
        <v>55</v>
      </c>
      <c r="CF55">
        <v>2001</v>
      </c>
      <c r="CG55" s="12">
        <v>3400119</v>
      </c>
      <c r="CH55" s="5">
        <v>79639</v>
      </c>
      <c r="CI55" s="5">
        <v>6221</v>
      </c>
      <c r="CJ55">
        <v>541</v>
      </c>
      <c r="CK55" s="5">
        <v>2163</v>
      </c>
      <c r="CL55">
        <v>0</v>
      </c>
      <c r="CM55" s="5">
        <v>103574</v>
      </c>
      <c r="CN55" s="14">
        <v>3207981</v>
      </c>
      <c r="CO55" s="5">
        <f t="shared" si="45"/>
        <v>3400119</v>
      </c>
      <c r="CP55" s="5"/>
      <c r="CQ55" s="41">
        <v>5.7000000000000002E-2</v>
      </c>
      <c r="CW55">
        <v>2001</v>
      </c>
      <c r="CX55" s="5">
        <v>3151893</v>
      </c>
      <c r="CY55" s="5">
        <v>2160110</v>
      </c>
      <c r="CZ55" s="6">
        <f t="shared" si="83"/>
        <v>0</v>
      </c>
      <c r="DA55" s="6">
        <f t="shared" si="84"/>
        <v>-8.3467110630785574E-2</v>
      </c>
      <c r="DI55">
        <v>2001</v>
      </c>
      <c r="DJ55" s="5">
        <v>3398886.8274582499</v>
      </c>
      <c r="DK55" s="29">
        <v>3035230.7267200798</v>
      </c>
      <c r="DL55" s="5">
        <f t="shared" si="92"/>
        <v>363656.10073817009</v>
      </c>
      <c r="DM55" s="6">
        <f t="shared" si="93"/>
        <v>0.10699270649447272</v>
      </c>
      <c r="DO55" s="34">
        <f t="shared" si="94"/>
        <v>3.4323671014125062E-2</v>
      </c>
      <c r="DP55" s="6">
        <f t="shared" si="95"/>
        <v>-0.32782072993951511</v>
      </c>
    </row>
    <row r="56" spans="1:120" ht="15" thickBot="1" x14ac:dyDescent="0.4">
      <c r="A56" t="s">
        <v>73</v>
      </c>
      <c r="B56">
        <f t="shared" si="6"/>
        <v>2002</v>
      </c>
      <c r="C56" s="43">
        <f t="shared" si="85"/>
        <v>2302250</v>
      </c>
      <c r="D56" s="31">
        <f t="shared" si="76"/>
        <v>2425524</v>
      </c>
      <c r="E56" s="26">
        <f t="shared" si="9"/>
        <v>5.2160677901878581E-2</v>
      </c>
      <c r="F56" s="26" t="s">
        <v>82</v>
      </c>
      <c r="G56" s="26">
        <v>19157.090512951214</v>
      </c>
      <c r="H56" s="5">
        <f t="shared" si="86"/>
        <v>2302250</v>
      </c>
      <c r="I56" s="5">
        <f t="shared" si="11"/>
        <v>2826467.1680969703</v>
      </c>
      <c r="J56" s="26">
        <f t="shared" si="12"/>
        <v>0.20514067570148103</v>
      </c>
      <c r="K56" s="26">
        <f t="shared" si="57"/>
        <v>0.49347741142899099</v>
      </c>
      <c r="L56">
        <v>2002</v>
      </c>
      <c r="M56" s="43">
        <v>2302250</v>
      </c>
      <c r="N56" s="31">
        <v>2425524</v>
      </c>
      <c r="P56" t="str">
        <f t="shared" si="80"/>
        <v>Brittany</v>
      </c>
      <c r="Q56">
        <f t="shared" si="78"/>
        <v>2002</v>
      </c>
      <c r="R56" s="5">
        <f t="shared" si="81"/>
        <v>2302250</v>
      </c>
      <c r="S56" s="5">
        <f t="shared" si="87"/>
        <v>2701922.5280034388</v>
      </c>
      <c r="T56" s="57">
        <f t="shared" si="13"/>
        <v>0.14792153507775563</v>
      </c>
      <c r="U56" s="69">
        <f t="shared" si="14"/>
        <v>399672.52800343884</v>
      </c>
      <c r="V56" s="29">
        <f t="shared" si="88"/>
        <v>2701922.5280034388</v>
      </c>
      <c r="W56" s="31">
        <f t="shared" si="99"/>
        <v>161507.09988694591</v>
      </c>
      <c r="X56" s="31">
        <f t="shared" si="98"/>
        <v>2500772.2444914007</v>
      </c>
      <c r="Y56" s="31">
        <f t="shared" si="97"/>
        <v>164187.82371862367</v>
      </c>
      <c r="Z56" s="31">
        <f t="shared" si="96"/>
        <v>0</v>
      </c>
      <c r="AA56" s="22">
        <f t="shared" si="82"/>
        <v>2826467.1680969703</v>
      </c>
      <c r="AB56" s="32">
        <f t="shared" si="77"/>
        <v>541301.13946484216</v>
      </c>
      <c r="AC56" s="32">
        <f t="shared" si="72"/>
        <v>1610201.8755670369</v>
      </c>
      <c r="AD56" s="32">
        <f t="shared" si="70"/>
        <v>138263.43049989361</v>
      </c>
      <c r="AE56" s="32">
        <f t="shared" si="68"/>
        <v>0</v>
      </c>
      <c r="AF56" s="12">
        <f t="shared" si="69"/>
        <v>2289766.4455317724</v>
      </c>
      <c r="AG56" s="12">
        <f t="shared" si="20"/>
        <v>2002</v>
      </c>
      <c r="AH56" s="56">
        <f t="shared" si="21"/>
        <v>5.7140978572090363E-2</v>
      </c>
      <c r="AI56" s="56">
        <f t="shared" si="22"/>
        <v>0.88476960663765414</v>
      </c>
      <c r="AJ56" s="56">
        <f t="shared" si="23"/>
        <v>5.8089414790255478E-2</v>
      </c>
      <c r="AK56" s="56"/>
      <c r="AL56" s="56"/>
      <c r="AM56" s="68">
        <f t="shared" si="24"/>
        <v>2002</v>
      </c>
      <c r="AN56" s="60">
        <f t="shared" si="48"/>
        <v>3568471.689081165</v>
      </c>
      <c r="AO56" s="56">
        <f t="shared" si="58"/>
        <v>0.5</v>
      </c>
      <c r="AP56">
        <f t="shared" si="26"/>
        <v>1784235.8445405825</v>
      </c>
      <c r="AQ56" s="59">
        <f t="shared" si="59"/>
        <v>3013338.0480219838</v>
      </c>
      <c r="AR56" s="59">
        <f t="shared" si="27"/>
        <v>1784235.8445405825</v>
      </c>
      <c r="AS56" t="s">
        <v>53</v>
      </c>
      <c r="AT56" s="19">
        <v>2002</v>
      </c>
      <c r="AU56" s="14">
        <v>2302250</v>
      </c>
      <c r="AV56" s="5">
        <f t="shared" si="89"/>
        <v>399672.52800343884</v>
      </c>
      <c r="AW56" s="41">
        <f t="shared" si="90"/>
        <v>0.14792153507775563</v>
      </c>
      <c r="AX56" s="12">
        <v>2701922.5280034388</v>
      </c>
      <c r="AY56" s="6">
        <f t="shared" si="91"/>
        <v>-1.1577702571676814E-2</v>
      </c>
      <c r="AZ56" s="6"/>
      <c r="BA56">
        <v>2002</v>
      </c>
      <c r="BI56" s="27">
        <f t="shared" si="71"/>
        <v>0.4</v>
      </c>
      <c r="BL56" s="6"/>
      <c r="BP56" s="5"/>
      <c r="BR56" s="26">
        <v>0.4</v>
      </c>
      <c r="CE56" t="s">
        <v>55</v>
      </c>
      <c r="CF56">
        <v>2002</v>
      </c>
      <c r="CG56" s="12">
        <v>2733571</v>
      </c>
      <c r="CH56" s="5">
        <v>195862</v>
      </c>
      <c r="CI56" s="5">
        <v>25755</v>
      </c>
      <c r="CJ56">
        <v>140</v>
      </c>
      <c r="CK56" s="5">
        <v>77263</v>
      </c>
      <c r="CL56">
        <v>0</v>
      </c>
      <c r="CM56" s="5">
        <v>76370</v>
      </c>
      <c r="CN56" s="14">
        <v>2358181</v>
      </c>
      <c r="CO56" s="5">
        <f t="shared" si="45"/>
        <v>2733571</v>
      </c>
      <c r="CP56" s="5"/>
      <c r="CQ56" s="41">
        <v>0.13700000000000001</v>
      </c>
      <c r="CW56">
        <v>2002</v>
      </c>
      <c r="CX56" s="5">
        <v>2302250</v>
      </c>
      <c r="CY56" s="5">
        <v>2425524</v>
      </c>
      <c r="CZ56" s="6">
        <f t="shared" si="83"/>
        <v>0</v>
      </c>
      <c r="DA56" s="6">
        <f t="shared" si="84"/>
        <v>5.9288821675740552E-2</v>
      </c>
      <c r="DC56" s="23" t="s">
        <v>58</v>
      </c>
      <c r="DD56" s="23" t="s">
        <v>59</v>
      </c>
      <c r="DE56" s="23" t="s">
        <v>60</v>
      </c>
      <c r="DF56" s="24" t="s">
        <v>61</v>
      </c>
      <c r="DI56">
        <v>2002</v>
      </c>
      <c r="DJ56" s="5">
        <v>2711068.5666916599</v>
      </c>
      <c r="DK56" s="29">
        <v>2217562.0731851701</v>
      </c>
      <c r="DL56" s="5">
        <f t="shared" si="92"/>
        <v>493506.49350648979</v>
      </c>
      <c r="DM56" s="6">
        <f t="shared" si="93"/>
        <v>0.18203394025873715</v>
      </c>
      <c r="DO56" s="34">
        <f t="shared" si="94"/>
        <v>3.1237840258011376E-2</v>
      </c>
      <c r="DP56" s="6">
        <f t="shared" si="95"/>
        <v>-0.18739585119398752</v>
      </c>
    </row>
    <row r="57" spans="1:120" x14ac:dyDescent="0.35">
      <c r="A57" t="s">
        <v>73</v>
      </c>
      <c r="B57">
        <f t="shared" si="6"/>
        <v>2003</v>
      </c>
      <c r="C57" s="43">
        <f t="shared" si="85"/>
        <v>1494491</v>
      </c>
      <c r="D57" s="31">
        <f t="shared" si="76"/>
        <v>1619282</v>
      </c>
      <c r="E57" s="26">
        <f t="shared" si="9"/>
        <v>8.0197160478462634E-2</v>
      </c>
      <c r="F57" s="26" t="s">
        <v>82</v>
      </c>
      <c r="G57" s="26">
        <v>20228.746309633436</v>
      </c>
      <c r="H57" s="5">
        <f t="shared" si="86"/>
        <v>1494491</v>
      </c>
      <c r="I57" s="5">
        <f t="shared" si="11"/>
        <v>1321874.9421960777</v>
      </c>
      <c r="J57" s="26">
        <f t="shared" si="12"/>
        <v>-0.12273454111898989</v>
      </c>
      <c r="K57" s="26">
        <f t="shared" si="57"/>
        <v>-0.33169796223975051</v>
      </c>
      <c r="L57">
        <v>2003</v>
      </c>
      <c r="M57" s="43">
        <v>1494491</v>
      </c>
      <c r="N57" s="31">
        <v>1619282</v>
      </c>
      <c r="P57" s="25" t="str">
        <f t="shared" si="80"/>
        <v>Brittany</v>
      </c>
      <c r="Q57" s="25">
        <f t="shared" si="78"/>
        <v>2003</v>
      </c>
      <c r="R57" s="5">
        <f t="shared" si="81"/>
        <v>1494491</v>
      </c>
      <c r="S57" s="5">
        <f>AX57</f>
        <v>2006286.4153176486</v>
      </c>
      <c r="T57" s="57">
        <f t="shared" si="13"/>
        <v>0.25509588830895702</v>
      </c>
      <c r="U57" s="69">
        <f t="shared" si="14"/>
        <v>511795.41531764856</v>
      </c>
      <c r="V57" s="29">
        <f t="shared" si="88"/>
        <v>2006286.4153176486</v>
      </c>
      <c r="W57" s="31">
        <f t="shared" si="99"/>
        <v>116069.59784559246</v>
      </c>
      <c r="X57" s="31">
        <f t="shared" si="98"/>
        <v>1114748.9084053922</v>
      </c>
      <c r="Y57" s="31">
        <f t="shared" si="97"/>
        <v>91056.435945092977</v>
      </c>
      <c r="Z57" s="31">
        <f t="shared" si="96"/>
        <v>0</v>
      </c>
      <c r="AA57" s="22">
        <f t="shared" si="82"/>
        <v>1321874.9421960777</v>
      </c>
      <c r="AB57" s="32">
        <f t="shared" si="77"/>
        <v>805100.93778351846</v>
      </c>
      <c r="AC57" s="32">
        <f t="shared" si="72"/>
        <v>829580.58299936168</v>
      </c>
      <c r="AD57" s="32">
        <f t="shared" si="70"/>
        <v>123194.00157277285</v>
      </c>
      <c r="AE57" s="32">
        <f t="shared" si="68"/>
        <v>0</v>
      </c>
      <c r="AF57" s="12">
        <f t="shared" si="69"/>
        <v>1757875.5223556529</v>
      </c>
      <c r="AG57" s="12">
        <f t="shared" si="20"/>
        <v>2003</v>
      </c>
      <c r="AH57" s="56">
        <f t="shared" si="21"/>
        <v>8.7806791807976875E-2</v>
      </c>
      <c r="AI57" s="56">
        <f t="shared" si="22"/>
        <v>0.84330890375561574</v>
      </c>
      <c r="AJ57" s="56">
        <f t="shared" si="23"/>
        <v>6.8884304436407348E-2</v>
      </c>
      <c r="AK57" s="56"/>
      <c r="AL57" s="56"/>
      <c r="AM57" s="68">
        <f t="shared" si="24"/>
        <v>2003</v>
      </c>
      <c r="AN57" s="60">
        <f t="shared" si="48"/>
        <v>2381278.5779223652</v>
      </c>
      <c r="AO57" s="56">
        <f t="shared" si="58"/>
        <v>0.5</v>
      </c>
      <c r="AP57">
        <f t="shared" si="26"/>
        <v>1190639.2889611826</v>
      </c>
      <c r="AQ57" s="59">
        <f t="shared" si="59"/>
        <v>1269754.274798159</v>
      </c>
      <c r="AR57" s="59">
        <f t="shared" si="27"/>
        <v>1190639.2889611826</v>
      </c>
      <c r="AS57" t="s">
        <v>53</v>
      </c>
      <c r="AT57" s="19">
        <v>2003</v>
      </c>
      <c r="AU57" s="14">
        <v>1494491</v>
      </c>
      <c r="AV57" s="5">
        <f t="shared" si="89"/>
        <v>511795.41531764856</v>
      </c>
      <c r="AW57" s="41">
        <f t="shared" si="90"/>
        <v>0.25509588830895696</v>
      </c>
      <c r="AX57" s="12">
        <v>2006286.4153176486</v>
      </c>
      <c r="AY57" s="6">
        <f t="shared" si="91"/>
        <v>-5.8957592383406171E-2</v>
      </c>
      <c r="AZ57" s="6"/>
      <c r="BA57">
        <v>2003</v>
      </c>
      <c r="BI57" s="27">
        <f t="shared" si="71"/>
        <v>0.45</v>
      </c>
      <c r="BL57" s="6"/>
      <c r="BP57" s="5"/>
      <c r="BR57" s="26">
        <v>0.45</v>
      </c>
      <c r="CE57" t="s">
        <v>55</v>
      </c>
      <c r="CF57">
        <v>2003</v>
      </c>
      <c r="CG57" s="12">
        <v>2131983</v>
      </c>
      <c r="CH57" s="5">
        <v>429450</v>
      </c>
      <c r="CI57" s="5">
        <v>5941</v>
      </c>
      <c r="CJ57">
        <v>60</v>
      </c>
      <c r="CK57" s="5">
        <v>59987</v>
      </c>
      <c r="CL57">
        <v>0</v>
      </c>
      <c r="CM57" s="5">
        <v>113264</v>
      </c>
      <c r="CN57" s="14">
        <v>1523281</v>
      </c>
      <c r="CO57" s="5">
        <f t="shared" si="45"/>
        <v>2131983</v>
      </c>
      <c r="CP57" s="5"/>
      <c r="CQ57" s="41">
        <v>0.28599999999999998</v>
      </c>
      <c r="CW57">
        <v>2003</v>
      </c>
      <c r="CX57" s="5">
        <v>1494491</v>
      </c>
      <c r="CY57" s="5">
        <v>1619282</v>
      </c>
      <c r="CZ57" s="6">
        <f t="shared" si="83"/>
        <v>0</v>
      </c>
      <c r="DA57" s="6">
        <f t="shared" si="84"/>
        <v>-7.8841488258468775E-2</v>
      </c>
      <c r="DB57">
        <v>2003</v>
      </c>
      <c r="DC57" s="20">
        <v>2.7616279069767442E-2</v>
      </c>
      <c r="DD57" s="20">
        <v>0.90988372093023251</v>
      </c>
      <c r="DE57" s="20">
        <v>6.1046511627906974E-2</v>
      </c>
      <c r="DF57" s="20">
        <v>1.4534883720930232E-3</v>
      </c>
      <c r="DI57">
        <v>2003</v>
      </c>
      <c r="DJ57" s="5">
        <v>2010283.0300398599</v>
      </c>
      <c r="DK57" s="29">
        <v>1451821.7344965001</v>
      </c>
      <c r="DL57" s="5">
        <f t="shared" si="92"/>
        <v>558461.29554335983</v>
      </c>
      <c r="DM57" s="6">
        <f t="shared" si="93"/>
        <v>0.27780232295563212</v>
      </c>
      <c r="DO57" s="34">
        <f t="shared" si="94"/>
        <v>2.1225501516895281E-2</v>
      </c>
      <c r="DP57" s="6">
        <f t="shared" si="95"/>
        <v>-8.1735942324361363E-2</v>
      </c>
    </row>
    <row r="58" spans="1:120" x14ac:dyDescent="0.35">
      <c r="A58" t="s">
        <v>73</v>
      </c>
      <c r="B58">
        <f t="shared" si="6"/>
        <v>2004</v>
      </c>
      <c r="C58" s="43">
        <f t="shared" si="85"/>
        <v>2716634</v>
      </c>
      <c r="D58" s="31">
        <f t="shared" si="76"/>
        <v>1231521</v>
      </c>
      <c r="E58" s="26">
        <f t="shared" si="9"/>
        <v>-0.79114362316427123</v>
      </c>
      <c r="F58" s="26" t="s">
        <v>82</v>
      </c>
      <c r="G58" s="26">
        <v>21385.584812621124</v>
      </c>
      <c r="H58" s="5">
        <f t="shared" si="86"/>
        <v>2716634</v>
      </c>
      <c r="I58" s="5">
        <f>AA58</f>
        <v>1274857.4320357505</v>
      </c>
      <c r="J58" s="26">
        <f t="shared" si="12"/>
        <v>-0.75655925962537551</v>
      </c>
      <c r="K58" s="26">
        <f t="shared" si="57"/>
        <v>-0.21310530676328254</v>
      </c>
      <c r="L58">
        <v>2004</v>
      </c>
      <c r="M58" s="43">
        <v>2716634</v>
      </c>
      <c r="N58" s="31">
        <v>1231521</v>
      </c>
      <c r="P58" s="25" t="str">
        <f t="shared" si="80"/>
        <v>Brittany</v>
      </c>
      <c r="Q58" s="25">
        <f t="shared" si="78"/>
        <v>2004</v>
      </c>
      <c r="R58" s="5">
        <f t="shared" si="81"/>
        <v>2716634</v>
      </c>
      <c r="S58" s="5">
        <f t="shared" si="87"/>
        <v>3352861.1030926574</v>
      </c>
      <c r="T58" s="57">
        <f t="shared" si="13"/>
        <v>0.18975647470329315</v>
      </c>
      <c r="U58" s="69">
        <f t="shared" si="14"/>
        <v>636227.1030926574</v>
      </c>
      <c r="V58" s="29">
        <f t="shared" si="88"/>
        <v>3352861.1030926574</v>
      </c>
      <c r="W58" s="31">
        <f t="shared" si="99"/>
        <v>103697.57287492021</v>
      </c>
      <c r="X58" s="31">
        <f t="shared" si="98"/>
        <v>1003406.2157086715</v>
      </c>
      <c r="Y58" s="31">
        <f t="shared" si="97"/>
        <v>165625.8726965368</v>
      </c>
      <c r="Z58" s="31">
        <f t="shared" si="96"/>
        <v>2127.7707556219716</v>
      </c>
      <c r="AA58" s="22">
        <f>SUM(W58:Z58)</f>
        <v>1274857.4320357505</v>
      </c>
      <c r="AB58" s="32">
        <f t="shared" si="77"/>
        <v>414790.29149968084</v>
      </c>
      <c r="AC58" s="32">
        <f t="shared" si="72"/>
        <v>739164.00943663705</v>
      </c>
      <c r="AD58" s="32">
        <f t="shared" si="70"/>
        <v>81692.159766111377</v>
      </c>
      <c r="AE58" s="32">
        <f t="shared" si="68"/>
        <v>0</v>
      </c>
      <c r="AF58" s="12">
        <f t="shared" si="69"/>
        <v>1235646.4607024293</v>
      </c>
      <c r="AG58" s="12">
        <f t="shared" si="20"/>
        <v>2004</v>
      </c>
      <c r="AH58" s="56">
        <f t="shared" si="21"/>
        <v>8.1340525041557935E-2</v>
      </c>
      <c r="AI58" s="56">
        <f t="shared" si="22"/>
        <v>0.78707327619088097</v>
      </c>
      <c r="AJ58" s="56">
        <f t="shared" si="23"/>
        <v>0.1299171723320135</v>
      </c>
      <c r="AK58" s="56"/>
      <c r="AL58" s="56"/>
      <c r="AM58" s="68">
        <f t="shared" si="24"/>
        <v>2004</v>
      </c>
      <c r="AN58" s="60">
        <f t="shared" si="48"/>
        <v>2708602.1988889668</v>
      </c>
      <c r="AO58" s="56">
        <f t="shared" si="58"/>
        <v>0.5</v>
      </c>
      <c r="AP58">
        <f t="shared" si="26"/>
        <v>1354301.0994444834</v>
      </c>
      <c r="AQ58" s="59">
        <f t="shared" si="59"/>
        <v>1470278.9310518673</v>
      </c>
      <c r="AR58" s="59">
        <f t="shared" si="27"/>
        <v>1354301.0994444834</v>
      </c>
      <c r="AS58" t="s">
        <v>53</v>
      </c>
      <c r="AT58" s="19">
        <v>2004</v>
      </c>
      <c r="AU58" s="14">
        <v>2716634</v>
      </c>
      <c r="AV58" s="5">
        <f t="shared" si="89"/>
        <v>636227.1030926574</v>
      </c>
      <c r="AW58" s="41">
        <f t="shared" si="90"/>
        <v>0.18975647470329315</v>
      </c>
      <c r="AX58" s="12">
        <v>3352861.1030926574</v>
      </c>
      <c r="AY58" s="6">
        <f t="shared" si="91"/>
        <v>-3.3266123434901118E-3</v>
      </c>
      <c r="AZ58" s="6"/>
      <c r="BA58">
        <v>2004</v>
      </c>
      <c r="BI58" s="27">
        <f t="shared" si="71"/>
        <v>0.44</v>
      </c>
      <c r="BL58" s="6"/>
      <c r="BP58" s="5"/>
      <c r="BR58" s="26">
        <v>0.44</v>
      </c>
      <c r="CE58" t="s">
        <v>55</v>
      </c>
      <c r="CF58">
        <v>2004</v>
      </c>
      <c r="CG58" s="12">
        <v>3364052</v>
      </c>
      <c r="CH58" s="5">
        <v>351817</v>
      </c>
      <c r="CI58" s="5">
        <v>14175</v>
      </c>
      <c r="CJ58">
        <v>124</v>
      </c>
      <c r="CK58" s="5">
        <v>123455</v>
      </c>
      <c r="CL58">
        <v>0</v>
      </c>
      <c r="CM58" s="5">
        <v>106393</v>
      </c>
      <c r="CN58" s="14">
        <v>2768088</v>
      </c>
      <c r="CO58" s="5">
        <f t="shared" si="45"/>
        <v>3364052</v>
      </c>
      <c r="CP58" s="5"/>
      <c r="CQ58" s="41">
        <v>0.17699999999999999</v>
      </c>
      <c r="CW58">
        <v>2004</v>
      </c>
      <c r="CX58" s="5">
        <v>2716634</v>
      </c>
      <c r="CY58" s="5">
        <v>1231521</v>
      </c>
      <c r="CZ58" s="6">
        <f t="shared" si="83"/>
        <v>0</v>
      </c>
      <c r="DA58" s="6">
        <f t="shared" si="84"/>
        <v>-3.3387063643463906E-3</v>
      </c>
      <c r="DB58">
        <v>2004</v>
      </c>
      <c r="DC58" s="20">
        <v>0.14000000000000001</v>
      </c>
      <c r="DD58" s="20">
        <v>0.57466666666666666</v>
      </c>
      <c r="DE58" s="20">
        <v>0.28399999999999997</v>
      </c>
      <c r="DF58" s="20">
        <v>1.3333333333333333E-3</v>
      </c>
      <c r="DI58">
        <v>2004</v>
      </c>
      <c r="DJ58" s="5">
        <v>3361406.07113251</v>
      </c>
      <c r="DK58" s="29">
        <v>2608159.3178857602</v>
      </c>
      <c r="DL58" s="5">
        <f t="shared" si="92"/>
        <v>753246.75324674975</v>
      </c>
      <c r="DM58" s="6">
        <f t="shared" si="93"/>
        <v>0.22408680692153601</v>
      </c>
      <c r="DO58" s="34">
        <f t="shared" si="94"/>
        <v>3.2270627177659904E-2</v>
      </c>
      <c r="DP58" s="6">
        <f t="shared" si="95"/>
        <v>-0.15320104155111472</v>
      </c>
    </row>
    <row r="59" spans="1:120" x14ac:dyDescent="0.35">
      <c r="A59" t="s">
        <v>73</v>
      </c>
      <c r="B59">
        <f t="shared" si="6"/>
        <v>2005</v>
      </c>
      <c r="C59" s="43">
        <f t="shared" si="85"/>
        <v>1331383</v>
      </c>
      <c r="D59" s="31">
        <f t="shared" si="76"/>
        <v>884912</v>
      </c>
      <c r="E59" s="26">
        <f t="shared" si="9"/>
        <v>-0.40848532553504846</v>
      </c>
      <c r="F59" s="26" t="s">
        <v>82</v>
      </c>
      <c r="G59" s="26">
        <v>22634.376939848931</v>
      </c>
      <c r="H59" s="5">
        <f t="shared" si="86"/>
        <v>1331383</v>
      </c>
      <c r="I59" s="5">
        <f t="shared" si="11"/>
        <v>826792.95575855998</v>
      </c>
      <c r="J59" s="26">
        <f t="shared" si="12"/>
        <v>-0.47641922268505188</v>
      </c>
      <c r="K59" s="26">
        <f t="shared" si="57"/>
        <v>-0.78580075611803391</v>
      </c>
      <c r="L59">
        <v>2005</v>
      </c>
      <c r="M59" s="43">
        <v>1331383</v>
      </c>
      <c r="N59" s="31">
        <v>884912</v>
      </c>
      <c r="P59" s="25" t="str">
        <f t="shared" si="80"/>
        <v>Brittany</v>
      </c>
      <c r="Q59" s="25">
        <f t="shared" si="78"/>
        <v>2005</v>
      </c>
      <c r="R59" s="5">
        <f t="shared" si="81"/>
        <v>1331383</v>
      </c>
      <c r="S59" s="5">
        <f t="shared" si="87"/>
        <v>1804337.1315494739</v>
      </c>
      <c r="T59" s="57">
        <f t="shared" si="13"/>
        <v>0.2621207108581336</v>
      </c>
      <c r="U59" s="69">
        <f t="shared" si="14"/>
        <v>472954.13154947385</v>
      </c>
      <c r="V59" s="29">
        <f t="shared" si="88"/>
        <v>1804337.1315494739</v>
      </c>
      <c r="W59" s="31">
        <f t="shared" si="99"/>
        <v>137477.36407396389</v>
      </c>
      <c r="X59" s="31">
        <f t="shared" si="98"/>
        <v>620163.04212688212</v>
      </c>
      <c r="Y59" s="31">
        <f t="shared" si="97"/>
        <v>69152.549557714068</v>
      </c>
      <c r="Z59" s="31">
        <f t="shared" si="96"/>
        <v>0</v>
      </c>
      <c r="AA59" s="22">
        <f t="shared" si="82"/>
        <v>826792.95575855998</v>
      </c>
      <c r="AB59" s="32">
        <f t="shared" si="77"/>
        <v>369582.00471831852</v>
      </c>
      <c r="AC59" s="32">
        <f t="shared" si="72"/>
        <v>490152.95859666821</v>
      </c>
      <c r="AD59" s="32">
        <f t="shared" si="70"/>
        <v>66173.670499843312</v>
      </c>
      <c r="AE59" s="32">
        <f t="shared" si="68"/>
        <v>0</v>
      </c>
      <c r="AF59" s="12">
        <f t="shared" si="69"/>
        <v>925908.6338148301</v>
      </c>
      <c r="AG59" s="12">
        <f t="shared" si="20"/>
        <v>2005</v>
      </c>
      <c r="AH59" s="56">
        <f t="shared" si="21"/>
        <v>0.16627786087973156</v>
      </c>
      <c r="AI59" s="56">
        <f t="shared" si="22"/>
        <v>0.75008263895753613</v>
      </c>
      <c r="AJ59" s="56">
        <f t="shared" si="23"/>
        <v>8.3639500162732389E-2</v>
      </c>
      <c r="AK59" s="56"/>
      <c r="AL59" s="56"/>
      <c r="AM59" s="68">
        <f t="shared" si="24"/>
        <v>2005</v>
      </c>
      <c r="AN59" s="60">
        <f t="shared" si="48"/>
        <v>2076512.4848203345</v>
      </c>
      <c r="AO59" s="56">
        <f t="shared" si="58"/>
        <v>0.5</v>
      </c>
      <c r="AP59">
        <f t="shared" si="26"/>
        <v>1038256.2424101672</v>
      </c>
      <c r="AQ59" s="59">
        <f t="shared" si="59"/>
        <v>772277.05751057167</v>
      </c>
      <c r="AR59" s="59">
        <f t="shared" si="27"/>
        <v>1038256.2424101672</v>
      </c>
      <c r="AS59" t="s">
        <v>53</v>
      </c>
      <c r="AT59" s="19">
        <v>2005</v>
      </c>
      <c r="AU59" s="14">
        <v>1331383</v>
      </c>
      <c r="AV59" s="5">
        <f t="shared" si="89"/>
        <v>472954.13154947385</v>
      </c>
      <c r="AW59" s="41">
        <f t="shared" si="90"/>
        <v>0.2621207108581336</v>
      </c>
      <c r="AX59" s="12">
        <v>1804337.1315494739</v>
      </c>
      <c r="AY59" s="6">
        <f t="shared" si="91"/>
        <v>3.9479672607496824E-2</v>
      </c>
      <c r="AZ59" s="6"/>
      <c r="BA59">
        <v>2005</v>
      </c>
      <c r="BI59" s="27">
        <f t="shared" si="71"/>
        <v>0.46</v>
      </c>
      <c r="BL59" s="6"/>
      <c r="BP59" s="5"/>
      <c r="BR59" s="26">
        <v>0.46</v>
      </c>
      <c r="CE59" t="s">
        <v>55</v>
      </c>
      <c r="CF59">
        <v>2005</v>
      </c>
      <c r="CG59" s="12">
        <v>1735808</v>
      </c>
      <c r="CH59" s="5">
        <v>176446</v>
      </c>
      <c r="CI59" s="5">
        <v>3361</v>
      </c>
      <c r="CJ59">
        <v>234</v>
      </c>
      <c r="CK59" s="5">
        <v>50487</v>
      </c>
      <c r="CL59">
        <v>0</v>
      </c>
      <c r="CM59" s="5">
        <v>77503</v>
      </c>
      <c r="CN59" s="14">
        <v>1427778</v>
      </c>
      <c r="CO59" s="5">
        <f t="shared" si="45"/>
        <v>1735809</v>
      </c>
      <c r="CP59" s="5"/>
      <c r="CQ59" s="41">
        <v>0.17699999999999999</v>
      </c>
      <c r="CW59">
        <v>2005</v>
      </c>
      <c r="CX59" s="5">
        <v>1331383</v>
      </c>
      <c r="CY59" s="5">
        <v>884912</v>
      </c>
      <c r="CZ59" s="6">
        <f t="shared" si="83"/>
        <v>0</v>
      </c>
      <c r="DA59" s="6">
        <f t="shared" si="84"/>
        <v>-4.4277191417818558E-2</v>
      </c>
      <c r="DB59">
        <v>2005</v>
      </c>
      <c r="DC59" s="20">
        <v>8.951048951048951E-2</v>
      </c>
      <c r="DD59" s="20">
        <v>0.7384615384615385</v>
      </c>
      <c r="DE59" s="20">
        <v>0.16643356643356644</v>
      </c>
      <c r="DF59" s="20">
        <v>5.5944055944055944E-3</v>
      </c>
      <c r="DI59">
        <v>2005</v>
      </c>
      <c r="DJ59" s="5">
        <v>1803477.67733786</v>
      </c>
      <c r="DK59" s="29">
        <v>1309971.18383136</v>
      </c>
      <c r="DL59" s="5">
        <f t="shared" si="92"/>
        <v>493506.49350650003</v>
      </c>
      <c r="DM59" s="6">
        <f t="shared" si="93"/>
        <v>0.27364158686730866</v>
      </c>
      <c r="DO59" s="34">
        <f t="shared" si="94"/>
        <v>1.1872515217513721E-2</v>
      </c>
      <c r="DP59" s="6">
        <f t="shared" si="95"/>
        <v>-4.2102065483057012E-2</v>
      </c>
    </row>
    <row r="60" spans="1:120" x14ac:dyDescent="0.35">
      <c r="A60" t="s">
        <v>73</v>
      </c>
      <c r="B60">
        <f t="shared" si="6"/>
        <v>2006</v>
      </c>
      <c r="C60" s="43">
        <f t="shared" si="85"/>
        <v>1970621</v>
      </c>
      <c r="D60" s="31">
        <f t="shared" si="76"/>
        <v>744365</v>
      </c>
      <c r="E60" s="26">
        <f t="shared" si="9"/>
        <v>-0.97357249455406303</v>
      </c>
      <c r="F60" s="26" t="s">
        <v>82</v>
      </c>
      <c r="G60" s="26">
        <v>23982.431809217978</v>
      </c>
      <c r="H60" s="5">
        <f t="shared" si="86"/>
        <v>1970621</v>
      </c>
      <c r="I60" s="5">
        <f t="shared" si="11"/>
        <v>653276.45190826431</v>
      </c>
      <c r="J60" s="26">
        <f t="shared" si="12"/>
        <v>-1.1041036041238916</v>
      </c>
      <c r="K60" s="26">
        <f t="shared" si="57"/>
        <v>-1.0199356287759442</v>
      </c>
      <c r="L60">
        <v>2006</v>
      </c>
      <c r="M60" s="43">
        <v>1970621</v>
      </c>
      <c r="N60" s="31">
        <v>744365</v>
      </c>
      <c r="P60" s="25" t="str">
        <f t="shared" si="80"/>
        <v>Brittany</v>
      </c>
      <c r="Q60" s="25">
        <f t="shared" si="78"/>
        <v>2006</v>
      </c>
      <c r="R60" s="5">
        <f t="shared" si="81"/>
        <v>1970621</v>
      </c>
      <c r="S60" s="5">
        <f t="shared" si="87"/>
        <v>2683669.7926117284</v>
      </c>
      <c r="T60" s="57">
        <f t="shared" si="13"/>
        <v>0.26569915366442842</v>
      </c>
      <c r="U60" s="69">
        <f t="shared" si="14"/>
        <v>713048.79261172842</v>
      </c>
      <c r="V60" s="29">
        <f t="shared" si="88"/>
        <v>2683669.7926117284</v>
      </c>
      <c r="W60" s="31">
        <f t="shared" si="99"/>
        <v>31132.682837694883</v>
      </c>
      <c r="X60" s="31">
        <f t="shared" si="98"/>
        <v>555348.16721733462</v>
      </c>
      <c r="Y60" s="31">
        <f t="shared" si="97"/>
        <v>66795.60185323481</v>
      </c>
      <c r="Z60" s="31">
        <f t="shared" si="96"/>
        <v>0</v>
      </c>
      <c r="AA60" s="22">
        <f t="shared" si="82"/>
        <v>653276.45190826431</v>
      </c>
      <c r="AB60" s="32">
        <f t="shared" si="77"/>
        <v>245076.4792983341</v>
      </c>
      <c r="AC60" s="32">
        <f t="shared" si="72"/>
        <v>397042.02299905987</v>
      </c>
      <c r="AD60" s="32">
        <f t="shared" si="70"/>
        <v>142092.46212415406</v>
      </c>
      <c r="AE60" s="32">
        <f t="shared" si="68"/>
        <v>0</v>
      </c>
      <c r="AF60" s="12">
        <f t="shared" si="69"/>
        <v>784210.96442154807</v>
      </c>
      <c r="AG60" s="12">
        <f t="shared" si="20"/>
        <v>2006</v>
      </c>
      <c r="AH60" s="56">
        <f t="shared" si="21"/>
        <v>4.7656214680254015E-2</v>
      </c>
      <c r="AI60" s="56">
        <f t="shared" si="22"/>
        <v>0.85009671723988423</v>
      </c>
      <c r="AJ60" s="56">
        <f t="shared" si="23"/>
        <v>0.10224706807986171</v>
      </c>
      <c r="AK60" s="56"/>
      <c r="AL60" s="56"/>
      <c r="AM60" s="68">
        <f t="shared" si="24"/>
        <v>2006</v>
      </c>
      <c r="AN60" s="60">
        <f t="shared" si="48"/>
        <v>2865621.6111704172</v>
      </c>
      <c r="AO60" s="56">
        <f t="shared" si="58"/>
        <v>0.5</v>
      </c>
      <c r="AP60">
        <f t="shared" si="26"/>
        <v>1432810.8055852086</v>
      </c>
      <c r="AQ60" s="59">
        <f t="shared" si="59"/>
        <v>661423.84387079149</v>
      </c>
      <c r="AR60" s="59">
        <f t="shared" si="27"/>
        <v>1432810.8055852086</v>
      </c>
      <c r="AS60" t="s">
        <v>53</v>
      </c>
      <c r="AT60" s="19">
        <v>2006</v>
      </c>
      <c r="AU60" s="14">
        <v>1970621</v>
      </c>
      <c r="AV60" s="5">
        <f t="shared" si="89"/>
        <v>713048.79261172842</v>
      </c>
      <c r="AW60" s="41">
        <f t="shared" si="90"/>
        <v>0.26569915366442842</v>
      </c>
      <c r="AX60" s="12">
        <v>2683669.7926117284</v>
      </c>
      <c r="AY60" s="6">
        <f t="shared" si="91"/>
        <v>-5.0342367298129249E-2</v>
      </c>
      <c r="AZ60" s="6"/>
      <c r="BA60">
        <v>2006</v>
      </c>
      <c r="BI60" s="27">
        <f t="shared" si="71"/>
        <v>0.44</v>
      </c>
      <c r="BL60" s="6"/>
      <c r="BP60" s="5"/>
      <c r="BR60" s="26">
        <v>0.44</v>
      </c>
      <c r="CE60" t="s">
        <v>55</v>
      </c>
      <c r="CF60">
        <v>2006</v>
      </c>
      <c r="CG60" s="12">
        <v>2825934</v>
      </c>
      <c r="CH60" s="5">
        <v>455783</v>
      </c>
      <c r="CI60" s="5">
        <v>9497</v>
      </c>
      <c r="CJ60">
        <v>122</v>
      </c>
      <c r="CK60" s="5">
        <v>75541</v>
      </c>
      <c r="CL60">
        <v>0</v>
      </c>
      <c r="CM60" s="5">
        <v>197432</v>
      </c>
      <c r="CN60" s="14">
        <v>2087558</v>
      </c>
      <c r="CO60" s="5">
        <f t="shared" si="45"/>
        <v>2825933</v>
      </c>
      <c r="CP60" s="5"/>
      <c r="CQ60" s="41">
        <v>0.26100000000000001</v>
      </c>
      <c r="CW60">
        <v>2006</v>
      </c>
      <c r="CX60" s="5">
        <v>1970621</v>
      </c>
      <c r="CY60" s="5">
        <v>744365</v>
      </c>
      <c r="CZ60" s="6">
        <f t="shared" si="83"/>
        <v>0</v>
      </c>
      <c r="DA60" s="6">
        <f t="shared" si="84"/>
        <v>-5.0810261816397022E-2</v>
      </c>
      <c r="DB60">
        <v>2006</v>
      </c>
      <c r="DC60" s="20">
        <v>4.3250327653997382E-2</v>
      </c>
      <c r="DD60" s="20">
        <v>0.93184796854521623</v>
      </c>
      <c r="DE60" s="20">
        <v>2.4901703800786368E-2</v>
      </c>
      <c r="DF60" s="20">
        <v>0</v>
      </c>
      <c r="DI60">
        <v>2006</v>
      </c>
      <c r="DJ60" s="5">
        <v>2687087.9879998402</v>
      </c>
      <c r="DK60" s="29">
        <v>1868906.16981802</v>
      </c>
      <c r="DL60" s="5">
        <f t="shared" si="92"/>
        <v>818181.81818182021</v>
      </c>
      <c r="DM60" s="6">
        <f t="shared" si="93"/>
        <v>0.30448642613703236</v>
      </c>
      <c r="DO60" s="34">
        <f t="shared" si="94"/>
        <v>3.7853181822189774E-2</v>
      </c>
      <c r="DP60" s="6">
        <f t="shared" si="95"/>
        <v>-0.12738588371472412</v>
      </c>
    </row>
    <row r="61" spans="1:120" x14ac:dyDescent="0.35">
      <c r="A61" t="s">
        <v>73</v>
      </c>
      <c r="B61">
        <f t="shared" si="6"/>
        <v>2007</v>
      </c>
      <c r="C61" s="43">
        <f t="shared" si="85"/>
        <v>1057248</v>
      </c>
      <c r="D61" s="31">
        <f t="shared" si="76"/>
        <v>1296356</v>
      </c>
      <c r="E61" s="26">
        <f t="shared" si="9"/>
        <v>0.20388794589883796</v>
      </c>
      <c r="F61" s="26" t="s">
        <v>82</v>
      </c>
      <c r="G61" s="26">
        <v>25437.639518497599</v>
      </c>
      <c r="H61" s="5">
        <f t="shared" si="86"/>
        <v>1057248</v>
      </c>
      <c r="I61" s="5">
        <f t="shared" si="11"/>
        <v>1919087.3845169125</v>
      </c>
      <c r="J61" s="26">
        <f t="shared" si="12"/>
        <v>0.59618044680644766</v>
      </c>
      <c r="K61" s="26">
        <f t="shared" si="57"/>
        <v>0.11802657100699165</v>
      </c>
      <c r="L61">
        <v>2007</v>
      </c>
      <c r="M61" s="43">
        <v>1057248</v>
      </c>
      <c r="N61" s="31">
        <v>1296356</v>
      </c>
      <c r="P61" s="25" t="str">
        <f t="shared" si="80"/>
        <v>Brittany</v>
      </c>
      <c r="Q61" s="25">
        <f t="shared" si="78"/>
        <v>2007</v>
      </c>
      <c r="R61" s="5">
        <f t="shared" si="81"/>
        <v>1057248</v>
      </c>
      <c r="S61" s="5">
        <f t="shared" si="87"/>
        <v>1382634.3049989361</v>
      </c>
      <c r="T61" s="57">
        <f t="shared" si="13"/>
        <v>0.23533793702535577</v>
      </c>
      <c r="U61" s="69">
        <f t="shared" si="14"/>
        <v>325386.30499893613</v>
      </c>
      <c r="V61" s="29">
        <f t="shared" si="88"/>
        <v>1382634.3049989361</v>
      </c>
      <c r="W61" s="31">
        <f t="shared" si="99"/>
        <v>35108.21746776253</v>
      </c>
      <c r="X61" s="31">
        <f t="shared" si="98"/>
        <v>1326803.5459028916</v>
      </c>
      <c r="Y61" s="31">
        <f t="shared" si="97"/>
        <v>544300.78329583409</v>
      </c>
      <c r="Z61" s="31">
        <f t="shared" si="96"/>
        <v>12874.837850424572</v>
      </c>
      <c r="AA61" s="22">
        <f t="shared" si="82"/>
        <v>1919087.3845169125</v>
      </c>
      <c r="AB61" s="32">
        <f t="shared" si="77"/>
        <v>198521.01149952994</v>
      </c>
      <c r="AC61" s="32">
        <f t="shared" si="72"/>
        <v>852554.77274492441</v>
      </c>
      <c r="AD61" s="32">
        <f t="shared" si="70"/>
        <v>170201.99096711003</v>
      </c>
      <c r="AE61" s="32">
        <f t="shared" si="68"/>
        <v>0</v>
      </c>
      <c r="AF61" s="12">
        <f t="shared" si="69"/>
        <v>1221277.7752115645</v>
      </c>
      <c r="AG61" s="12">
        <f t="shared" si="20"/>
        <v>2007</v>
      </c>
      <c r="AH61" s="56">
        <f t="shared" si="21"/>
        <v>1.8294225552735965E-2</v>
      </c>
      <c r="AI61" s="56">
        <f t="shared" si="22"/>
        <v>0.69137213688520227</v>
      </c>
      <c r="AJ61" s="56">
        <f t="shared" si="23"/>
        <v>0.28362480400174672</v>
      </c>
      <c r="AK61" s="56"/>
      <c r="AL61" s="56"/>
      <c r="AM61" s="68">
        <f t="shared" si="24"/>
        <v>2007</v>
      </c>
      <c r="AN61" s="60">
        <f t="shared" si="48"/>
        <v>1365431.3895031495</v>
      </c>
      <c r="AO61" s="56">
        <f t="shared" si="58"/>
        <v>0.5</v>
      </c>
      <c r="AP61">
        <f t="shared" si="26"/>
        <v>682715.69475157477</v>
      </c>
      <c r="AQ61" s="59">
        <f t="shared" si="59"/>
        <v>1560624.4634793997</v>
      </c>
      <c r="AR61" s="59">
        <f t="shared" si="27"/>
        <v>682715.69475157477</v>
      </c>
      <c r="AS61" t="s">
        <v>53</v>
      </c>
      <c r="AT61" s="19">
        <v>2007</v>
      </c>
      <c r="AU61" s="14">
        <v>1057248</v>
      </c>
      <c r="AV61" s="5">
        <f t="shared" si="89"/>
        <v>325386.30499893613</v>
      </c>
      <c r="AW61" s="41">
        <f t="shared" si="90"/>
        <v>0.23533793702535574</v>
      </c>
      <c r="AX61" s="12">
        <v>1382634.3049989361</v>
      </c>
      <c r="AY61" s="6" t="s">
        <v>12</v>
      </c>
      <c r="AZ61" s="6"/>
      <c r="BA61">
        <v>2007</v>
      </c>
      <c r="BI61" s="27">
        <f t="shared" si="71"/>
        <v>0.44</v>
      </c>
      <c r="BL61" s="6"/>
      <c r="BP61" s="5"/>
      <c r="BR61" s="26">
        <v>0.44</v>
      </c>
      <c r="CW61">
        <v>2007</v>
      </c>
      <c r="CX61" s="5">
        <v>1057248</v>
      </c>
      <c r="CY61" s="5">
        <v>1296356</v>
      </c>
      <c r="CZ61" s="6">
        <f t="shared" si="83"/>
        <v>0</v>
      </c>
      <c r="DA61" s="6">
        <f t="shared" si="84"/>
        <v>6.1475142111244545E-2</v>
      </c>
      <c r="DB61">
        <v>2007</v>
      </c>
      <c r="DC61" s="20">
        <v>7.4999999999999997E-2</v>
      </c>
      <c r="DD61" s="20">
        <v>0.80625000000000002</v>
      </c>
      <c r="DE61" s="20">
        <v>0.11874999999999999</v>
      </c>
      <c r="DF61" s="20">
        <v>0</v>
      </c>
      <c r="DI61">
        <v>2007</v>
      </c>
      <c r="DJ61" s="5">
        <v>1388880.1168436401</v>
      </c>
      <c r="DK61" s="29">
        <v>1012256.74022026</v>
      </c>
      <c r="DL61" s="5">
        <f t="shared" si="92"/>
        <v>376623.37662338011</v>
      </c>
      <c r="DM61" s="6">
        <f t="shared" si="93"/>
        <v>0.27117054384743583</v>
      </c>
      <c r="DO61" s="34">
        <f t="shared" si="94"/>
        <v>3.2393911637231043E-2</v>
      </c>
      <c r="DP61" s="6">
        <f t="shared" si="95"/>
        <v>-0.13214048367377243</v>
      </c>
    </row>
    <row r="62" spans="1:120" x14ac:dyDescent="0.35">
      <c r="A62" t="s">
        <v>73</v>
      </c>
      <c r="B62">
        <f t="shared" si="6"/>
        <v>2008</v>
      </c>
      <c r="C62" s="43">
        <f t="shared" si="85"/>
        <v>982016</v>
      </c>
      <c r="D62" s="31">
        <f t="shared" si="76"/>
        <v>1641562</v>
      </c>
      <c r="E62" s="26">
        <f t="shared" si="9"/>
        <v>0.51379590505962547</v>
      </c>
      <c r="F62" s="26" t="s">
        <v>82</v>
      </c>
      <c r="G62" s="26">
        <v>27008.517325673194</v>
      </c>
      <c r="H62" s="5">
        <f t="shared" si="86"/>
        <v>982016</v>
      </c>
      <c r="I62" s="5">
        <f t="shared" si="11"/>
        <v>1341575.4990023808</v>
      </c>
      <c r="J62" s="26">
        <f t="shared" si="12"/>
        <v>0.31199234632089623</v>
      </c>
      <c r="K62" s="26">
        <f t="shared" si="57"/>
        <v>-0.21247842028387309</v>
      </c>
      <c r="L62">
        <v>2008</v>
      </c>
      <c r="M62" s="43">
        <v>982016</v>
      </c>
      <c r="N62" s="31">
        <v>1641562</v>
      </c>
      <c r="P62" s="25" t="str">
        <f t="shared" si="80"/>
        <v>Brittany</v>
      </c>
      <c r="Q62" s="25">
        <f t="shared" si="78"/>
        <v>2008</v>
      </c>
      <c r="R62" s="5">
        <f t="shared" si="81"/>
        <v>982016</v>
      </c>
      <c r="S62" s="5">
        <f t="shared" si="87"/>
        <v>1231940.0157277284</v>
      </c>
      <c r="T62" s="57">
        <f t="shared" si="13"/>
        <v>0.20287027983265393</v>
      </c>
      <c r="U62" s="69">
        <f t="shared" si="14"/>
        <v>249924.01572772837</v>
      </c>
      <c r="V62" s="29">
        <f t="shared" si="88"/>
        <v>1231940.0157277284</v>
      </c>
      <c r="W62" s="31">
        <f t="shared" si="99"/>
        <v>27325.473485414244</v>
      </c>
      <c r="X62" s="31">
        <f t="shared" si="98"/>
        <v>976285.53194332158</v>
      </c>
      <c r="Y62" s="31">
        <f t="shared" si="97"/>
        <v>337964.49357364496</v>
      </c>
      <c r="Z62" s="31">
        <f t="shared" si="96"/>
        <v>0</v>
      </c>
      <c r="AA62" s="22">
        <f t="shared" si="82"/>
        <v>1341575.4990023808</v>
      </c>
      <c r="AB62" s="32">
        <f t="shared" si="77"/>
        <v>426277.38637246221</v>
      </c>
      <c r="AC62" s="32">
        <f t="shared" si="72"/>
        <v>1021211.9458026602</v>
      </c>
      <c r="AD62" s="32">
        <f t="shared" si="70"/>
        <v>160130.7957646556</v>
      </c>
      <c r="AE62" s="32">
        <f t="shared" si="68"/>
        <v>0</v>
      </c>
      <c r="AF62" s="12">
        <f t="shared" si="69"/>
        <v>1607620.1279397779</v>
      </c>
      <c r="AG62" s="12">
        <f t="shared" si="20"/>
        <v>2008</v>
      </c>
      <c r="AH62" s="56">
        <f t="shared" si="21"/>
        <v>2.0368196576140477E-2</v>
      </c>
      <c r="AI62" s="56">
        <f t="shared" si="22"/>
        <v>0.72771568403664555</v>
      </c>
      <c r="AJ62" s="56">
        <f t="shared" si="23"/>
        <v>0.25191611938721403</v>
      </c>
      <c r="AK62" s="56"/>
      <c r="AL62" s="56"/>
      <c r="AM62" s="68">
        <f t="shared" si="24"/>
        <v>2008</v>
      </c>
      <c r="AN62" s="60">
        <f t="shared" si="48"/>
        <v>1373095.9723313968</v>
      </c>
      <c r="AO62" s="56">
        <f t="shared" si="58"/>
        <v>0.5</v>
      </c>
      <c r="AP62">
        <f t="shared" si="26"/>
        <v>686547.98616569838</v>
      </c>
      <c r="AQ62" s="59">
        <f t="shared" si="59"/>
        <v>1125040.7869603543</v>
      </c>
      <c r="AR62" s="59">
        <f t="shared" si="27"/>
        <v>686547.98616569838</v>
      </c>
      <c r="AS62" t="s">
        <v>53</v>
      </c>
      <c r="AT62" s="19">
        <v>2008</v>
      </c>
      <c r="AU62" s="14">
        <v>982016</v>
      </c>
      <c r="AV62" s="5">
        <f t="shared" si="89"/>
        <v>249924.01572772837</v>
      </c>
      <c r="AW62" s="41">
        <f t="shared" si="90"/>
        <v>0.20287027983265396</v>
      </c>
      <c r="AX62" s="12">
        <v>1231940.0157277284</v>
      </c>
      <c r="AY62" s="6" t="s">
        <v>12</v>
      </c>
      <c r="AZ62" s="6"/>
      <c r="BA62">
        <v>2008</v>
      </c>
      <c r="BI62" s="27">
        <f t="shared" si="71"/>
        <v>0.43</v>
      </c>
      <c r="BL62" s="6"/>
      <c r="BP62" s="5"/>
      <c r="BR62" s="26">
        <v>0.43</v>
      </c>
      <c r="CW62">
        <v>2008</v>
      </c>
      <c r="CX62" s="5">
        <v>982016</v>
      </c>
      <c r="CY62" s="5">
        <v>1641562</v>
      </c>
      <c r="CZ62" s="6">
        <f t="shared" si="83"/>
        <v>0</v>
      </c>
      <c r="DA62" s="6">
        <f t="shared" si="84"/>
        <v>2.1113117129056971E-2</v>
      </c>
      <c r="DB62">
        <v>2008</v>
      </c>
      <c r="DC62" s="20">
        <v>0.11159420289855072</v>
      </c>
      <c r="DD62" s="20">
        <v>0.8144927536231884</v>
      </c>
      <c r="DE62" s="20">
        <v>7.3913043478260873E-2</v>
      </c>
      <c r="DF62" s="20">
        <v>0</v>
      </c>
      <c r="DI62">
        <v>2008</v>
      </c>
      <c r="DJ62" s="5">
        <v>1220522.63845577</v>
      </c>
      <c r="DK62" s="29">
        <v>934828.08984328795</v>
      </c>
      <c r="DL62" s="5">
        <f t="shared" si="92"/>
        <v>285694.54861248203</v>
      </c>
      <c r="DM62" s="6">
        <f t="shared" si="93"/>
        <v>0.2340755833697182</v>
      </c>
      <c r="DO62" s="34">
        <f t="shared" si="94"/>
        <v>3.86620523617777E-2</v>
      </c>
      <c r="DP62" s="6">
        <f t="shared" si="95"/>
        <v>-0.13331293716259174</v>
      </c>
    </row>
    <row r="63" spans="1:120" x14ac:dyDescent="0.35">
      <c r="A63" t="s">
        <v>73</v>
      </c>
      <c r="B63">
        <f t="shared" si="6"/>
        <v>2009</v>
      </c>
      <c r="C63" s="43">
        <f t="shared" si="85"/>
        <v>474550</v>
      </c>
      <c r="D63" s="31">
        <f t="shared" si="76"/>
        <v>1613902</v>
      </c>
      <c r="E63" s="26">
        <f t="shared" si="9"/>
        <v>1.224043141698661</v>
      </c>
      <c r="F63" s="26" t="s">
        <v>82</v>
      </c>
      <c r="G63" s="26">
        <v>28704.259500031516</v>
      </c>
      <c r="H63" s="5">
        <f t="shared" si="86"/>
        <v>474550</v>
      </c>
      <c r="I63" s="5">
        <f t="shared" si="11"/>
        <v>1605367.0756795239</v>
      </c>
      <c r="J63" s="26">
        <f t="shared" si="12"/>
        <v>1.2187407304265099</v>
      </c>
      <c r="K63" s="26">
        <f t="shared" si="57"/>
        <v>0.38184642982810568</v>
      </c>
      <c r="L63">
        <v>2009</v>
      </c>
      <c r="M63" s="43">
        <v>474550</v>
      </c>
      <c r="N63" s="31">
        <v>1613902</v>
      </c>
      <c r="P63" s="25" t="str">
        <f t="shared" si="80"/>
        <v>Brittany</v>
      </c>
      <c r="Q63" s="25">
        <f t="shared" si="78"/>
        <v>2009</v>
      </c>
      <c r="R63" s="5">
        <f t="shared" si="81"/>
        <v>474550</v>
      </c>
      <c r="S63" s="5">
        <f t="shared" si="87"/>
        <v>816921.59766111372</v>
      </c>
      <c r="T63" s="57">
        <f t="shared" si="13"/>
        <v>0.41909970141729669</v>
      </c>
      <c r="U63" s="69">
        <f t="shared" si="14"/>
        <v>342371.59766111372</v>
      </c>
      <c r="V63" s="29">
        <f t="shared" si="88"/>
        <v>816921.59766111372</v>
      </c>
      <c r="W63" s="31">
        <f t="shared" si="99"/>
        <v>181433.59443194472</v>
      </c>
      <c r="X63" s="31">
        <f t="shared" si="98"/>
        <v>1200578.6295520912</v>
      </c>
      <c r="Y63" s="31">
        <f t="shared" si="97"/>
        <v>220586.4788784436</v>
      </c>
      <c r="Z63" s="31">
        <f t="shared" si="96"/>
        <v>2768.3728170443637</v>
      </c>
      <c r="AA63" s="22">
        <f t="shared" si="82"/>
        <v>1605367.0756795239</v>
      </c>
      <c r="AB63" s="32">
        <f t="shared" si="77"/>
        <v>510605.9729013301</v>
      </c>
      <c r="AC63" s="32">
        <f t="shared" si="72"/>
        <v>960784.77458793356</v>
      </c>
      <c r="AD63" s="32">
        <f t="shared" si="70"/>
        <v>150786.61449047897</v>
      </c>
      <c r="AE63" s="32">
        <f t="shared" si="68"/>
        <v>0</v>
      </c>
      <c r="AF63" s="12">
        <f t="shared" si="69"/>
        <v>1622177.3619797428</v>
      </c>
      <c r="AG63" s="12">
        <f t="shared" si="20"/>
        <v>2009</v>
      </c>
      <c r="AH63" s="56">
        <f t="shared" si="21"/>
        <v>0.11301689014342532</v>
      </c>
      <c r="AI63" s="56">
        <f t="shared" si="22"/>
        <v>0.74785302859404124</v>
      </c>
      <c r="AJ63" s="56">
        <f t="shared" si="23"/>
        <v>0.13740563278032419</v>
      </c>
      <c r="AK63" s="56"/>
      <c r="AL63" s="56"/>
      <c r="AM63" s="68">
        <f t="shared" si="24"/>
        <v>2009</v>
      </c>
      <c r="AN63" s="60">
        <f t="shared" si="48"/>
        <v>801807.05126362969</v>
      </c>
      <c r="AO63" s="56">
        <f t="shared" si="58"/>
        <v>0.5</v>
      </c>
      <c r="AP63">
        <f t="shared" si="26"/>
        <v>400903.52563181485</v>
      </c>
      <c r="AQ63" s="59">
        <f t="shared" si="59"/>
        <v>1419134.2758012253</v>
      </c>
      <c r="AR63" s="59">
        <f t="shared" si="27"/>
        <v>400903.52563181485</v>
      </c>
      <c r="AS63" t="s">
        <v>53</v>
      </c>
      <c r="AT63" s="19">
        <v>2009</v>
      </c>
      <c r="AU63" s="14">
        <v>474550</v>
      </c>
      <c r="AV63" s="5">
        <f t="shared" si="89"/>
        <v>342371.59766111372</v>
      </c>
      <c r="AW63" s="41">
        <f t="shared" si="90"/>
        <v>0.41909970141729669</v>
      </c>
      <c r="AX63" s="12">
        <v>816921.59766111372</v>
      </c>
      <c r="AY63" s="6"/>
      <c r="AZ63" s="6"/>
      <c r="BA63">
        <v>2009</v>
      </c>
      <c r="BI63" s="27">
        <f t="shared" si="71"/>
        <v>0.42</v>
      </c>
      <c r="BL63" s="6"/>
      <c r="BP63" s="5"/>
      <c r="BR63" s="26">
        <v>0.42</v>
      </c>
      <c r="CW63">
        <v>2009</v>
      </c>
      <c r="CX63" s="5">
        <v>474550</v>
      </c>
      <c r="CY63" s="5">
        <v>1613902</v>
      </c>
      <c r="CZ63" s="6">
        <f t="shared" si="83"/>
        <v>0</v>
      </c>
      <c r="DA63" s="6">
        <f t="shared" si="84"/>
        <v>-5.101391607168851E-3</v>
      </c>
      <c r="DB63">
        <v>2009</v>
      </c>
      <c r="DC63" s="20">
        <v>3.8109756097560975E-2</v>
      </c>
      <c r="DD63" s="20">
        <v>0.75914634146341464</v>
      </c>
      <c r="DE63" s="20">
        <v>0.2027439024390244</v>
      </c>
      <c r="DF63" s="20">
        <v>0</v>
      </c>
      <c r="DI63">
        <v>2009</v>
      </c>
      <c r="DJ63" s="5">
        <v>792484.111633047</v>
      </c>
      <c r="DK63" s="29">
        <v>454821.77397071</v>
      </c>
      <c r="DL63" s="5">
        <f t="shared" si="92"/>
        <v>337662.337662337</v>
      </c>
      <c r="DM63" s="6">
        <f t="shared" si="93"/>
        <v>0.42608089260808885</v>
      </c>
      <c r="DO63" s="34">
        <f t="shared" si="94"/>
        <v>2.4894159693166176E-2</v>
      </c>
      <c r="DP63" s="6">
        <f>(AW63-DM63)/DM63</f>
        <v>-1.638466148542711E-2</v>
      </c>
    </row>
    <row r="64" spans="1:120" x14ac:dyDescent="0.35">
      <c r="A64" t="s">
        <v>73</v>
      </c>
      <c r="B64">
        <f t="shared" si="6"/>
        <v>2010</v>
      </c>
      <c r="C64" s="43">
        <f t="shared" si="85"/>
        <v>608718</v>
      </c>
      <c r="D64" s="31">
        <f t="shared" si="76"/>
        <v>1521759</v>
      </c>
      <c r="E64" s="26">
        <f t="shared" si="9"/>
        <v>0.91626707532000706</v>
      </c>
      <c r="F64" s="26" t="s">
        <v>82</v>
      </c>
      <c r="G64" s="26">
        <v>30534.791135759224</v>
      </c>
      <c r="H64" s="5">
        <f t="shared" si="86"/>
        <v>608718</v>
      </c>
      <c r="I64" s="5">
        <f t="shared" si="11"/>
        <v>1596985.3916231559</v>
      </c>
      <c r="J64" s="26">
        <f t="shared" si="12"/>
        <v>0.96451789450628955</v>
      </c>
      <c r="K64" s="26">
        <f t="shared" si="57"/>
        <v>0.21022467596827565</v>
      </c>
      <c r="L64">
        <v>2010</v>
      </c>
      <c r="M64" s="43">
        <v>608718</v>
      </c>
      <c r="N64" s="31">
        <v>1521759</v>
      </c>
      <c r="P64" s="25" t="str">
        <f t="shared" si="80"/>
        <v>Brittany</v>
      </c>
      <c r="Q64" s="25">
        <f t="shared" si="78"/>
        <v>2010</v>
      </c>
      <c r="R64" s="5">
        <f t="shared" si="81"/>
        <v>608718</v>
      </c>
      <c r="S64" s="5">
        <f t="shared" si="87"/>
        <v>661736.70499843312</v>
      </c>
      <c r="T64" s="57">
        <f t="shared" si="13"/>
        <v>8.0120544316124476E-2</v>
      </c>
      <c r="U64" s="69">
        <f t="shared" si="14"/>
        <v>53018.704998433124</v>
      </c>
      <c r="V64" s="29">
        <f t="shared" si="88"/>
        <v>661736.70499843312</v>
      </c>
      <c r="W64" s="31">
        <f t="shared" si="99"/>
        <v>49889.996670395216</v>
      </c>
      <c r="X64" s="31">
        <f t="shared" si="98"/>
        <v>1222679.3400690875</v>
      </c>
      <c r="Y64" s="31">
        <f t="shared" si="97"/>
        <v>318362.8739601018</v>
      </c>
      <c r="Z64" s="31">
        <f t="shared" si="96"/>
        <v>6053.1809235716164</v>
      </c>
      <c r="AA64" s="22">
        <f t="shared" si="82"/>
        <v>1596985.3916231559</v>
      </c>
      <c r="AB64" s="32">
        <f t="shared" si="77"/>
        <v>480392.38729396678</v>
      </c>
      <c r="AC64" s="32">
        <f t="shared" si="72"/>
        <v>904719.68694287364</v>
      </c>
      <c r="AD64" s="32">
        <f t="shared" si="70"/>
        <v>145270.36357440299</v>
      </c>
      <c r="AE64" s="32">
        <f t="shared" si="68"/>
        <v>0</v>
      </c>
      <c r="AF64" s="12">
        <f t="shared" si="69"/>
        <v>1530382.4378112433</v>
      </c>
      <c r="AG64" s="12">
        <f t="shared" si="20"/>
        <v>2010</v>
      </c>
      <c r="AH64" s="56">
        <f t="shared" si="21"/>
        <v>3.1240108351703613E-2</v>
      </c>
      <c r="AI64" s="56">
        <f t="shared" si="22"/>
        <v>0.76561710988875831</v>
      </c>
      <c r="AJ64" s="56">
        <f t="shared" si="23"/>
        <v>0.19935240211341054</v>
      </c>
      <c r="AK64" s="56"/>
      <c r="AL64" s="56"/>
      <c r="AM64" s="68">
        <f t="shared" si="24"/>
        <v>2010</v>
      </c>
      <c r="AN64" s="60">
        <f t="shared" si="48"/>
        <v>655417.52139408537</v>
      </c>
      <c r="AO64" s="56">
        <f t="shared" si="58"/>
        <v>0.5</v>
      </c>
      <c r="AP64">
        <f t="shared" si="26"/>
        <v>327708.76069704269</v>
      </c>
      <c r="AQ64" s="59">
        <f t="shared" si="59"/>
        <v>1022133.7978614962</v>
      </c>
      <c r="AR64" s="59">
        <f t="shared" si="27"/>
        <v>327708.76069704269</v>
      </c>
      <c r="AS64" t="s">
        <v>53</v>
      </c>
      <c r="AT64" s="19">
        <v>2010</v>
      </c>
      <c r="AU64" s="14">
        <v>608718</v>
      </c>
      <c r="AV64" s="5">
        <f t="shared" si="89"/>
        <v>53018.704998433124</v>
      </c>
      <c r="AW64" s="41">
        <f t="shared" si="90"/>
        <v>8.0120544316124434E-2</v>
      </c>
      <c r="AX64" s="12">
        <v>661736.70499843312</v>
      </c>
      <c r="AY64" s="6"/>
      <c r="AZ64" s="6"/>
      <c r="BA64">
        <v>2010</v>
      </c>
      <c r="BI64" s="27">
        <f t="shared" si="71"/>
        <v>0.38</v>
      </c>
      <c r="BL64" s="6"/>
      <c r="BP64" s="5"/>
      <c r="BR64" s="26">
        <v>0.38</v>
      </c>
      <c r="CW64">
        <v>2010</v>
      </c>
      <c r="CX64" s="5">
        <v>608718</v>
      </c>
      <c r="CY64" s="5">
        <v>1521759</v>
      </c>
      <c r="CZ64" s="6">
        <f t="shared" si="83"/>
        <v>0</v>
      </c>
      <c r="DA64" s="6">
        <f t="shared" si="84"/>
        <v>-5.6348253862456817E-3</v>
      </c>
      <c r="DB64">
        <v>2010</v>
      </c>
      <c r="DC64" s="20">
        <v>5.3054662379421219E-2</v>
      </c>
      <c r="DD64" s="20">
        <v>0.83922829581993574</v>
      </c>
      <c r="DE64" s="20">
        <v>0.1045016077170418</v>
      </c>
      <c r="DF64" s="20">
        <v>3.2154340836012861E-3</v>
      </c>
      <c r="DI64">
        <v>2010</v>
      </c>
      <c r="DJ64" s="5">
        <v>663107.409308017</v>
      </c>
      <c r="DK64" s="29">
        <v>585185.33138593903</v>
      </c>
      <c r="DL64" s="5">
        <f t="shared" si="92"/>
        <v>77922.077922077966</v>
      </c>
      <c r="DM64" s="6">
        <f t="shared" si="93"/>
        <v>0.11751049200821512</v>
      </c>
      <c r="DO64" s="34">
        <f t="shared" si="94"/>
        <v>3.548847182784217E-2</v>
      </c>
      <c r="DP64" s="6">
        <f t="shared" si="95"/>
        <v>-0.31818390896939452</v>
      </c>
    </row>
    <row r="65" spans="1:120" x14ac:dyDescent="0.35">
      <c r="A65" t="s">
        <v>73</v>
      </c>
      <c r="B65">
        <f t="shared" si="6"/>
        <v>2011</v>
      </c>
      <c r="C65" s="43">
        <f t="shared" si="85"/>
        <v>1079068</v>
      </c>
      <c r="D65" s="31">
        <f t="shared" si="76"/>
        <v>1567636</v>
      </c>
      <c r="E65" s="26">
        <f t="shared" si="9"/>
        <v>0.37347104651547813</v>
      </c>
      <c r="F65" s="26" t="s">
        <v>82</v>
      </c>
      <c r="G65" s="26">
        <v>32510.826243023046</v>
      </c>
      <c r="H65" s="5">
        <f t="shared" si="86"/>
        <v>1079068</v>
      </c>
      <c r="I65" s="5">
        <f t="shared" si="11"/>
        <v>1137157.6669372031</v>
      </c>
      <c r="J65" s="26">
        <f t="shared" si="12"/>
        <v>5.2434168798394749E-2</v>
      </c>
      <c r="K65" s="26">
        <f t="shared" si="57"/>
        <v>-0.41228613408831222</v>
      </c>
      <c r="L65">
        <v>2011</v>
      </c>
      <c r="M65" s="43">
        <v>1079068</v>
      </c>
      <c r="N65" s="31">
        <v>1567636</v>
      </c>
      <c r="P65" s="25" t="str">
        <f t="shared" si="80"/>
        <v>Brittany</v>
      </c>
      <c r="Q65" s="25">
        <f t="shared" si="78"/>
        <v>2011</v>
      </c>
      <c r="R65" s="5">
        <f t="shared" si="81"/>
        <v>1079068</v>
      </c>
      <c r="S65" s="5">
        <f t="shared" si="87"/>
        <v>1420924.6212415406</v>
      </c>
      <c r="T65" s="57">
        <f t="shared" si="13"/>
        <v>0.24058744294460999</v>
      </c>
      <c r="U65" s="69">
        <f t="shared" si="14"/>
        <v>341856.62124154065</v>
      </c>
      <c r="V65" s="29">
        <f t="shared" si="88"/>
        <v>1420924.6212415406</v>
      </c>
      <c r="W65" s="31">
        <f t="shared" si="99"/>
        <v>64600.325957258479</v>
      </c>
      <c r="X65" s="31">
        <f t="shared" si="98"/>
        <v>879650.46261584666</v>
      </c>
      <c r="Y65" s="31">
        <f t="shared" si="97"/>
        <v>190675.19909250591</v>
      </c>
      <c r="Z65" s="31">
        <f t="shared" si="96"/>
        <v>2231.6792715920915</v>
      </c>
      <c r="AA65" s="22">
        <f t="shared" si="82"/>
        <v>1137157.6669372031</v>
      </c>
      <c r="AB65" s="32">
        <f t="shared" si="77"/>
        <v>452359.84347143682</v>
      </c>
      <c r="AC65" s="32">
        <f t="shared" si="72"/>
        <v>871622.18144641793</v>
      </c>
      <c r="AD65" s="32">
        <f t="shared" si="70"/>
        <v>294487.25193175912</v>
      </c>
      <c r="AE65" s="32">
        <f t="shared" si="68"/>
        <v>0</v>
      </c>
      <c r="AF65" s="12">
        <f t="shared" si="69"/>
        <v>1618469.2768496138</v>
      </c>
      <c r="AG65" s="12">
        <f t="shared" si="20"/>
        <v>2011</v>
      </c>
      <c r="AH65" s="56">
        <f t="shared" si="21"/>
        <v>5.6808592014554724E-2</v>
      </c>
      <c r="AI65" s="56">
        <f t="shared" si="22"/>
        <v>0.77355189011307368</v>
      </c>
      <c r="AJ65" s="56">
        <f t="shared" si="23"/>
        <v>0.16767701140868754</v>
      </c>
      <c r="AK65" s="56"/>
      <c r="AL65" s="56"/>
      <c r="AM65" s="68">
        <f t="shared" si="24"/>
        <v>2011</v>
      </c>
      <c r="AN65" s="60">
        <f t="shared" si="48"/>
        <v>1169515.9708899597</v>
      </c>
      <c r="AO65" s="56">
        <f t="shared" si="58"/>
        <v>0.5</v>
      </c>
      <c r="AP65">
        <f t="shared" si="26"/>
        <v>584757.98544497986</v>
      </c>
      <c r="AQ65" s="59">
        <f t="shared" si="59"/>
        <v>835438.07473954011</v>
      </c>
      <c r="AR65" s="59">
        <f t="shared" si="27"/>
        <v>584757.98544497986</v>
      </c>
      <c r="AS65" t="s">
        <v>53</v>
      </c>
      <c r="AT65" s="19">
        <v>2011</v>
      </c>
      <c r="AU65" s="14">
        <v>1079068</v>
      </c>
      <c r="AV65" s="5">
        <f t="shared" si="89"/>
        <v>341856.62124154065</v>
      </c>
      <c r="AW65" s="41">
        <f t="shared" si="90"/>
        <v>0.24058744294460993</v>
      </c>
      <c r="AX65" s="12">
        <v>1420924.6212415406</v>
      </c>
      <c r="AY65" s="6"/>
      <c r="AZ65" s="6"/>
      <c r="BA65">
        <v>2011</v>
      </c>
      <c r="BI65" s="27">
        <f t="shared" si="71"/>
        <v>0.46</v>
      </c>
      <c r="BL65" s="6"/>
      <c r="BP65" s="5"/>
      <c r="BR65" s="26">
        <v>0.46</v>
      </c>
      <c r="CW65">
        <v>2011</v>
      </c>
      <c r="CX65" s="5">
        <v>1079068</v>
      </c>
      <c r="CY65" s="5">
        <v>1567636</v>
      </c>
      <c r="CZ65" s="6">
        <f t="shared" si="83"/>
        <v>0</v>
      </c>
      <c r="DA65" s="6">
        <f t="shared" si="84"/>
        <v>-3.1408243317761243E-2</v>
      </c>
      <c r="DB65">
        <v>2011</v>
      </c>
      <c r="DC65" s="20">
        <v>1.9230769230769232E-2</v>
      </c>
      <c r="DD65" s="20">
        <v>0.93376068376068377</v>
      </c>
      <c r="DE65" s="20">
        <v>4.7008547008547008E-2</v>
      </c>
      <c r="DF65" s="20">
        <v>0</v>
      </c>
      <c r="DI65">
        <v>2011</v>
      </c>
      <c r="DJ65" s="5">
        <v>1416827.8529980599</v>
      </c>
      <c r="DK65" s="29">
        <v>1027237.20048948</v>
      </c>
      <c r="DL65" s="5">
        <f t="shared" si="92"/>
        <v>389590.65250857989</v>
      </c>
      <c r="DM65" s="6">
        <f t="shared" si="93"/>
        <v>0.27497388033711484</v>
      </c>
      <c r="DO65" s="34">
        <f t="shared" si="94"/>
        <v>3.6582284432681127E-2</v>
      </c>
      <c r="DP65" s="6">
        <f t="shared" si="95"/>
        <v>-0.12505346817067689</v>
      </c>
    </row>
    <row r="66" spans="1:120" x14ac:dyDescent="0.35">
      <c r="A66" t="s">
        <v>73</v>
      </c>
      <c r="B66">
        <f t="shared" si="6"/>
        <v>2012</v>
      </c>
      <c r="C66" s="43">
        <f t="shared" si="85"/>
        <v>1381072</v>
      </c>
      <c r="D66" s="31">
        <f t="shared" si="76"/>
        <v>2530282</v>
      </c>
      <c r="E66" s="26">
        <f t="shared" si="9"/>
        <v>0.60547074977719351</v>
      </c>
      <c r="F66" s="26" t="s">
        <v>82</v>
      </c>
      <c r="G66" s="26">
        <v>34643.930456535789</v>
      </c>
      <c r="H66" s="5">
        <f t="shared" si="86"/>
        <v>1381072</v>
      </c>
      <c r="I66" s="5">
        <f t="shared" si="11"/>
        <v>3027578.7899983842</v>
      </c>
      <c r="J66" s="26">
        <f t="shared" si="12"/>
        <v>0.7849032116775021</v>
      </c>
      <c r="K66" s="26">
        <f t="shared" si="57"/>
        <v>0.50611291584587603</v>
      </c>
      <c r="L66">
        <v>2012</v>
      </c>
      <c r="M66" s="43">
        <v>1381072</v>
      </c>
      <c r="N66" s="31">
        <v>2530282</v>
      </c>
      <c r="P66" s="25" t="str">
        <f t="shared" si="80"/>
        <v>Brittany</v>
      </c>
      <c r="Q66" s="25">
        <f t="shared" si="78"/>
        <v>2012</v>
      </c>
      <c r="R66" s="5">
        <f t="shared" si="81"/>
        <v>1381072</v>
      </c>
      <c r="S66" s="5">
        <f t="shared" si="87"/>
        <v>1702019.9096711003</v>
      </c>
      <c r="T66" s="57">
        <f t="shared" si="13"/>
        <v>0.18856883391753065</v>
      </c>
      <c r="U66" s="69">
        <f t="shared" si="14"/>
        <v>320947.90967110032</v>
      </c>
      <c r="V66" s="29">
        <f t="shared" si="88"/>
        <v>1702019.9096711003</v>
      </c>
      <c r="W66" s="31">
        <f t="shared" si="99"/>
        <v>251921.92635103708</v>
      </c>
      <c r="X66" s="31">
        <f t="shared" si="98"/>
        <v>2596814.6162122232</v>
      </c>
      <c r="Y66" s="31">
        <f t="shared" si="97"/>
        <v>177418.50209157128</v>
      </c>
      <c r="Z66" s="31">
        <f t="shared" si="96"/>
        <v>1423.74534355275</v>
      </c>
      <c r="AA66" s="22">
        <f>SUM(W66:Z66)</f>
        <v>3027578.7899983842</v>
      </c>
      <c r="AB66" s="32">
        <f t="shared" si="77"/>
        <v>435811.09072320897</v>
      </c>
      <c r="AC66" s="32">
        <f t="shared" si="72"/>
        <v>1766923.5115905546</v>
      </c>
      <c r="AD66" s="32">
        <f t="shared" si="70"/>
        <v>107232.189</v>
      </c>
      <c r="AE66" s="32">
        <f t="shared" si="68"/>
        <v>0</v>
      </c>
      <c r="AF66" s="12">
        <f t="shared" si="69"/>
        <v>2309966.7913137632</v>
      </c>
      <c r="AG66" s="12">
        <f t="shared" si="20"/>
        <v>2012</v>
      </c>
      <c r="AH66" s="56">
        <f t="shared" si="21"/>
        <v>8.3209040565108305E-2</v>
      </c>
      <c r="AI66" s="56">
        <f t="shared" si="22"/>
        <v>0.85771991295183081</v>
      </c>
      <c r="AJ66" s="56">
        <f t="shared" si="23"/>
        <v>5.860078775742314E-2</v>
      </c>
      <c r="AK66" s="56"/>
      <c r="AL66" s="56"/>
      <c r="AM66" s="68">
        <f t="shared" si="24"/>
        <v>2012</v>
      </c>
      <c r="AN66" s="60">
        <f t="shared" si="48"/>
        <v>1421727.7759736527</v>
      </c>
      <c r="AO66" s="56">
        <f t="shared" si="58"/>
        <v>0.5</v>
      </c>
      <c r="AP66">
        <f t="shared" si="26"/>
        <v>710863.88798682636</v>
      </c>
      <c r="AQ66" s="59">
        <f t="shared" si="59"/>
        <v>2354304.3536504484</v>
      </c>
      <c r="AR66" s="59">
        <f t="shared" si="27"/>
        <v>710863.88798682636</v>
      </c>
      <c r="AS66" t="s">
        <v>53</v>
      </c>
      <c r="AT66" s="19">
        <v>2012</v>
      </c>
      <c r="AU66" s="14">
        <v>1381072</v>
      </c>
      <c r="AV66" s="5">
        <f t="shared" si="89"/>
        <v>320947.90967110032</v>
      </c>
      <c r="AW66" s="41">
        <f t="shared" si="90"/>
        <v>0.18856883391753071</v>
      </c>
      <c r="AX66" s="12">
        <v>1702019.9096711003</v>
      </c>
      <c r="AY66" s="6"/>
      <c r="AZ66" s="6"/>
      <c r="BA66">
        <v>2012</v>
      </c>
      <c r="BI66" s="27">
        <f t="shared" si="71"/>
        <v>0.38</v>
      </c>
      <c r="BL66" s="6"/>
      <c r="BP66" s="5"/>
      <c r="BR66" s="26">
        <v>0.38</v>
      </c>
      <c r="CW66">
        <v>2012</v>
      </c>
      <c r="CX66" s="5">
        <v>1381072</v>
      </c>
      <c r="CY66" s="5">
        <v>2530282</v>
      </c>
      <c r="CZ66" s="6">
        <f t="shared" si="83"/>
        <v>0</v>
      </c>
      <c r="DA66" s="6">
        <f t="shared" si="84"/>
        <v>9.5375920344264078E-2</v>
      </c>
      <c r="DB66">
        <v>2012</v>
      </c>
      <c r="DC66" s="20">
        <v>0.1065989847715736</v>
      </c>
      <c r="DD66" s="20">
        <v>0.57360406091370564</v>
      </c>
      <c r="DE66" s="20">
        <v>0.31979695431472083</v>
      </c>
      <c r="DF66" s="20">
        <v>0</v>
      </c>
      <c r="DI66">
        <v>2012</v>
      </c>
      <c r="DJ66" s="5">
        <v>1703055.3033592501</v>
      </c>
      <c r="DK66" s="29">
        <v>1339438.6768246901</v>
      </c>
      <c r="DL66" s="5">
        <f t="shared" si="92"/>
        <v>363616.62653456</v>
      </c>
      <c r="DM66" s="6">
        <f t="shared" si="93"/>
        <v>0.21350840798729898</v>
      </c>
      <c r="DO66" s="34">
        <f t="shared" si="94"/>
        <v>2.4446254383629729E-2</v>
      </c>
      <c r="DP66" s="6">
        <f t="shared" si="95"/>
        <v>-0.11680839319101594</v>
      </c>
    </row>
    <row r="67" spans="1:120" x14ac:dyDescent="0.35">
      <c r="A67" t="s">
        <v>73</v>
      </c>
      <c r="B67">
        <f t="shared" si="6"/>
        <v>2013</v>
      </c>
      <c r="C67" s="43">
        <f t="shared" si="85"/>
        <v>1167839</v>
      </c>
      <c r="D67" s="31">
        <f t="shared" si="76"/>
        <v>1408307</v>
      </c>
      <c r="E67" s="26">
        <f t="shared" si="9"/>
        <v>0.18723324130222524</v>
      </c>
      <c r="F67" s="26" t="s">
        <v>82</v>
      </c>
      <c r="G67" s="26">
        <v>36946.58872863822</v>
      </c>
      <c r="H67" s="5">
        <f t="shared" si="86"/>
        <v>1167839</v>
      </c>
      <c r="I67" s="5">
        <f t="shared" si="11"/>
        <v>805154.93228744587</v>
      </c>
      <c r="J67" s="26">
        <f t="shared" si="12"/>
        <v>-0.37187559005235787</v>
      </c>
      <c r="K67" s="26">
        <f t="shared" si="57"/>
        <v>-0.78194366099416812</v>
      </c>
      <c r="L67">
        <v>2013</v>
      </c>
      <c r="M67" s="43">
        <v>1167839</v>
      </c>
      <c r="N67" s="31">
        <v>1408307</v>
      </c>
      <c r="P67" s="25" t="str">
        <f t="shared" si="80"/>
        <v>Brittany</v>
      </c>
      <c r="Q67" s="25">
        <f t="shared" si="78"/>
        <v>2013</v>
      </c>
      <c r="R67" s="5">
        <f t="shared" si="81"/>
        <v>1167839</v>
      </c>
      <c r="S67" s="5">
        <f t="shared" si="87"/>
        <v>1601307.957646556</v>
      </c>
      <c r="T67" s="57">
        <f t="shared" si="13"/>
        <v>0.27069681105165166</v>
      </c>
      <c r="U67" s="69">
        <f t="shared" si="14"/>
        <v>433468.95764655597</v>
      </c>
      <c r="V67" s="29">
        <f t="shared" si="88"/>
        <v>1601307.957646556</v>
      </c>
      <c r="W67" s="31">
        <f t="shared" si="99"/>
        <v>151329.52308929039</v>
      </c>
      <c r="X67" s="31">
        <f t="shared" si="98"/>
        <v>636028.59240374609</v>
      </c>
      <c r="Y67" s="31">
        <f t="shared" si="97"/>
        <v>17796.816794409377</v>
      </c>
      <c r="Z67" s="31">
        <f t="shared" si="96"/>
        <v>0</v>
      </c>
      <c r="AA67" s="22">
        <f t="shared" si="82"/>
        <v>805154.93228744587</v>
      </c>
      <c r="AB67" s="32">
        <f t="shared" si="77"/>
        <v>883461.75579527731</v>
      </c>
      <c r="AC67" s="32">
        <f t="shared" si="72"/>
        <v>643393.13399999996</v>
      </c>
      <c r="AD67" s="32">
        <f t="shared" si="70"/>
        <v>78946.679300000003</v>
      </c>
      <c r="AE67" s="32">
        <f t="shared" si="68"/>
        <v>0</v>
      </c>
      <c r="AF67" s="12">
        <f t="shared" si="69"/>
        <v>1605801.5690952772</v>
      </c>
      <c r="AG67" s="12">
        <f t="shared" si="20"/>
        <v>2013</v>
      </c>
      <c r="AH67" s="56">
        <f t="shared" si="21"/>
        <v>0.18795081172683509</v>
      </c>
      <c r="AI67" s="56">
        <f t="shared" si="22"/>
        <v>0.78994559543563658</v>
      </c>
      <c r="AJ67" s="56">
        <f t="shared" si="23"/>
        <v>2.2103592837528305E-2</v>
      </c>
      <c r="AK67" s="56"/>
      <c r="AL67" s="56"/>
      <c r="AM67" s="68">
        <f t="shared" si="24"/>
        <v>2013</v>
      </c>
      <c r="AN67" s="60">
        <f t="shared" si="48"/>
        <v>1376651.3459380791</v>
      </c>
      <c r="AO67" s="56">
        <f t="shared" si="58"/>
        <v>0.5</v>
      </c>
      <c r="AP67">
        <f t="shared" si="26"/>
        <v>688325.67296903953</v>
      </c>
      <c r="AQ67" s="59">
        <f t="shared" si="59"/>
        <v>637529.69315827033</v>
      </c>
      <c r="AR67" s="59">
        <f t="shared" si="27"/>
        <v>688325.67296903953</v>
      </c>
      <c r="AS67" t="s">
        <v>53</v>
      </c>
      <c r="AT67" s="19">
        <v>2013</v>
      </c>
      <c r="AU67" s="14">
        <v>1167839</v>
      </c>
      <c r="AV67" s="5">
        <f t="shared" si="89"/>
        <v>433468.95764655597</v>
      </c>
      <c r="AW67" s="41">
        <f t="shared" si="90"/>
        <v>0.27069681105165166</v>
      </c>
      <c r="AX67" s="12">
        <v>1601307.957646556</v>
      </c>
      <c r="AY67" s="6"/>
      <c r="AZ67" s="6"/>
      <c r="BA67">
        <v>2013</v>
      </c>
      <c r="BI67" s="27">
        <f t="shared" si="71"/>
        <v>0.5</v>
      </c>
      <c r="BL67" s="6"/>
      <c r="BP67" s="5"/>
      <c r="BR67" s="26">
        <v>0.5</v>
      </c>
      <c r="CW67">
        <v>2013</v>
      </c>
      <c r="CX67" s="5">
        <v>1167839</v>
      </c>
      <c r="CY67" s="5">
        <v>1408307</v>
      </c>
      <c r="CZ67" s="6">
        <f t="shared" si="83"/>
        <v>0</v>
      </c>
      <c r="DA67" s="6">
        <f t="shared" si="84"/>
        <v>-0.12298815301727935</v>
      </c>
      <c r="DB67">
        <v>2013</v>
      </c>
      <c r="DC67" s="20">
        <v>3.1155778894472363E-2</v>
      </c>
      <c r="DD67" s="20">
        <v>0.74974874371859301</v>
      </c>
      <c r="DE67" s="20">
        <v>0.21105527638190955</v>
      </c>
      <c r="DF67" s="20">
        <v>8.0402010050251264E-3</v>
      </c>
      <c r="DI67">
        <v>2013</v>
      </c>
      <c r="DJ67" s="5">
        <v>1586685.3511230401</v>
      </c>
      <c r="DK67" s="29">
        <v>1132139.8965775799</v>
      </c>
      <c r="DL67" s="5">
        <f t="shared" si="92"/>
        <v>454545.45454546018</v>
      </c>
      <c r="DM67" s="6">
        <f t="shared" si="93"/>
        <v>0.28647485415034396</v>
      </c>
      <c r="DO67" s="34">
        <f t="shared" si="94"/>
        <v>2.2499169981718574E-2</v>
      </c>
      <c r="DP67" s="6">
        <f t="shared" si="95"/>
        <v>-5.5076537678982011E-2</v>
      </c>
    </row>
    <row r="68" spans="1:120" x14ac:dyDescent="0.35">
      <c r="A68" t="s">
        <v>73</v>
      </c>
      <c r="B68">
        <f t="shared" si="6"/>
        <v>2014</v>
      </c>
      <c r="C68" s="43">
        <f t="shared" si="85"/>
        <v>1165580</v>
      </c>
      <c r="D68" s="31">
        <f t="shared" si="76"/>
        <v>810777</v>
      </c>
      <c r="E68" s="26">
        <f t="shared" si="9"/>
        <v>-0.36298104905823131</v>
      </c>
      <c r="F68" s="26" t="s">
        <v>82</v>
      </c>
      <c r="G68" s="26">
        <v>39432.278403101001</v>
      </c>
      <c r="H68" s="5">
        <f t="shared" si="86"/>
        <v>1165580</v>
      </c>
      <c r="I68" s="5">
        <f t="shared" si="11"/>
        <v>920933.05007688294</v>
      </c>
      <c r="J68" s="26">
        <f t="shared" si="12"/>
        <v>-0.23558675521758243</v>
      </c>
      <c r="K68" s="26">
        <f t="shared" si="57"/>
        <v>-0.64704558881795826</v>
      </c>
      <c r="L68">
        <v>2014</v>
      </c>
      <c r="M68" s="43">
        <v>1165580</v>
      </c>
      <c r="N68" s="31">
        <v>810777</v>
      </c>
      <c r="P68" s="25" t="str">
        <f t="shared" si="80"/>
        <v>Brittany</v>
      </c>
      <c r="Q68" s="25">
        <f t="shared" si="78"/>
        <v>2014</v>
      </c>
      <c r="R68" s="5">
        <f t="shared" si="81"/>
        <v>1165580</v>
      </c>
      <c r="S68" s="5">
        <f t="shared" si="87"/>
        <v>1507866.1449047895</v>
      </c>
      <c r="T68" s="57">
        <f t="shared" si="13"/>
        <v>0.22700035149764719</v>
      </c>
      <c r="U68" s="69">
        <f t="shared" si="14"/>
        <v>342286.14490478951</v>
      </c>
      <c r="V68" s="29">
        <f t="shared" si="88"/>
        <v>1507866.1449047895</v>
      </c>
      <c r="W68" s="31">
        <f t="shared" si="99"/>
        <v>256643.11623309052</v>
      </c>
      <c r="X68" s="31">
        <f t="shared" si="98"/>
        <v>639261.65925518482</v>
      </c>
      <c r="Y68" s="31">
        <f t="shared" si="97"/>
        <v>25028.274588607597</v>
      </c>
      <c r="Z68" s="31">
        <f t="shared" si="96"/>
        <v>0</v>
      </c>
      <c r="AA68" s="22">
        <f t="shared" si="82"/>
        <v>920933.05007688294</v>
      </c>
      <c r="AB68" s="32">
        <f t="shared" si="77"/>
        <v>321696.56699999998</v>
      </c>
      <c r="AC68" s="32">
        <f t="shared" si="72"/>
        <v>473680.07579999993</v>
      </c>
      <c r="AD68" s="32">
        <f t="shared" si="70"/>
        <v>32614.164000000004</v>
      </c>
      <c r="AE68" s="32">
        <f t="shared" si="68"/>
        <v>0</v>
      </c>
      <c r="AF68" s="12">
        <f t="shared" si="69"/>
        <v>827990.8067999999</v>
      </c>
      <c r="AG68" s="12">
        <f t="shared" si="20"/>
        <v>2014</v>
      </c>
      <c r="AH68" s="56">
        <f t="shared" si="21"/>
        <v>0.27867727867043646</v>
      </c>
      <c r="AI68" s="56">
        <f t="shared" si="22"/>
        <v>0.69414563762459913</v>
      </c>
      <c r="AJ68" s="56">
        <f t="shared" si="23"/>
        <v>2.7177083704964376E-2</v>
      </c>
      <c r="AK68" s="56"/>
      <c r="AL68" s="56"/>
      <c r="AM68" s="68">
        <f t="shared" si="24"/>
        <v>2014</v>
      </c>
      <c r="AN68" s="60">
        <f t="shared" si="48"/>
        <v>1025020.2281463571</v>
      </c>
      <c r="AO68" s="56">
        <f t="shared" si="58"/>
        <v>0.5</v>
      </c>
      <c r="AP68">
        <f t="shared" si="26"/>
        <v>512510.11407317856</v>
      </c>
      <c r="AQ68" s="59">
        <f t="shared" si="59"/>
        <v>605345.18964872905</v>
      </c>
      <c r="AR68" s="59">
        <f t="shared" si="27"/>
        <v>512510.11407317856</v>
      </c>
      <c r="AS68" t="s">
        <v>53</v>
      </c>
      <c r="AT68" s="19">
        <v>2014</v>
      </c>
      <c r="AU68" s="14">
        <v>1165580</v>
      </c>
      <c r="AV68" s="5">
        <f t="shared" si="89"/>
        <v>342286.14490478951</v>
      </c>
      <c r="AW68" s="41">
        <f t="shared" si="90"/>
        <v>0.22700035149764725</v>
      </c>
      <c r="AX68" s="12">
        <v>1507866.1449047895</v>
      </c>
      <c r="AY68" s="6"/>
      <c r="AZ68" s="6"/>
      <c r="BA68">
        <v>2014</v>
      </c>
      <c r="BI68" s="27">
        <f t="shared" si="71"/>
        <v>0.45</v>
      </c>
      <c r="BL68" s="6"/>
      <c r="BP68" s="5"/>
      <c r="BR68" s="26">
        <v>0.45</v>
      </c>
      <c r="CW68">
        <v>2014</v>
      </c>
      <c r="CX68" s="5">
        <v>1165580</v>
      </c>
      <c r="CY68" s="5">
        <v>810777</v>
      </c>
      <c r="CZ68" s="6">
        <f t="shared" si="83"/>
        <v>0</v>
      </c>
      <c r="DA68" s="6">
        <f t="shared" si="84"/>
        <v>-2.0789852566754256E-2</v>
      </c>
      <c r="DB68">
        <v>2014</v>
      </c>
      <c r="DC68" s="20">
        <v>4.2842215256008356E-2</v>
      </c>
      <c r="DD68" s="20">
        <v>0.81086729362591436</v>
      </c>
      <c r="DE68" s="20">
        <v>0.14629049111807732</v>
      </c>
      <c r="DF68" s="20">
        <v>0</v>
      </c>
      <c r="DI68">
        <v>2014</v>
      </c>
      <c r="DJ68" s="5">
        <v>1509256.7007460601</v>
      </c>
      <c r="DK68" s="29">
        <v>1132633.3241226799</v>
      </c>
      <c r="DL68" s="5">
        <f t="shared" si="92"/>
        <v>376623.37662338023</v>
      </c>
      <c r="DM68" s="6">
        <f t="shared" si="93"/>
        <v>0.24954229220066187</v>
      </c>
      <c r="DO68" s="34">
        <f t="shared" si="94"/>
        <v>2.182973636031155E-2</v>
      </c>
      <c r="DP68" s="6">
        <f t="shared" si="95"/>
        <v>-9.0333147556760474E-2</v>
      </c>
    </row>
    <row r="69" spans="1:120" x14ac:dyDescent="0.35">
      <c r="A69" t="s">
        <v>73</v>
      </c>
      <c r="B69">
        <f t="shared" si="6"/>
        <v>2015</v>
      </c>
      <c r="C69" s="43">
        <f t="shared" si="85"/>
        <v>950865</v>
      </c>
      <c r="D69" s="31">
        <f t="shared" si="76"/>
        <v>438554</v>
      </c>
      <c r="E69" s="26">
        <f t="shared" si="9"/>
        <v>-0.77388914531012754</v>
      </c>
      <c r="F69" s="26" t="s">
        <v>82</v>
      </c>
      <c r="G69" s="26">
        <v>39987.216497848218</v>
      </c>
      <c r="H69" s="5">
        <f t="shared" si="86"/>
        <v>950865</v>
      </c>
      <c r="I69" s="5">
        <f t="shared" si="11"/>
        <v>390127.06417119328</v>
      </c>
      <c r="J69" s="26">
        <f t="shared" si="12"/>
        <v>-0.8908996050049991</v>
      </c>
      <c r="K69" s="26">
        <f t="shared" ref="K69:K76" si="100">J69-(aa-bb*H69)</f>
        <v>-1.4345486131223737</v>
      </c>
      <c r="L69">
        <v>2015</v>
      </c>
      <c r="M69" s="43">
        <v>950865</v>
      </c>
      <c r="N69" s="31">
        <v>438554</v>
      </c>
      <c r="P69" s="25" t="str">
        <f t="shared" si="80"/>
        <v>Brittany</v>
      </c>
      <c r="Q69" s="25">
        <f t="shared" si="78"/>
        <v>2015</v>
      </c>
      <c r="R69" s="5">
        <f t="shared" si="81"/>
        <v>950865</v>
      </c>
      <c r="S69" s="5">
        <f t="shared" si="87"/>
        <v>1452703.6357440299</v>
      </c>
      <c r="T69" s="57">
        <f t="shared" si="13"/>
        <v>0.34545149017060428</v>
      </c>
      <c r="U69" s="69">
        <f t="shared" si="14"/>
        <v>501838.63574402989</v>
      </c>
      <c r="V69" s="29">
        <f t="shared" si="88"/>
        <v>1452703.6357440299</v>
      </c>
      <c r="W69" s="31">
        <f t="shared" si="99"/>
        <v>130984.571606853</v>
      </c>
      <c r="X69" s="31">
        <f t="shared" si="98"/>
        <v>247702.51139240508</v>
      </c>
      <c r="Y69" s="31">
        <f t="shared" si="97"/>
        <v>11439.981171935236</v>
      </c>
      <c r="Z69" s="31">
        <f t="shared" si="96"/>
        <v>0</v>
      </c>
      <c r="AA69" s="22">
        <f t="shared" si="82"/>
        <v>390127.06417119328</v>
      </c>
      <c r="AB69" s="32">
        <f t="shared" si="77"/>
        <v>236840.03789999997</v>
      </c>
      <c r="AC69" s="32">
        <f t="shared" si="72"/>
        <v>195684.984</v>
      </c>
      <c r="AD69" s="32">
        <f t="shared" si="70"/>
        <v>67443.88900000001</v>
      </c>
      <c r="AE69" s="32">
        <f t="shared" si="68"/>
        <v>0</v>
      </c>
      <c r="AF69" s="12">
        <f t="shared" si="69"/>
        <v>499968.91089999996</v>
      </c>
      <c r="AG69" s="12">
        <f t="shared" si="20"/>
        <v>2015</v>
      </c>
      <c r="AH69" s="56">
        <f t="shared" si="21"/>
        <v>0.33574848718871531</v>
      </c>
      <c r="AI69" s="56">
        <f t="shared" si="22"/>
        <v>0.63492778158992247</v>
      </c>
      <c r="AJ69" s="56">
        <f t="shared" si="23"/>
        <v>2.9323731221362306E-2</v>
      </c>
      <c r="AK69" s="56"/>
      <c r="AL69" s="56"/>
      <c r="AM69" s="68">
        <f t="shared" si="24"/>
        <v>2015</v>
      </c>
      <c r="AN69" s="60">
        <f t="shared" si="48"/>
        <v>1045918.9361377022</v>
      </c>
      <c r="AO69" s="56">
        <f t="shared" ref="AO69:AO76" si="101">CHOOSE(umethod,T69,retroU,MAX(0,cslope*(AN69-nlim)/AN69))</f>
        <v>0.5</v>
      </c>
      <c r="AP69">
        <f t="shared" si="26"/>
        <v>522959.4680688511</v>
      </c>
      <c r="AQ69" s="59">
        <f t="shared" ref="AQ69:AQ76" si="102">AP69*EXP(aa-bb*AP69+K69)</f>
        <v>279232.88897246646</v>
      </c>
      <c r="AR69" s="59">
        <f t="shared" si="27"/>
        <v>522959.4680688511</v>
      </c>
      <c r="AS69" t="s">
        <v>53</v>
      </c>
      <c r="AT69" s="19">
        <v>2015</v>
      </c>
      <c r="AU69" s="14">
        <v>950865</v>
      </c>
      <c r="AV69" s="5">
        <f t="shared" si="89"/>
        <v>501838.63574402989</v>
      </c>
      <c r="AW69" s="41">
        <f t="shared" si="90"/>
        <v>0.34545149017060434</v>
      </c>
      <c r="AX69" s="12">
        <v>1452703.6357440299</v>
      </c>
      <c r="AY69" s="6"/>
      <c r="AZ69" s="6"/>
      <c r="BA69">
        <v>2015</v>
      </c>
      <c r="BI69" s="27">
        <f t="shared" si="71"/>
        <v>0.52</v>
      </c>
      <c r="BL69" s="6"/>
      <c r="BP69" s="5"/>
      <c r="BR69" s="26">
        <v>0.52</v>
      </c>
      <c r="CW69">
        <v>2015</v>
      </c>
      <c r="CX69" s="5">
        <v>950865</v>
      </c>
      <c r="CY69" s="5">
        <v>438554</v>
      </c>
      <c r="CZ69" s="6">
        <f t="shared" si="83"/>
        <v>0</v>
      </c>
      <c r="DA69" s="6">
        <f t="shared" si="84"/>
        <v>-0.12283745961213119</v>
      </c>
      <c r="DB69">
        <v>2015</v>
      </c>
      <c r="DC69" s="20">
        <v>0.17341591233920914</v>
      </c>
      <c r="DD69" s="20">
        <v>0.60552644116245835</v>
      </c>
      <c r="DE69" s="20">
        <v>0.2191519771319676</v>
      </c>
      <c r="DF69" s="20">
        <v>1.9056693663649356E-3</v>
      </c>
      <c r="DI69">
        <v>2015</v>
      </c>
      <c r="DJ69" s="5">
        <v>1444834.8004578999</v>
      </c>
      <c r="DK69" s="29">
        <v>925354.28097738198</v>
      </c>
      <c r="DL69" s="5">
        <f t="shared" si="92"/>
        <v>519480.51948051795</v>
      </c>
      <c r="DM69" s="6">
        <f t="shared" si="93"/>
        <v>0.35954319436096305</v>
      </c>
      <c r="DO69" s="34">
        <f t="shared" si="94"/>
        <v>1.765649541008641E-2</v>
      </c>
      <c r="DP69" s="6">
        <f t="shared" si="95"/>
        <v>-3.9193355378078325E-2</v>
      </c>
    </row>
    <row r="70" spans="1:120" x14ac:dyDescent="0.35">
      <c r="A70" t="s">
        <v>73</v>
      </c>
      <c r="B70">
        <f t="shared" ref="B70:B78" si="103">L70</f>
        <v>2016</v>
      </c>
      <c r="C70" s="43">
        <f t="shared" si="85"/>
        <v>1975386</v>
      </c>
      <c r="D70" s="31">
        <f t="shared" si="76"/>
        <v>597944</v>
      </c>
      <c r="E70" s="26">
        <f t="shared" ref="E70:E71" si="104">LN(D70/C70)</f>
        <v>-1.1950219971960248</v>
      </c>
      <c r="F70" s="26" t="s">
        <v>82</v>
      </c>
      <c r="G70" s="26">
        <v>40556.312534959594</v>
      </c>
      <c r="H70" s="5">
        <f t="shared" si="86"/>
        <v>1975386</v>
      </c>
      <c r="I70" s="5">
        <f t="shared" ref="I70:I71" si="105">AA70</f>
        <v>718625.96095230442</v>
      </c>
      <c r="J70" s="26">
        <f t="shared" ref="J70:J71" si="106">LN(I70/H70)</f>
        <v>-1.0111781001244562</v>
      </c>
      <c r="K70" s="26">
        <f t="shared" si="100"/>
        <v>-0.92407653289157543</v>
      </c>
      <c r="L70">
        <v>2016</v>
      </c>
      <c r="M70" s="43">
        <v>1975386</v>
      </c>
      <c r="N70" s="31">
        <v>597944</v>
      </c>
      <c r="P70" s="25" t="str">
        <f t="shared" si="80"/>
        <v>Brittany</v>
      </c>
      <c r="Q70" s="25">
        <f t="shared" si="78"/>
        <v>2016</v>
      </c>
      <c r="R70" s="5">
        <f t="shared" si="81"/>
        <v>1975386</v>
      </c>
      <c r="S70" s="5">
        <f t="shared" si="87"/>
        <v>2944872.5193175911</v>
      </c>
      <c r="T70" s="57">
        <f t="shared" ref="T70:T76" si="107">1-R70/S70</f>
        <v>0.32921171050971265</v>
      </c>
      <c r="U70" s="69">
        <f t="shared" ref="U70:U77" si="108">S70-R70</f>
        <v>969486.5193175911</v>
      </c>
      <c r="V70" s="29">
        <f t="shared" si="88"/>
        <v>2944872.5193175911</v>
      </c>
      <c r="W70" s="31">
        <f t="shared" si="99"/>
        <v>53410.854018987346</v>
      </c>
      <c r="X70" s="31">
        <f t="shared" si="98"/>
        <v>570959.06030840403</v>
      </c>
      <c r="Y70" s="31">
        <f t="shared" si="97"/>
        <v>94256.046624913011</v>
      </c>
      <c r="Z70" s="31">
        <f t="shared" si="96"/>
        <v>0</v>
      </c>
      <c r="AA70" s="22">
        <f t="shared" si="82"/>
        <v>718625.96095230442</v>
      </c>
      <c r="AB70" s="32">
        <f t="shared" si="77"/>
        <v>97842.491999999998</v>
      </c>
      <c r="AC70" s="32">
        <f t="shared" si="72"/>
        <v>404663.33399999997</v>
      </c>
      <c r="AD70" s="32">
        <f t="shared" si="70"/>
        <v>52702.700000000004</v>
      </c>
      <c r="AE70" s="32">
        <f t="shared" si="68"/>
        <v>0</v>
      </c>
      <c r="AF70" s="12">
        <f t="shared" si="69"/>
        <v>555208.52599999995</v>
      </c>
      <c r="AG70" s="12">
        <f t="shared" ref="AG70:AG77" si="109">B70</f>
        <v>2016</v>
      </c>
      <c r="AH70" s="56">
        <f t="shared" ref="AH70:AH71" si="110">W70/$AA70</f>
        <v>7.4323579888776456E-2</v>
      </c>
      <c r="AI70" s="56">
        <f t="shared" ref="AI70:AI71" si="111">X70/$AA70</f>
        <v>0.7945149373003223</v>
      </c>
      <c r="AJ70" s="56">
        <f t="shared" ref="AJ70:AJ71" si="112">Y70/$AA70</f>
        <v>0.13116148281090118</v>
      </c>
      <c r="AK70" s="56"/>
      <c r="AL70" s="56"/>
      <c r="AM70" s="68">
        <f t="shared" ref="AM70:AM75" si="113">B70</f>
        <v>2016</v>
      </c>
      <c r="AN70" s="60">
        <f t="shared" si="48"/>
        <v>2279241.7081935899</v>
      </c>
      <c r="AO70" s="56">
        <f t="shared" si="101"/>
        <v>0.5</v>
      </c>
      <c r="AP70">
        <f t="shared" ref="AP70:AP76" si="114">AN70*(1-AO70)</f>
        <v>1139620.854096795</v>
      </c>
      <c r="AQ70" s="59">
        <f t="shared" si="102"/>
        <v>693544.25922474882</v>
      </c>
      <c r="AR70" s="59">
        <f t="shared" ref="AR70:AR76" si="115">AN70-AP70</f>
        <v>1139620.854096795</v>
      </c>
      <c r="AS70" t="s">
        <v>53</v>
      </c>
      <c r="AT70" s="19">
        <v>2016</v>
      </c>
      <c r="AU70" s="14">
        <v>1975386</v>
      </c>
      <c r="AV70" s="5">
        <f t="shared" si="89"/>
        <v>969486.5193175911</v>
      </c>
      <c r="AW70" s="41">
        <f t="shared" si="90"/>
        <v>0.32921171050971271</v>
      </c>
      <c r="AX70" s="12">
        <v>2944872.5193175911</v>
      </c>
      <c r="AY70" s="6"/>
      <c r="BA70">
        <v>2016</v>
      </c>
      <c r="BI70" s="27">
        <f t="shared" si="71"/>
        <v>0.46</v>
      </c>
      <c r="BL70" s="6"/>
      <c r="BP70" s="5"/>
      <c r="BR70" s="26">
        <v>0.46</v>
      </c>
      <c r="CW70">
        <v>2016</v>
      </c>
      <c r="CX70" s="5">
        <v>1975386</v>
      </c>
      <c r="CY70" s="5">
        <v>597944</v>
      </c>
      <c r="CZ70" s="6">
        <f t="shared" si="83"/>
        <v>0</v>
      </c>
      <c r="DA70" s="6">
        <f t="shared" si="84"/>
        <v>7.6971933964861433E-2</v>
      </c>
      <c r="DB70">
        <v>2016</v>
      </c>
      <c r="DC70" s="20">
        <v>5.1387461459403906E-2</v>
      </c>
      <c r="DD70" s="20">
        <v>0.88180883864337101</v>
      </c>
      <c r="DE70" s="20">
        <v>6.4748201438848921E-2</v>
      </c>
      <c r="DF70" s="20">
        <v>2.0554984583761563E-3</v>
      </c>
      <c r="DI70">
        <v>2016</v>
      </c>
      <c r="DJ70" s="5">
        <v>2951821.7344964999</v>
      </c>
      <c r="DK70" s="29">
        <v>1938834.7215094899</v>
      </c>
      <c r="DL70" s="5">
        <f t="shared" si="92"/>
        <v>1012987.0129870099</v>
      </c>
      <c r="DM70" s="6">
        <f t="shared" si="93"/>
        <v>0.3431735057536589</v>
      </c>
      <c r="DO70" s="34">
        <f t="shared" si="94"/>
        <v>1.2382617169374803E-2</v>
      </c>
      <c r="DP70" s="6">
        <f t="shared" si="95"/>
        <v>-4.0684362311956643E-2</v>
      </c>
    </row>
    <row r="71" spans="1:120" x14ac:dyDescent="0.35">
      <c r="A71" t="s">
        <v>73</v>
      </c>
      <c r="B71">
        <f t="shared" si="103"/>
        <v>2017</v>
      </c>
      <c r="C71" s="43">
        <f t="shared" si="85"/>
        <v>659667</v>
      </c>
      <c r="D71" s="31">
        <f t="shared" si="76"/>
        <v>599216</v>
      </c>
      <c r="E71" s="26">
        <f t="shared" si="104"/>
        <v>-9.6113028123834918E-2</v>
      </c>
      <c r="F71" s="26" t="s">
        <v>82</v>
      </c>
      <c r="G71" s="26">
        <v>41139.927721088432</v>
      </c>
      <c r="H71" s="5">
        <f t="shared" si="86"/>
        <v>659667</v>
      </c>
      <c r="I71" s="5">
        <f t="shared" si="105"/>
        <v>465319.3902733142</v>
      </c>
      <c r="J71" s="26">
        <f t="shared" si="106"/>
        <v>-0.34901113163077735</v>
      </c>
      <c r="K71" s="26">
        <f t="shared" si="100"/>
        <v>-1.0719373883754066</v>
      </c>
      <c r="L71">
        <v>2017</v>
      </c>
      <c r="M71" s="43">
        <v>659667</v>
      </c>
      <c r="N71" s="31">
        <v>599216</v>
      </c>
      <c r="P71" s="25" t="str">
        <f t="shared" si="80"/>
        <v>Brittany</v>
      </c>
      <c r="Q71" s="25">
        <f t="shared" si="78"/>
        <v>2017</v>
      </c>
      <c r="R71" s="5">
        <f t="shared" si="81"/>
        <v>659667</v>
      </c>
      <c r="S71" s="5">
        <f t="shared" si="87"/>
        <v>1072321.8899999999</v>
      </c>
      <c r="T71" s="57">
        <f t="shared" si="107"/>
        <v>0.38482371184271913</v>
      </c>
      <c r="U71" s="69">
        <f t="shared" si="108"/>
        <v>412654.8899999999</v>
      </c>
      <c r="V71" s="29">
        <f t="shared" si="88"/>
        <v>1072321.8899999999</v>
      </c>
      <c r="W71" s="31">
        <f>$S74*DC74</f>
        <v>92039.848519660751</v>
      </c>
      <c r="X71" s="31">
        <f>$S75*DD75</f>
        <v>257462.04175365344</v>
      </c>
      <c r="Y71" s="31">
        <f t="shared" si="97"/>
        <v>115817.5</v>
      </c>
      <c r="Z71" s="31">
        <f t="shared" si="96"/>
        <v>0</v>
      </c>
      <c r="AA71" s="22">
        <f>SUM(W71:Z71)</f>
        <v>465319.3902733142</v>
      </c>
      <c r="AB71" s="32">
        <f t="shared" si="77"/>
        <v>202331.66699999999</v>
      </c>
      <c r="AC71" s="32">
        <f t="shared" si="72"/>
        <v>316216.2</v>
      </c>
      <c r="AD71" s="32">
        <f t="shared" si="70"/>
        <v>115817.5</v>
      </c>
      <c r="AE71" s="32">
        <f t="shared" si="68"/>
        <v>0</v>
      </c>
      <c r="AF71" s="12">
        <f t="shared" si="69"/>
        <v>634365.36699999997</v>
      </c>
      <c r="AG71" s="12">
        <f t="shared" si="109"/>
        <v>2017</v>
      </c>
      <c r="AH71" s="56">
        <f t="shared" si="110"/>
        <v>0.19779929752250255</v>
      </c>
      <c r="AI71" s="56">
        <f t="shared" si="111"/>
        <v>0.55330176892570115</v>
      </c>
      <c r="AJ71" s="56">
        <f t="shared" si="112"/>
        <v>0.24889893355179629</v>
      </c>
      <c r="AK71" s="56"/>
      <c r="AL71" s="56"/>
      <c r="AM71" s="68">
        <f t="shared" si="113"/>
        <v>2017</v>
      </c>
      <c r="AN71" s="60">
        <f t="shared" si="48"/>
        <v>810273.81292200275</v>
      </c>
      <c r="AO71" s="56">
        <f t="shared" si="101"/>
        <v>0.5</v>
      </c>
      <c r="AP71">
        <f t="shared" si="114"/>
        <v>405136.90646100137</v>
      </c>
      <c r="AQ71" s="59">
        <f t="shared" si="102"/>
        <v>334259.09303860296</v>
      </c>
      <c r="AR71" s="59">
        <f t="shared" si="115"/>
        <v>405136.90646100137</v>
      </c>
      <c r="AS71" t="s">
        <v>53</v>
      </c>
      <c r="AT71" s="19">
        <v>2017</v>
      </c>
      <c r="AU71" s="14">
        <v>659667</v>
      </c>
      <c r="AV71" s="5">
        <f t="shared" si="89"/>
        <v>412654.8899999999</v>
      </c>
      <c r="AW71" s="41">
        <f t="shared" si="90"/>
        <v>0.38482371184271913</v>
      </c>
      <c r="AX71" s="12">
        <v>1072321.8899999999</v>
      </c>
      <c r="AY71" s="6"/>
      <c r="BA71">
        <v>2017</v>
      </c>
      <c r="BI71" s="27">
        <f t="shared" si="71"/>
        <v>0.56000000000000005</v>
      </c>
      <c r="BL71" s="6"/>
      <c r="BP71" s="5"/>
      <c r="BR71" s="26">
        <v>0.56000000000000005</v>
      </c>
      <c r="CW71">
        <v>2017</v>
      </c>
      <c r="CX71" s="5">
        <v>659667</v>
      </c>
      <c r="CY71" s="5">
        <v>599216</v>
      </c>
      <c r="CZ71" s="6">
        <f t="shared" si="83"/>
        <v>0</v>
      </c>
      <c r="DA71" s="6">
        <f t="shared" si="84"/>
        <v>-5.5408710545195909E-2</v>
      </c>
      <c r="DB71">
        <v>2017</v>
      </c>
      <c r="DC71" s="20">
        <v>0.23933402705515089</v>
      </c>
      <c r="DD71" s="20">
        <v>0.59313215400624353</v>
      </c>
      <c r="DE71" s="20">
        <v>0.16545265348595214</v>
      </c>
      <c r="DF71" s="20">
        <v>2.0811654526534861E-3</v>
      </c>
      <c r="DI71">
        <v>2017</v>
      </c>
      <c r="DJ71" s="5">
        <v>1056231.00303951</v>
      </c>
      <c r="DK71" s="29">
        <v>640646.587455097</v>
      </c>
      <c r="DL71" s="5">
        <f t="shared" si="92"/>
        <v>415584.41558441299</v>
      </c>
      <c r="DM71" s="6">
        <f t="shared" si="93"/>
        <v>0.39345977763243839</v>
      </c>
      <c r="DO71" s="34">
        <f t="shared" si="94"/>
        <v>1.8007815042512539E-2</v>
      </c>
      <c r="DP71" s="6">
        <f t="shared" si="95"/>
        <v>-2.1949043538033224E-2</v>
      </c>
    </row>
    <row r="72" spans="1:120" x14ac:dyDescent="0.35">
      <c r="A72" t="s">
        <v>73</v>
      </c>
      <c r="B72">
        <f t="shared" si="103"/>
        <v>2018</v>
      </c>
      <c r="C72" s="43">
        <f t="shared" si="85"/>
        <v>684875</v>
      </c>
      <c r="H72" s="5">
        <f t="shared" si="86"/>
        <v>684875</v>
      </c>
      <c r="I72" s="5"/>
      <c r="J72" s="49">
        <v>0.95</v>
      </c>
      <c r="K72" s="26">
        <f t="shared" si="100"/>
        <v>0.24259315232890777</v>
      </c>
      <c r="L72">
        <v>2018</v>
      </c>
      <c r="M72" s="31">
        <v>684875</v>
      </c>
      <c r="N72" s="5"/>
      <c r="P72" s="25" t="str">
        <f t="shared" si="80"/>
        <v>Brittany</v>
      </c>
      <c r="Q72" s="25">
        <f t="shared" si="78"/>
        <v>2018</v>
      </c>
      <c r="R72">
        <f t="shared" si="81"/>
        <v>684875</v>
      </c>
      <c r="S72" s="5">
        <f t="shared" ref="S72:S76" si="116">AX72</f>
        <v>789466.79299999995</v>
      </c>
      <c r="T72" s="57">
        <f t="shared" si="107"/>
        <v>0.13248409423599394</v>
      </c>
      <c r="U72" s="69">
        <f t="shared" si="108"/>
        <v>104591.79299999995</v>
      </c>
      <c r="V72" s="29">
        <f t="shared" si="88"/>
        <v>789466.79299999995</v>
      </c>
      <c r="W72" s="31">
        <f t="shared" si="99"/>
        <v>175308.91162143357</v>
      </c>
      <c r="X72" s="31">
        <f t="shared" si="98"/>
        <v>694905</v>
      </c>
      <c r="Y72" s="31">
        <f t="shared" si="97"/>
        <v>0</v>
      </c>
      <c r="Z72" s="31">
        <f t="shared" si="96"/>
        <v>0</v>
      </c>
      <c r="AB72" s="32">
        <f t="shared" si="77"/>
        <v>158108.1</v>
      </c>
      <c r="AC72" s="32">
        <f t="shared" si="72"/>
        <v>694905</v>
      </c>
      <c r="AD72" s="32">
        <f t="shared" si="70"/>
        <v>0</v>
      </c>
      <c r="AE72" s="32">
        <f t="shared" si="68"/>
        <v>0</v>
      </c>
      <c r="AF72" s="29" t="e">
        <f>NA()</f>
        <v>#N/A</v>
      </c>
      <c r="AG72" s="12">
        <f t="shared" si="109"/>
        <v>2018</v>
      </c>
      <c r="AH72" s="56">
        <f>AH71</f>
        <v>0.19779929752250255</v>
      </c>
      <c r="AI72" s="56">
        <f t="shared" ref="AI72:AJ72" si="117">AI71</f>
        <v>0.55330176892570115</v>
      </c>
      <c r="AJ72" s="56">
        <f t="shared" si="117"/>
        <v>0.24889893355179629</v>
      </c>
      <c r="AK72" s="56"/>
      <c r="AL72" s="56"/>
      <c r="AM72" s="68">
        <f t="shared" si="113"/>
        <v>2018</v>
      </c>
      <c r="AN72" s="60">
        <f t="shared" si="48"/>
        <v>528041.43945694575</v>
      </c>
      <c r="AO72" s="56">
        <f t="shared" si="101"/>
        <v>0.5</v>
      </c>
      <c r="AP72">
        <f t="shared" si="114"/>
        <v>264020.71972847288</v>
      </c>
      <c r="AQ72" s="59">
        <f t="shared" si="102"/>
        <v>884593.53386117949</v>
      </c>
      <c r="AR72" s="59">
        <f t="shared" si="115"/>
        <v>264020.71972847288</v>
      </c>
      <c r="AS72" t="s">
        <v>53</v>
      </c>
      <c r="AT72">
        <v>2018</v>
      </c>
      <c r="AU72" s="31">
        <v>684875</v>
      </c>
      <c r="AV72" s="5">
        <f t="shared" si="89"/>
        <v>104591.79299999995</v>
      </c>
      <c r="AW72" s="41">
        <f t="shared" si="90"/>
        <v>0.13248409423599397</v>
      </c>
      <c r="AX72" s="12">
        <v>789466.79299999995</v>
      </c>
      <c r="BA72">
        <v>2018</v>
      </c>
      <c r="BI72" s="27">
        <f t="shared" si="71"/>
        <v>0.36</v>
      </c>
      <c r="BL72" s="6"/>
      <c r="BP72" s="5"/>
      <c r="BR72" s="26">
        <v>0.36</v>
      </c>
      <c r="CW72">
        <v>2018</v>
      </c>
      <c r="DB72">
        <v>2018</v>
      </c>
      <c r="DC72" s="20">
        <v>0.16591523895401261</v>
      </c>
      <c r="DD72" s="20">
        <v>0.80973850315599638</v>
      </c>
      <c r="DE72" s="20">
        <v>2.2542831379621282E-2</v>
      </c>
      <c r="DF72" s="20">
        <v>1.8034265103697023E-3</v>
      </c>
      <c r="DI72">
        <v>2018</v>
      </c>
      <c r="DJ72" s="5">
        <v>771029.88197213202</v>
      </c>
      <c r="DK72" s="29">
        <v>654127.02798720996</v>
      </c>
      <c r="DL72" s="5">
        <f t="shared" si="92"/>
        <v>116902.85398492205</v>
      </c>
      <c r="DM72" s="6">
        <f t="shared" si="93"/>
        <v>0.15161909637783322</v>
      </c>
      <c r="DO72" s="34">
        <f t="shared" si="94"/>
        <v>3.9879092538078031E-2</v>
      </c>
      <c r="DP72" s="6">
        <f t="shared" si="95"/>
        <v>-0.12620443333968315</v>
      </c>
    </row>
    <row r="73" spans="1:120" x14ac:dyDescent="0.35">
      <c r="A73" t="s">
        <v>73</v>
      </c>
      <c r="B73">
        <f t="shared" si="103"/>
        <v>2019</v>
      </c>
      <c r="C73" s="43">
        <f t="shared" si="85"/>
        <v>300279</v>
      </c>
      <c r="H73" s="5">
        <f t="shared" si="86"/>
        <v>300279</v>
      </c>
      <c r="J73" s="49">
        <v>0</v>
      </c>
      <c r="K73" s="26">
        <f t="shared" si="100"/>
        <v>-0.94418495985952644</v>
      </c>
      <c r="L73">
        <v>2019</v>
      </c>
      <c r="M73" s="31">
        <v>300279</v>
      </c>
      <c r="N73" s="5"/>
      <c r="P73" s="25" t="str">
        <f t="shared" si="80"/>
        <v>Brittany</v>
      </c>
      <c r="Q73" s="25">
        <f t="shared" si="78"/>
        <v>2019</v>
      </c>
      <c r="R73">
        <f t="shared" si="81"/>
        <v>300279</v>
      </c>
      <c r="S73" s="5">
        <f t="shared" si="116"/>
        <v>326141.64</v>
      </c>
      <c r="T73" s="57">
        <f t="shared" si="107"/>
        <v>7.9298797908785912E-2</v>
      </c>
      <c r="U73" s="69">
        <f t="shared" si="108"/>
        <v>25862.640000000014</v>
      </c>
      <c r="V73" s="29">
        <f t="shared" si="88"/>
        <v>326141.64</v>
      </c>
      <c r="W73" s="31">
        <f t="shared" si="99"/>
        <v>347452.5</v>
      </c>
      <c r="X73" s="31">
        <f t="shared" si="98"/>
        <v>0</v>
      </c>
      <c r="Y73" s="31">
        <f t="shared" si="97"/>
        <v>0</v>
      </c>
      <c r="Z73" s="31">
        <f t="shared" si="96"/>
        <v>0</v>
      </c>
      <c r="AB73" s="32">
        <f t="shared" si="77"/>
        <v>347452.5</v>
      </c>
      <c r="AC73" s="32">
        <f t="shared" si="72"/>
        <v>0</v>
      </c>
      <c r="AD73" s="32">
        <f t="shared" si="70"/>
        <v>0</v>
      </c>
      <c r="AE73" s="32">
        <f t="shared" si="68"/>
        <v>0</v>
      </c>
      <c r="AF73" s="29" t="e">
        <f>NA()</f>
        <v>#N/A</v>
      </c>
      <c r="AG73" s="12">
        <f t="shared" si="109"/>
        <v>2019</v>
      </c>
      <c r="AH73" s="56">
        <f t="shared" ref="AH73:AH77" si="118">AH72</f>
        <v>0.19779929752250255</v>
      </c>
      <c r="AI73" s="56">
        <f t="shared" ref="AI73:AI77" si="119">AI72</f>
        <v>0.55330176892570115</v>
      </c>
      <c r="AJ73" s="56">
        <f t="shared" ref="AJ73:AJ77" si="120">AJ72</f>
        <v>0.24889893355179629</v>
      </c>
      <c r="AK73" s="56"/>
      <c r="AL73" s="56"/>
      <c r="AM73" s="68">
        <f t="shared" si="113"/>
        <v>2019</v>
      </c>
      <c r="AN73" s="60">
        <f t="shared" si="48"/>
        <v>245290.92778860722</v>
      </c>
      <c r="AO73" s="56">
        <f t="shared" si="101"/>
        <v>0.5</v>
      </c>
      <c r="AP73">
        <f t="shared" si="114"/>
        <v>122645.46389430361</v>
      </c>
      <c r="AQ73" s="59">
        <f t="shared" si="102"/>
        <v>136818.96167841367</v>
      </c>
      <c r="AR73" s="59">
        <f t="shared" si="115"/>
        <v>122645.46389430361</v>
      </c>
      <c r="AS73" t="s">
        <v>53</v>
      </c>
      <c r="AT73">
        <v>2019</v>
      </c>
      <c r="AU73" s="31">
        <v>300279</v>
      </c>
      <c r="AV73" s="5">
        <f t="shared" si="89"/>
        <v>25862.640000000014</v>
      </c>
      <c r="AW73" s="41">
        <f t="shared" si="90"/>
        <v>7.9298797908785926E-2</v>
      </c>
      <c r="AX73" s="12">
        <v>326141.64</v>
      </c>
      <c r="BA73">
        <v>2019</v>
      </c>
      <c r="BI73" s="27">
        <f t="shared" si="71"/>
        <v>0.25</v>
      </c>
      <c r="BL73" s="6"/>
      <c r="BP73" s="5"/>
      <c r="BR73" s="26">
        <v>0.25</v>
      </c>
      <c r="CW73">
        <v>2019</v>
      </c>
      <c r="DB73">
        <v>2019</v>
      </c>
      <c r="DC73" s="20">
        <v>0.16376582278481014</v>
      </c>
      <c r="DD73" s="20">
        <v>0.759493670886076</v>
      </c>
      <c r="DE73" s="20">
        <v>7.6740506329113931E-2</v>
      </c>
      <c r="DF73" s="20">
        <v>0</v>
      </c>
      <c r="DI73">
        <v>2019</v>
      </c>
      <c r="DJ73" s="5">
        <v>329945.13085698499</v>
      </c>
      <c r="DK73" s="29">
        <v>303971.10488295899</v>
      </c>
      <c r="DL73" s="5">
        <f t="shared" si="92"/>
        <v>25974.025974026008</v>
      </c>
      <c r="DM73" s="6">
        <f t="shared" si="93"/>
        <v>7.8722258778489054E-2</v>
      </c>
      <c r="DO73" s="34">
        <f t="shared" si="94"/>
        <v>-1.1190057187294367E-2</v>
      </c>
      <c r="DP73" s="6">
        <f t="shared" si="95"/>
        <v>7.3237117334139729E-3</v>
      </c>
    </row>
    <row r="74" spans="1:120" x14ac:dyDescent="0.35">
      <c r="A74" t="s">
        <v>73</v>
      </c>
      <c r="B74">
        <f t="shared" si="103"/>
        <v>2020</v>
      </c>
      <c r="C74" s="43">
        <f t="shared" si="85"/>
        <v>597731</v>
      </c>
      <c r="H74" s="5">
        <f t="shared" si="86"/>
        <v>597731</v>
      </c>
      <c r="J74" s="49">
        <v>0</v>
      </c>
      <c r="K74" s="26">
        <f t="shared" si="100"/>
        <v>-0.76105741036167907</v>
      </c>
      <c r="L74">
        <v>2020</v>
      </c>
      <c r="M74" s="31">
        <v>597731</v>
      </c>
      <c r="N74" s="5"/>
      <c r="P74" s="25" t="str">
        <f t="shared" si="80"/>
        <v>Brittany</v>
      </c>
      <c r="Q74" s="25">
        <f t="shared" si="78"/>
        <v>2020</v>
      </c>
      <c r="R74">
        <f t="shared" si="81"/>
        <v>597731</v>
      </c>
      <c r="S74" s="5">
        <f t="shared" si="116"/>
        <v>674438.89</v>
      </c>
      <c r="T74" s="57">
        <f t="shared" si="107"/>
        <v>0.11373586419371517</v>
      </c>
      <c r="U74" s="69">
        <f t="shared" si="108"/>
        <v>76707.890000000014</v>
      </c>
      <c r="V74" s="29">
        <f t="shared" si="88"/>
        <v>674438.89</v>
      </c>
      <c r="W74" s="31">
        <f t="shared" si="99"/>
        <v>0</v>
      </c>
      <c r="X74" s="31">
        <f t="shared" si="98"/>
        <v>0</v>
      </c>
      <c r="Y74" s="31">
        <f t="shared" si="97"/>
        <v>0</v>
      </c>
      <c r="Z74" s="31">
        <f t="shared" si="96"/>
        <v>0</v>
      </c>
      <c r="AB74" s="31">
        <f t="shared" ref="AB74:AB76" si="121">$V77*$DC77</f>
        <v>0</v>
      </c>
      <c r="AC74" s="31">
        <f t="shared" ref="AC74:AC76" si="122">$V78*$DD78</f>
        <v>0</v>
      </c>
      <c r="AD74" s="31">
        <f t="shared" ref="AD74:AD76" si="123">$V79*$DE79</f>
        <v>0</v>
      </c>
      <c r="AE74" s="31">
        <f t="shared" ref="AE74:AE76" si="124">$V80*$DF80</f>
        <v>0</v>
      </c>
      <c r="AF74" s="29" t="e">
        <f>NA()</f>
        <v>#N/A</v>
      </c>
      <c r="AG74" s="12">
        <f t="shared" si="109"/>
        <v>2020</v>
      </c>
      <c r="AH74" s="56">
        <f t="shared" si="118"/>
        <v>0.19779929752250255</v>
      </c>
      <c r="AI74" s="56">
        <f t="shared" si="119"/>
        <v>0.55330176892570115</v>
      </c>
      <c r="AJ74" s="56">
        <f t="shared" si="120"/>
        <v>0.24889893355179629</v>
      </c>
      <c r="AK74" s="56"/>
      <c r="AL74" s="56"/>
      <c r="AM74" s="68">
        <f t="shared" si="113"/>
        <v>2020</v>
      </c>
      <c r="AN74" s="60">
        <f t="shared" si="48"/>
        <v>625335.63761088741</v>
      </c>
      <c r="AO74" s="56">
        <f t="shared" si="101"/>
        <v>0.5</v>
      </c>
      <c r="AP74">
        <f t="shared" si="114"/>
        <v>312667.81880544371</v>
      </c>
      <c r="AQ74" s="59">
        <f t="shared" si="102"/>
        <v>372650.75500182679</v>
      </c>
      <c r="AR74" s="59">
        <f t="shared" si="115"/>
        <v>312667.81880544371</v>
      </c>
      <c r="AS74" t="s">
        <v>53</v>
      </c>
      <c r="AT74">
        <v>2020</v>
      </c>
      <c r="AU74" s="31">
        <v>597731</v>
      </c>
      <c r="AV74" s="5">
        <f t="shared" si="89"/>
        <v>76707.890000000014</v>
      </c>
      <c r="AW74" s="41">
        <f t="shared" si="90"/>
        <v>0.11373586419371519</v>
      </c>
      <c r="AX74" s="12">
        <v>674438.89</v>
      </c>
      <c r="BA74">
        <v>2020</v>
      </c>
      <c r="BI74" s="27">
        <f t="shared" si="71"/>
        <v>0.30774842740380398</v>
      </c>
      <c r="BL74" s="6"/>
      <c r="BP74" s="5"/>
      <c r="BR74" s="26">
        <v>0.30774842740380398</v>
      </c>
      <c r="CW74">
        <v>2020</v>
      </c>
      <c r="DB74">
        <v>2020</v>
      </c>
      <c r="DC74" s="20">
        <v>0.13646877409406322</v>
      </c>
      <c r="DD74" s="20">
        <v>0.84656900539707014</v>
      </c>
      <c r="DE74" s="20">
        <v>1.6962220508866616E-2</v>
      </c>
      <c r="DF74" s="20">
        <v>0</v>
      </c>
      <c r="DI74">
        <v>2020</v>
      </c>
      <c r="DJ74" s="5">
        <v>668100.89606442198</v>
      </c>
      <c r="DK74" s="29">
        <v>525243.75320727995</v>
      </c>
      <c r="DL74" s="5">
        <f t="shared" si="92"/>
        <v>142857.14285714203</v>
      </c>
      <c r="DM74" s="6">
        <f t="shared" si="93"/>
        <v>0.2138257016248141</v>
      </c>
      <c r="DO74" s="34">
        <f t="shared" si="94"/>
        <v>0.10849745483013157</v>
      </c>
      <c r="DP74" s="6">
        <f t="shared" si="95"/>
        <v>-0.46809077052261922</v>
      </c>
    </row>
    <row r="75" spans="1:120" x14ac:dyDescent="0.35">
      <c r="A75" t="s">
        <v>73</v>
      </c>
      <c r="B75">
        <f t="shared" si="103"/>
        <v>2021</v>
      </c>
      <c r="C75" s="43">
        <f t="shared" si="85"/>
        <v>532609</v>
      </c>
      <c r="H75" s="5">
        <f t="shared" si="86"/>
        <v>532609</v>
      </c>
      <c r="J75" s="49">
        <v>0</v>
      </c>
      <c r="K75" s="26">
        <f t="shared" si="100"/>
        <v>-0.80115003800714391</v>
      </c>
      <c r="L75">
        <v>2021</v>
      </c>
      <c r="M75" s="31">
        <v>532609</v>
      </c>
      <c r="N75" s="5"/>
      <c r="P75" s="25" t="str">
        <f t="shared" si="80"/>
        <v>Brittany</v>
      </c>
      <c r="Q75" s="25">
        <f t="shared" si="78"/>
        <v>2021</v>
      </c>
      <c r="R75">
        <f t="shared" si="81"/>
        <v>532609</v>
      </c>
      <c r="S75" s="5">
        <f>AX75</f>
        <v>527027</v>
      </c>
      <c r="T75" s="57">
        <f t="shared" si="107"/>
        <v>-1.0591487722640291E-2</v>
      </c>
      <c r="U75" s="69">
        <f t="shared" si="108"/>
        <v>-5582</v>
      </c>
      <c r="V75" s="29">
        <f t="shared" si="88"/>
        <v>527027</v>
      </c>
      <c r="W75" s="31">
        <f t="shared" si="99"/>
        <v>0</v>
      </c>
      <c r="X75" s="31">
        <f t="shared" si="98"/>
        <v>0</v>
      </c>
      <c r="Y75" s="31">
        <f t="shared" si="97"/>
        <v>0</v>
      </c>
      <c r="Z75" s="31">
        <f t="shared" si="96"/>
        <v>0</v>
      </c>
      <c r="AB75" s="31">
        <f t="shared" si="121"/>
        <v>0</v>
      </c>
      <c r="AC75" s="31">
        <f t="shared" si="122"/>
        <v>0</v>
      </c>
      <c r="AD75" s="31">
        <f t="shared" si="123"/>
        <v>0</v>
      </c>
      <c r="AE75" s="31">
        <f t="shared" si="124"/>
        <v>0</v>
      </c>
      <c r="AF75" s="29" t="e">
        <f>NA()</f>
        <v>#N/A</v>
      </c>
      <c r="AG75" s="12">
        <f t="shared" si="109"/>
        <v>2021</v>
      </c>
      <c r="AH75" s="56">
        <f t="shared" si="118"/>
        <v>0.19779929752250255</v>
      </c>
      <c r="AI75" s="56">
        <f t="shared" si="119"/>
        <v>0.55330176892570115</v>
      </c>
      <c r="AJ75" s="56">
        <f t="shared" si="120"/>
        <v>0.24889893355179629</v>
      </c>
      <c r="AK75" s="56"/>
      <c r="AL75" s="56"/>
      <c r="AM75" s="68">
        <f t="shared" si="113"/>
        <v>2021</v>
      </c>
      <c r="AN75" s="60">
        <f>AH72*AQ72+AI71*AQ71+AJ70*AQ70</f>
        <v>450884.42048335494</v>
      </c>
      <c r="AO75" s="56">
        <f t="shared" si="101"/>
        <v>0.5</v>
      </c>
      <c r="AP75">
        <f t="shared" si="114"/>
        <v>225442.21024167747</v>
      </c>
      <c r="AQ75" s="59">
        <f t="shared" si="102"/>
        <v>272372.97321211884</v>
      </c>
      <c r="AR75" s="59">
        <f t="shared" si="115"/>
        <v>225442.21024167747</v>
      </c>
      <c r="AS75" t="s">
        <v>53</v>
      </c>
      <c r="AT75">
        <v>2021</v>
      </c>
      <c r="AU75" s="31">
        <v>532609</v>
      </c>
      <c r="AV75" s="5">
        <f t="shared" si="89"/>
        <v>-5582</v>
      </c>
      <c r="AW75" s="41">
        <f t="shared" si="90"/>
        <v>-1.0591487722640396E-2</v>
      </c>
      <c r="AX75" s="12">
        <v>527027</v>
      </c>
      <c r="BA75">
        <v>2021</v>
      </c>
      <c r="BI75" s="28">
        <f>AVERAGE($BI$72:$BI$74)</f>
        <v>0.30591614246793464</v>
      </c>
      <c r="CW75">
        <v>2021</v>
      </c>
      <c r="DB75">
        <v>2021</v>
      </c>
      <c r="DC75" s="20">
        <v>0.33263743910925542</v>
      </c>
      <c r="DD75" s="20">
        <v>0.48851774530271397</v>
      </c>
      <c r="DE75" s="20">
        <v>0.17884481558803061</v>
      </c>
      <c r="DF75" s="20">
        <v>0</v>
      </c>
      <c r="DI75">
        <v>2021</v>
      </c>
      <c r="DJ75" s="5">
        <v>538743.93084119505</v>
      </c>
      <c r="DK75" s="29">
        <v>499782.89188015601</v>
      </c>
      <c r="DL75" s="5">
        <f t="shared" si="92"/>
        <v>38961.038961039041</v>
      </c>
      <c r="DM75" s="6">
        <f t="shared" si="93"/>
        <v>7.2318288393904043E-2</v>
      </c>
      <c r="DO75" s="34">
        <f t="shared" si="94"/>
        <v>6.0930817482415613E-2</v>
      </c>
      <c r="DP75" s="6">
        <f t="shared" si="95"/>
        <v>-1.1464565597148892</v>
      </c>
    </row>
    <row r="76" spans="1:120" x14ac:dyDescent="0.35">
      <c r="A76" t="s">
        <v>73</v>
      </c>
      <c r="B76">
        <f t="shared" si="103"/>
        <v>2022</v>
      </c>
      <c r="C76" s="43">
        <f t="shared" si="85"/>
        <v>1134524</v>
      </c>
      <c r="H76" s="5">
        <f t="shared" si="86"/>
        <v>1134524</v>
      </c>
      <c r="J76" s="49">
        <v>0</v>
      </c>
      <c r="K76" s="26">
        <f t="shared" si="100"/>
        <v>-0.43057858797151849</v>
      </c>
      <c r="L76">
        <v>2022</v>
      </c>
      <c r="M76" s="31">
        <v>1134524</v>
      </c>
      <c r="N76" s="5"/>
      <c r="P76" s="25" t="str">
        <f t="shared" si="80"/>
        <v>Brittany</v>
      </c>
      <c r="Q76" s="25">
        <f t="shared" si="78"/>
        <v>2022</v>
      </c>
      <c r="R76">
        <f t="shared" si="81"/>
        <v>1134524</v>
      </c>
      <c r="S76" s="5">
        <f t="shared" si="116"/>
        <v>1158175</v>
      </c>
      <c r="T76" s="57">
        <f t="shared" si="107"/>
        <v>2.0420920845295454E-2</v>
      </c>
      <c r="U76" s="69">
        <f t="shared" si="108"/>
        <v>23651</v>
      </c>
      <c r="V76" s="29">
        <f t="shared" si="88"/>
        <v>1158175</v>
      </c>
      <c r="W76" s="31">
        <f t="shared" si="99"/>
        <v>0</v>
      </c>
      <c r="X76" s="31">
        <f t="shared" si="98"/>
        <v>0</v>
      </c>
      <c r="Y76" s="31">
        <f t="shared" si="97"/>
        <v>0</v>
      </c>
      <c r="Z76" s="31">
        <f t="shared" si="96"/>
        <v>0</v>
      </c>
      <c r="AB76" s="31">
        <f t="shared" si="121"/>
        <v>0</v>
      </c>
      <c r="AC76" s="31">
        <f t="shared" si="122"/>
        <v>0</v>
      </c>
      <c r="AD76" s="31">
        <f t="shared" si="123"/>
        <v>0</v>
      </c>
      <c r="AE76" s="31">
        <f t="shared" si="124"/>
        <v>0</v>
      </c>
      <c r="AF76" s="29" t="e">
        <f>NA()</f>
        <v>#N/A</v>
      </c>
      <c r="AG76" s="12">
        <f t="shared" si="109"/>
        <v>2022</v>
      </c>
      <c r="AH76" s="56">
        <f t="shared" si="118"/>
        <v>0.19779929752250255</v>
      </c>
      <c r="AI76" s="56">
        <f t="shared" si="119"/>
        <v>0.55330176892570115</v>
      </c>
      <c r="AJ76" s="56">
        <f t="shared" si="120"/>
        <v>0.24889893355179629</v>
      </c>
      <c r="AK76" s="56"/>
      <c r="AL76" s="56"/>
      <c r="AM76" s="58">
        <f t="shared" ref="AM76" si="125">B76</f>
        <v>2022</v>
      </c>
      <c r="AN76" s="60">
        <f>AH73*AQ73+AI72*AQ72+AJ71*AQ71</f>
        <v>599706.59336067515</v>
      </c>
      <c r="AO76" s="56">
        <f t="shared" si="101"/>
        <v>0.5</v>
      </c>
      <c r="AP76">
        <f t="shared" si="114"/>
        <v>299853.29668033757</v>
      </c>
      <c r="AQ76" s="59">
        <f t="shared" si="102"/>
        <v>501278.48346627975</v>
      </c>
      <c r="AR76" s="59">
        <f t="shared" si="115"/>
        <v>299853.29668033757</v>
      </c>
      <c r="AS76" t="s">
        <v>53</v>
      </c>
      <c r="AT76">
        <v>2022</v>
      </c>
      <c r="AU76" s="31">
        <v>1134524</v>
      </c>
      <c r="AV76" s="5">
        <f t="shared" si="89"/>
        <v>23651</v>
      </c>
      <c r="AW76" s="41">
        <f t="shared" si="90"/>
        <v>2.0420920845295402E-2</v>
      </c>
      <c r="AX76" s="12">
        <v>1158175</v>
      </c>
      <c r="BA76">
        <v>2022</v>
      </c>
      <c r="BI76" s="28">
        <f>AVERAGE($BI$72:$BI$74)</f>
        <v>0.30591614246793464</v>
      </c>
      <c r="DB76">
        <v>2022</v>
      </c>
      <c r="DC76" s="20">
        <f>W$2</f>
        <v>0.3</v>
      </c>
      <c r="DD76" s="20">
        <f t="shared" ref="DD76:DF76" si="126">X$2</f>
        <v>0.6</v>
      </c>
      <c r="DE76" s="20">
        <f t="shared" si="126"/>
        <v>0.1</v>
      </c>
      <c r="DF76" s="20">
        <f t="shared" si="126"/>
        <v>0</v>
      </c>
      <c r="DI76">
        <v>2022</v>
      </c>
      <c r="DJ76" s="5">
        <v>1162613.98176291</v>
      </c>
      <c r="DK76" s="29">
        <v>1019756.83890577</v>
      </c>
      <c r="DL76" s="5">
        <f t="shared" si="92"/>
        <v>142857.14285714005</v>
      </c>
      <c r="DM76" s="6">
        <f t="shared" si="93"/>
        <v>0.12287581699346246</v>
      </c>
      <c r="DO76" s="34">
        <f t="shared" si="94"/>
        <v>9.8714760784318775E-2</v>
      </c>
      <c r="DP76" s="6">
        <f t="shared" si="95"/>
        <v>-0.83380846333349812</v>
      </c>
    </row>
    <row r="77" spans="1:120" x14ac:dyDescent="0.35">
      <c r="B77">
        <f t="shared" si="103"/>
        <v>2023</v>
      </c>
      <c r="C77" s="43">
        <f t="shared" si="85"/>
        <v>620382</v>
      </c>
      <c r="H77">
        <v>620382</v>
      </c>
      <c r="L77">
        <v>2023</v>
      </c>
      <c r="M77" s="70">
        <v>620382</v>
      </c>
      <c r="P77" t="s">
        <v>12</v>
      </c>
      <c r="T77" s="57"/>
      <c r="U77" s="69">
        <f t="shared" si="108"/>
        <v>0</v>
      </c>
      <c r="AC77" s="31" t="s">
        <v>12</v>
      </c>
      <c r="AD77" s="31" t="s">
        <v>12</v>
      </c>
      <c r="AG77" s="12">
        <f t="shared" si="109"/>
        <v>2023</v>
      </c>
      <c r="AH77" s="56">
        <f t="shared" si="118"/>
        <v>0.19779929752250255</v>
      </c>
      <c r="AI77" s="56">
        <f t="shared" si="119"/>
        <v>0.55330176892570115</v>
      </c>
      <c r="AJ77" s="56">
        <f t="shared" si="120"/>
        <v>0.24889893355179629</v>
      </c>
      <c r="AK77" s="56"/>
      <c r="AL77" s="56"/>
      <c r="AM77" s="58"/>
      <c r="AN77" s="60"/>
      <c r="AO77" s="56"/>
      <c r="AQ77" s="59"/>
      <c r="AR77" s="59"/>
      <c r="AT77">
        <v>2023</v>
      </c>
      <c r="AU77" s="70">
        <v>620382</v>
      </c>
      <c r="DB77">
        <v>2023</v>
      </c>
      <c r="DC77" s="20">
        <f t="shared" ref="DC77:DC81" si="127">W$2</f>
        <v>0.3</v>
      </c>
      <c r="DD77" s="20">
        <f t="shared" ref="DD77:DD81" si="128">X$2</f>
        <v>0.6</v>
      </c>
      <c r="DE77" s="20">
        <f t="shared" ref="DE77:DE81" si="129">Y$2</f>
        <v>0.1</v>
      </c>
      <c r="DF77" s="20">
        <f t="shared" ref="DF77:DF81" si="130">Z$2</f>
        <v>0</v>
      </c>
    </row>
    <row r="78" spans="1:120" x14ac:dyDescent="0.35">
      <c r="B78">
        <f t="shared" si="103"/>
        <v>2024</v>
      </c>
      <c r="C78" s="43">
        <f t="shared" si="85"/>
        <v>1872824</v>
      </c>
      <c r="H78">
        <v>1872824</v>
      </c>
      <c r="L78">
        <v>2024</v>
      </c>
      <c r="M78" s="70">
        <v>1872824</v>
      </c>
      <c r="AT78">
        <v>2024</v>
      </c>
      <c r="AU78" s="70">
        <v>1872824</v>
      </c>
      <c r="DB78">
        <v>2024</v>
      </c>
      <c r="DC78" s="20">
        <f t="shared" si="127"/>
        <v>0.3</v>
      </c>
      <c r="DD78" s="20">
        <f t="shared" si="128"/>
        <v>0.6</v>
      </c>
      <c r="DE78" s="20">
        <f t="shared" si="129"/>
        <v>0.1</v>
      </c>
      <c r="DF78" s="20">
        <f t="shared" si="130"/>
        <v>0</v>
      </c>
    </row>
    <row r="79" spans="1:120" x14ac:dyDescent="0.35">
      <c r="DB79">
        <v>2025</v>
      </c>
      <c r="DC79" s="20">
        <f t="shared" si="127"/>
        <v>0.3</v>
      </c>
      <c r="DD79" s="20">
        <f t="shared" si="128"/>
        <v>0.6</v>
      </c>
      <c r="DE79" s="20">
        <f t="shared" si="129"/>
        <v>0.1</v>
      </c>
      <c r="DF79" s="20">
        <f t="shared" si="130"/>
        <v>0</v>
      </c>
    </row>
    <row r="80" spans="1:120" x14ac:dyDescent="0.35">
      <c r="DB80">
        <v>2026</v>
      </c>
      <c r="DC80" s="20">
        <f t="shared" si="127"/>
        <v>0.3</v>
      </c>
      <c r="DD80" s="20">
        <f t="shared" si="128"/>
        <v>0.6</v>
      </c>
      <c r="DE80" s="20">
        <f t="shared" si="129"/>
        <v>0.1</v>
      </c>
      <c r="DF80" s="20">
        <f t="shared" si="130"/>
        <v>0</v>
      </c>
    </row>
    <row r="81" spans="106:110" x14ac:dyDescent="0.35">
      <c r="DB81">
        <v>2027</v>
      </c>
      <c r="DC81" s="20">
        <f t="shared" si="127"/>
        <v>0.3</v>
      </c>
      <c r="DD81" s="20">
        <f t="shared" si="128"/>
        <v>0.6</v>
      </c>
      <c r="DE81" s="20">
        <f t="shared" si="129"/>
        <v>0.1</v>
      </c>
      <c r="DF81" s="20">
        <f t="shared" si="130"/>
        <v>0</v>
      </c>
    </row>
  </sheetData>
  <phoneticPr fontId="1" type="noConversion"/>
  <pageMargins left="0.7" right="0.7" top="0.75" bottom="0.75" header="0.3" footer="0.3"/>
  <pageSetup orientation="portrait" horizontalDpi="200" verticalDpi="2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11E8-C03B-4E72-A4A4-045D016506DC}">
  <dimension ref="C1:T73"/>
  <sheetViews>
    <sheetView topLeftCell="B1" workbookViewId="0">
      <selection activeCell="I27" sqref="I27"/>
    </sheetView>
  </sheetViews>
  <sheetFormatPr defaultRowHeight="14.5" x14ac:dyDescent="0.35"/>
  <cols>
    <col min="3" max="3" width="16.81640625" customWidth="1"/>
    <col min="4" max="4" width="8.1796875" customWidth="1"/>
    <col min="5" max="5" width="13.26953125" bestFit="1" customWidth="1"/>
  </cols>
  <sheetData>
    <row r="1" spans="3:20" x14ac:dyDescent="0.35">
      <c r="C1" t="s">
        <v>116</v>
      </c>
      <c r="D1" t="s">
        <v>119</v>
      </c>
      <c r="E1" t="s">
        <v>117</v>
      </c>
      <c r="F1" t="s">
        <v>118</v>
      </c>
      <c r="I1">
        <v>0</v>
      </c>
      <c r="J1">
        <v>0.5</v>
      </c>
      <c r="L1">
        <v>0</v>
      </c>
      <c r="M1">
        <v>0</v>
      </c>
      <c r="O1">
        <v>0</v>
      </c>
      <c r="P1">
        <v>0</v>
      </c>
      <c r="R1" t="str">
        <f>'Orig data'!AM4</f>
        <v>year</v>
      </c>
      <c r="S1" t="s">
        <v>103</v>
      </c>
      <c r="T1" t="s">
        <v>127</v>
      </c>
    </row>
    <row r="2" spans="3:20" x14ac:dyDescent="0.35">
      <c r="C2" t="s">
        <v>120</v>
      </c>
      <c r="D2" t="s">
        <v>121</v>
      </c>
      <c r="E2" s="46">
        <v>26591286.282524522</v>
      </c>
      <c r="F2">
        <v>146494.56168974325</v>
      </c>
      <c r="I2" s="67">
        <v>4000000</v>
      </c>
      <c r="J2" s="67">
        <v>0.5</v>
      </c>
      <c r="L2">
        <v>841001</v>
      </c>
      <c r="M2">
        <v>0</v>
      </c>
      <c r="O2">
        <v>487692</v>
      </c>
      <c r="P2">
        <v>0</v>
      </c>
      <c r="R2">
        <f>'Orig data'!AM5</f>
        <v>1951</v>
      </c>
      <c r="S2">
        <v>1187739</v>
      </c>
      <c r="T2">
        <v>0.85541857259886223</v>
      </c>
    </row>
    <row r="3" spans="3:20" x14ac:dyDescent="0.35">
      <c r="C3" t="s">
        <v>122</v>
      </c>
      <c r="D3" t="s">
        <v>91</v>
      </c>
      <c r="E3" s="46">
        <v>51361564.376990624</v>
      </c>
      <c r="F3">
        <v>226111.48577717965</v>
      </c>
      <c r="L3">
        <f>L2+250000</f>
        <v>1091001</v>
      </c>
      <c r="M3">
        <f>1.017*(L3-841001)/L3</f>
        <v>0.23304286613852782</v>
      </c>
      <c r="O3">
        <f>O2+250000</f>
        <v>737692</v>
      </c>
      <c r="P3">
        <f>0.776*(O3-487692)/O3</f>
        <v>0.26298238289150483</v>
      </c>
      <c r="R3">
        <f>'Orig data'!AM6</f>
        <v>1952</v>
      </c>
      <c r="S3">
        <v>927000</v>
      </c>
      <c r="T3">
        <v>0.80987055016181231</v>
      </c>
    </row>
    <row r="4" spans="3:20" x14ac:dyDescent="0.35">
      <c r="C4" t="s">
        <v>124</v>
      </c>
      <c r="D4" t="s">
        <v>123</v>
      </c>
      <c r="E4" s="46">
        <v>62669271.667370155</v>
      </c>
      <c r="F4">
        <v>222904.90250388713</v>
      </c>
      <c r="L4">
        <f t="shared" ref="L4:L15" si="0">L3+250000</f>
        <v>1341001</v>
      </c>
      <c r="M4">
        <f t="shared" ref="M4:M15" si="1">1.017*(L4-841001)/L4</f>
        <v>0.37919434810264863</v>
      </c>
      <c r="O4">
        <f t="shared" ref="O4:O16" si="2">O3+250000</f>
        <v>987692</v>
      </c>
      <c r="P4">
        <f t="shared" ref="P4:P16" si="3">0.776*(O4-487692)/O4</f>
        <v>0.39283501334424092</v>
      </c>
      <c r="R4">
        <f>'Orig data'!AM7</f>
        <v>1953</v>
      </c>
      <c r="S4">
        <v>918122</v>
      </c>
      <c r="T4">
        <v>0.85010162048180959</v>
      </c>
    </row>
    <row r="5" spans="3:20" x14ac:dyDescent="0.35">
      <c r="C5" t="s">
        <v>125</v>
      </c>
      <c r="D5" t="s">
        <v>126</v>
      </c>
      <c r="E5" s="46">
        <v>59304111.669012345</v>
      </c>
      <c r="F5">
        <v>235487.6992020738</v>
      </c>
      <c r="L5">
        <f t="shared" si="0"/>
        <v>1591001</v>
      </c>
      <c r="M5">
        <f t="shared" si="1"/>
        <v>0.47941516064414785</v>
      </c>
      <c r="O5">
        <f t="shared" si="2"/>
        <v>1237692</v>
      </c>
      <c r="P5">
        <f t="shared" si="3"/>
        <v>0.47023007339467332</v>
      </c>
      <c r="R5">
        <f>'Orig data'!AM8</f>
        <v>1954</v>
      </c>
      <c r="S5">
        <v>1096517</v>
      </c>
      <c r="T5">
        <v>0.92122785146057928</v>
      </c>
    </row>
    <row r="6" spans="3:20" x14ac:dyDescent="0.35">
      <c r="D6" t="s">
        <v>128</v>
      </c>
      <c r="E6" s="46">
        <f>MAX(E2:E5)</f>
        <v>62669271.667370155</v>
      </c>
      <c r="F6">
        <f>MAX(F2:F5)</f>
        <v>235487.6992020738</v>
      </c>
      <c r="L6">
        <f t="shared" si="0"/>
        <v>1841001</v>
      </c>
      <c r="M6">
        <f t="shared" si="1"/>
        <v>0.55241686452098604</v>
      </c>
      <c r="O6">
        <f t="shared" si="2"/>
        <v>1487692</v>
      </c>
      <c r="P6">
        <f t="shared" si="3"/>
        <v>0.52161334469769283</v>
      </c>
      <c r="R6">
        <f>'Orig data'!AM9</f>
        <v>1955</v>
      </c>
      <c r="S6">
        <v>357389.09999999992</v>
      </c>
      <c r="T6">
        <v>0.72173186031694869</v>
      </c>
    </row>
    <row r="7" spans="3:20" x14ac:dyDescent="0.35">
      <c r="D7" t="s">
        <v>131</v>
      </c>
      <c r="E7" s="46">
        <f>E3-E2</f>
        <v>24770278.094466101</v>
      </c>
      <c r="L7">
        <f t="shared" si="0"/>
        <v>2091001</v>
      </c>
      <c r="M7">
        <f t="shared" si="1"/>
        <v>0.60796240652204359</v>
      </c>
      <c r="O7">
        <f t="shared" si="2"/>
        <v>1737692</v>
      </c>
      <c r="P7">
        <f t="shared" si="3"/>
        <v>0.55821169689450145</v>
      </c>
      <c r="R7">
        <f>'Orig data'!AM10</f>
        <v>1956</v>
      </c>
      <c r="S7">
        <v>282627</v>
      </c>
      <c r="T7">
        <v>0.88341524341269584</v>
      </c>
    </row>
    <row r="8" spans="3:20" x14ac:dyDescent="0.35">
      <c r="C8" t="s">
        <v>129</v>
      </c>
      <c r="L8">
        <f t="shared" si="0"/>
        <v>2341001</v>
      </c>
      <c r="M8">
        <f t="shared" si="1"/>
        <v>0.65164431796483635</v>
      </c>
      <c r="O8">
        <f t="shared" si="2"/>
        <v>1987692</v>
      </c>
      <c r="P8">
        <f t="shared" si="3"/>
        <v>0.58560380582102256</v>
      </c>
      <c r="R8">
        <f>'Orig data'!AM11</f>
        <v>1957</v>
      </c>
      <c r="S8">
        <v>308362.99999999994</v>
      </c>
      <c r="T8">
        <v>0.72546965751403381</v>
      </c>
    </row>
    <row r="9" spans="3:20" x14ac:dyDescent="0.35">
      <c r="C9" t="s">
        <v>116</v>
      </c>
      <c r="D9" t="s">
        <v>119</v>
      </c>
      <c r="E9" t="s">
        <v>117</v>
      </c>
      <c r="F9" t="s">
        <v>118</v>
      </c>
      <c r="L9">
        <f t="shared" si="0"/>
        <v>2591001</v>
      </c>
      <c r="M9">
        <f t="shared" si="1"/>
        <v>0.68689668587545882</v>
      </c>
      <c r="O9">
        <f t="shared" si="2"/>
        <v>2237692</v>
      </c>
      <c r="P9">
        <f t="shared" si="3"/>
        <v>0.60687529829842535</v>
      </c>
      <c r="R9">
        <f>'Orig data'!AM12</f>
        <v>1958</v>
      </c>
      <c r="S9">
        <v>544065.93186850043</v>
      </c>
      <c r="T9">
        <v>0.84030837988028484</v>
      </c>
    </row>
    <row r="10" spans="3:20" x14ac:dyDescent="0.35">
      <c r="C10" t="s">
        <v>120</v>
      </c>
      <c r="D10" t="s">
        <v>121</v>
      </c>
      <c r="E10">
        <f t="shared" ref="E10:F13" si="4">E2/E$6</f>
        <v>0.42431139815479518</v>
      </c>
      <c r="F10">
        <f t="shared" si="4"/>
        <v>0.62209008022977519</v>
      </c>
      <c r="L10">
        <f t="shared" si="0"/>
        <v>2841001</v>
      </c>
      <c r="M10">
        <f t="shared" si="1"/>
        <v>0.71594483775260898</v>
      </c>
      <c r="O10">
        <f t="shared" si="2"/>
        <v>2487692</v>
      </c>
      <c r="P10">
        <f t="shared" si="3"/>
        <v>0.62387144389257188</v>
      </c>
      <c r="R10">
        <f>'Orig data'!AM13</f>
        <v>1959</v>
      </c>
      <c r="S10">
        <v>614926.64487554599</v>
      </c>
      <c r="T10">
        <v>0.76627554011374688</v>
      </c>
    </row>
    <row r="11" spans="3:20" x14ac:dyDescent="0.35">
      <c r="C11" t="s">
        <v>122</v>
      </c>
      <c r="D11" t="s">
        <v>91</v>
      </c>
      <c r="E11">
        <f t="shared" si="4"/>
        <v>0.81956536290388893</v>
      </c>
      <c r="F11">
        <f t="shared" si="4"/>
        <v>0.96018385055073152</v>
      </c>
      <c r="L11">
        <f t="shared" si="0"/>
        <v>3091001</v>
      </c>
      <c r="M11">
        <f t="shared" si="1"/>
        <v>0.74029416360589984</v>
      </c>
      <c r="O11">
        <f t="shared" si="2"/>
        <v>2737692</v>
      </c>
      <c r="P11">
        <f t="shared" si="3"/>
        <v>0.63776348836903496</v>
      </c>
      <c r="R11">
        <f>'Orig data'!AM14</f>
        <v>1960</v>
      </c>
      <c r="S11">
        <v>387046.89724664099</v>
      </c>
      <c r="T11">
        <v>0.62944250781901845</v>
      </c>
    </row>
    <row r="12" spans="3:20" x14ac:dyDescent="0.35">
      <c r="C12" t="s">
        <v>124</v>
      </c>
      <c r="D12" t="s">
        <v>123</v>
      </c>
      <c r="E12">
        <f t="shared" si="4"/>
        <v>1</v>
      </c>
      <c r="F12">
        <f t="shared" si="4"/>
        <v>0.94656707445517452</v>
      </c>
      <c r="K12" s="67"/>
      <c r="L12">
        <f t="shared" si="0"/>
        <v>3341001</v>
      </c>
      <c r="M12">
        <f t="shared" si="1"/>
        <v>0.76099947291245928</v>
      </c>
      <c r="O12">
        <f t="shared" si="2"/>
        <v>2987692</v>
      </c>
      <c r="P12">
        <f t="shared" si="3"/>
        <v>0.64933065389605082</v>
      </c>
      <c r="R12">
        <f>'Orig data'!AM15</f>
        <v>1961</v>
      </c>
      <c r="S12">
        <v>251616.14214615227</v>
      </c>
      <c r="T12">
        <v>0.59029190518995134</v>
      </c>
    </row>
    <row r="13" spans="3:20" x14ac:dyDescent="0.35">
      <c r="C13" t="s">
        <v>125</v>
      </c>
      <c r="D13" t="s">
        <v>126</v>
      </c>
      <c r="E13">
        <f t="shared" si="4"/>
        <v>0.94630287046865524</v>
      </c>
      <c r="F13">
        <f t="shared" si="4"/>
        <v>1</v>
      </c>
      <c r="L13">
        <f t="shared" si="0"/>
        <v>3591001</v>
      </c>
      <c r="M13">
        <f t="shared" si="1"/>
        <v>0.77882183825624096</v>
      </c>
      <c r="O13">
        <f t="shared" si="2"/>
        <v>3237692</v>
      </c>
      <c r="P13">
        <f t="shared" si="3"/>
        <v>0.65911149053090901</v>
      </c>
      <c r="R13">
        <f>'Orig data'!AM16</f>
        <v>1962</v>
      </c>
      <c r="S13">
        <v>241416.59881504547</v>
      </c>
      <c r="T13">
        <v>0.47697992689747593</v>
      </c>
    </row>
    <row r="14" spans="3:20" x14ac:dyDescent="0.35">
      <c r="L14">
        <f t="shared" si="0"/>
        <v>3841001</v>
      </c>
      <c r="M14">
        <f t="shared" si="1"/>
        <v>0.79432418788748027</v>
      </c>
      <c r="O14">
        <f t="shared" si="2"/>
        <v>3487692</v>
      </c>
      <c r="P14">
        <f t="shared" si="3"/>
        <v>0.66749013387650058</v>
      </c>
      <c r="R14">
        <f>'Orig data'!AM17</f>
        <v>1963</v>
      </c>
      <c r="S14">
        <v>327640.48668735276</v>
      </c>
      <c r="T14">
        <v>0.43438055336526582</v>
      </c>
    </row>
    <row r="15" spans="3:20" x14ac:dyDescent="0.35">
      <c r="L15">
        <f t="shared" si="0"/>
        <v>4091001</v>
      </c>
      <c r="M15">
        <f t="shared" si="1"/>
        <v>0.80793184846447108</v>
      </c>
      <c r="O15">
        <f t="shared" si="2"/>
        <v>3737692</v>
      </c>
      <c r="P15">
        <f t="shared" si="3"/>
        <v>0.67474794605869082</v>
      </c>
      <c r="R15">
        <f>'Orig data'!AM18</f>
        <v>1964</v>
      </c>
      <c r="S15">
        <v>366907.12082483614</v>
      </c>
      <c r="T15">
        <v>0.33592513645318611</v>
      </c>
    </row>
    <row r="16" spans="3:20" x14ac:dyDescent="0.35">
      <c r="O16">
        <f t="shared" si="2"/>
        <v>3987692</v>
      </c>
      <c r="P16">
        <f t="shared" si="3"/>
        <v>0.68109573156602865</v>
      </c>
      <c r="R16">
        <f>'Orig data'!AM19</f>
        <v>1965</v>
      </c>
      <c r="S16">
        <v>168080.14817022541</v>
      </c>
      <c r="T16">
        <v>0.24058496409967622</v>
      </c>
    </row>
    <row r="17" spans="9:20" x14ac:dyDescent="0.35">
      <c r="R17">
        <f>'Orig data'!AM20</f>
        <v>1966</v>
      </c>
      <c r="S17">
        <v>408137.8468236422</v>
      </c>
      <c r="T17">
        <v>0.14043534504322719</v>
      </c>
    </row>
    <row r="18" spans="9:20" x14ac:dyDescent="0.35">
      <c r="R18">
        <f>'Orig data'!AM21</f>
        <v>1967</v>
      </c>
      <c r="S18">
        <v>314854.74380164361</v>
      </c>
      <c r="T18">
        <v>0.33786063906527186</v>
      </c>
    </row>
    <row r="19" spans="9:20" x14ac:dyDescent="0.35">
      <c r="R19">
        <f>'Orig data'!AM22</f>
        <v>1968</v>
      </c>
      <c r="S19">
        <v>1137747.2860377347</v>
      </c>
      <c r="T19">
        <v>0.41875228158164224</v>
      </c>
    </row>
    <row r="20" spans="9:20" x14ac:dyDescent="0.35">
      <c r="R20">
        <f>'Orig data'!AM23</f>
        <v>1969</v>
      </c>
      <c r="S20">
        <v>569626.99035989505</v>
      </c>
      <c r="T20">
        <v>0.4654732209378506</v>
      </c>
    </row>
    <row r="21" spans="9:20" x14ac:dyDescent="0.35">
      <c r="R21">
        <f>'Orig data'!AM24</f>
        <v>1970</v>
      </c>
      <c r="S21">
        <v>723902.38431985653</v>
      </c>
      <c r="T21">
        <v>0.61554327758654503</v>
      </c>
    </row>
    <row r="22" spans="9:20" x14ac:dyDescent="0.35">
      <c r="R22">
        <f>'Orig data'!AM25</f>
        <v>1971</v>
      </c>
      <c r="S22">
        <v>369685.00141850073</v>
      </c>
      <c r="T22">
        <v>0.22913721822490996</v>
      </c>
    </row>
    <row r="23" spans="9:20" x14ac:dyDescent="0.35">
      <c r="R23">
        <f>'Orig data'!AM26</f>
        <v>1972</v>
      </c>
      <c r="S23">
        <v>1335366.4493599997</v>
      </c>
      <c r="T23">
        <v>0.6864100398571662</v>
      </c>
    </row>
    <row r="24" spans="9:20" x14ac:dyDescent="0.35">
      <c r="R24">
        <f>'Orig data'!AM27</f>
        <v>1973</v>
      </c>
      <c r="S24">
        <v>1486677.9961585803</v>
      </c>
      <c r="T24">
        <v>0.82276901842119232</v>
      </c>
    </row>
    <row r="25" spans="9:20" x14ac:dyDescent="0.35">
      <c r="R25">
        <f>'Orig data'!AM28</f>
        <v>1974</v>
      </c>
      <c r="S25">
        <v>706353.48170722672</v>
      </c>
      <c r="T25">
        <v>0.51199686844400116</v>
      </c>
    </row>
    <row r="26" spans="9:20" x14ac:dyDescent="0.35">
      <c r="R26">
        <f>'Orig data'!AM29</f>
        <v>1975</v>
      </c>
      <c r="S26">
        <v>479931.4784806252</v>
      </c>
      <c r="T26">
        <v>0.60629289653002161</v>
      </c>
    </row>
    <row r="27" spans="9:20" x14ac:dyDescent="0.35">
      <c r="I27" s="61" t="s">
        <v>138</v>
      </c>
      <c r="J27" s="61"/>
      <c r="K27" s="61"/>
      <c r="L27" s="61"/>
      <c r="M27" s="61"/>
      <c r="R27">
        <f>'Orig data'!AM30</f>
        <v>1976</v>
      </c>
      <c r="S27">
        <v>994075.48987078632</v>
      </c>
      <c r="T27">
        <v>0.66074570448789605</v>
      </c>
    </row>
    <row r="28" spans="9:20" x14ac:dyDescent="0.35">
      <c r="I28" s="61" t="s">
        <v>139</v>
      </c>
      <c r="J28" s="61"/>
      <c r="K28" s="61"/>
      <c r="L28" s="61"/>
      <c r="M28" s="61"/>
      <c r="R28">
        <f>'Orig data'!AM31</f>
        <v>1977</v>
      </c>
      <c r="S28">
        <v>714340.4547522486</v>
      </c>
      <c r="T28">
        <v>0.17050361504478673</v>
      </c>
    </row>
    <row r="29" spans="9:20" x14ac:dyDescent="0.35">
      <c r="I29" s="61" t="s">
        <v>132</v>
      </c>
      <c r="J29" s="61"/>
      <c r="K29" s="61"/>
      <c r="L29" s="61"/>
      <c r="M29" s="61"/>
      <c r="R29">
        <f>'Orig data'!AM32</f>
        <v>1978</v>
      </c>
      <c r="S29">
        <v>1170866.0084676552</v>
      </c>
      <c r="T29">
        <v>0.69711185152498722</v>
      </c>
    </row>
    <row r="30" spans="9:20" x14ac:dyDescent="0.35">
      <c r="R30">
        <f>'Orig data'!AM33</f>
        <v>1979</v>
      </c>
      <c r="S30">
        <v>305527.49775302288</v>
      </c>
      <c r="T30">
        <v>0.17198735472837279</v>
      </c>
    </row>
    <row r="31" spans="9:20" x14ac:dyDescent="0.35">
      <c r="R31">
        <f>'Orig data'!AM34</f>
        <v>1980</v>
      </c>
      <c r="S31">
        <v>902200.16125222784</v>
      </c>
      <c r="T31">
        <v>0.65468745360712499</v>
      </c>
    </row>
    <row r="32" spans="9:20" x14ac:dyDescent="0.35">
      <c r="R32">
        <f>'Orig data'!AM35</f>
        <v>1981</v>
      </c>
      <c r="S32">
        <v>496309.57123742858</v>
      </c>
      <c r="T32">
        <v>0.12648144705569586</v>
      </c>
    </row>
    <row r="33" spans="18:20" x14ac:dyDescent="0.35">
      <c r="R33">
        <f>'Orig data'!AM36</f>
        <v>1982</v>
      </c>
      <c r="S33">
        <v>717475.26979736437</v>
      </c>
      <c r="T33">
        <v>0.54912425363703044</v>
      </c>
    </row>
    <row r="34" spans="18:20" x14ac:dyDescent="0.35">
      <c r="R34">
        <f>'Orig data'!AM37</f>
        <v>1983</v>
      </c>
      <c r="S34">
        <v>466288.34473084798</v>
      </c>
      <c r="T34">
        <v>0.2091699443311118</v>
      </c>
    </row>
    <row r="35" spans="18:20" x14ac:dyDescent="0.35">
      <c r="R35">
        <f>'Orig data'!AM38</f>
        <v>1984</v>
      </c>
      <c r="S35">
        <v>608862.3007138829</v>
      </c>
      <c r="T35">
        <v>0.11639140147812588</v>
      </c>
    </row>
    <row r="36" spans="18:20" x14ac:dyDescent="0.35">
      <c r="R36">
        <f>'Orig data'!AM39</f>
        <v>1985</v>
      </c>
      <c r="S36">
        <v>1827484.5645123832</v>
      </c>
      <c r="T36">
        <v>0.24753948247023994</v>
      </c>
    </row>
    <row r="37" spans="18:20" x14ac:dyDescent="0.35">
      <c r="R37">
        <f>'Orig data'!AM40</f>
        <v>1986</v>
      </c>
      <c r="S37">
        <v>1570122.7310952323</v>
      </c>
      <c r="T37">
        <v>0.36912696063175421</v>
      </c>
    </row>
    <row r="38" spans="18:20" x14ac:dyDescent="0.35">
      <c r="R38">
        <f>'Orig data'!AM41</f>
        <v>1987</v>
      </c>
      <c r="S38">
        <v>478298.90081635024</v>
      </c>
      <c r="T38">
        <v>0.24404667869525809</v>
      </c>
    </row>
    <row r="39" spans="18:20" x14ac:dyDescent="0.35">
      <c r="R39">
        <f>'Orig data'!AM42</f>
        <v>1988</v>
      </c>
      <c r="S39">
        <v>1031497.6766307169</v>
      </c>
      <c r="T39">
        <v>0.48945861844768335</v>
      </c>
    </row>
    <row r="40" spans="18:20" x14ac:dyDescent="0.35">
      <c r="R40">
        <f>'Orig data'!AM43</f>
        <v>1989</v>
      </c>
      <c r="S40">
        <v>1092698.4667264996</v>
      </c>
      <c r="T40">
        <v>0.32431410272221262</v>
      </c>
    </row>
    <row r="41" spans="18:20" x14ac:dyDescent="0.35">
      <c r="R41">
        <f>'Orig data'!AM44</f>
        <v>1990</v>
      </c>
      <c r="S41">
        <v>1590057.2213418295</v>
      </c>
      <c r="T41">
        <v>0.45953971602968235</v>
      </c>
    </row>
    <row r="42" spans="18:20" x14ac:dyDescent="0.35">
      <c r="R42">
        <f>'Orig data'!AM45</f>
        <v>1991</v>
      </c>
      <c r="S42">
        <v>1448841.0143012691</v>
      </c>
      <c r="T42">
        <v>0.23918884256231565</v>
      </c>
    </row>
    <row r="43" spans="18:20" x14ac:dyDescent="0.35">
      <c r="R43">
        <f>'Orig data'!AM46</f>
        <v>1992</v>
      </c>
      <c r="S43">
        <v>1552362.3730925554</v>
      </c>
      <c r="T43">
        <v>0.3341601755588095</v>
      </c>
    </row>
    <row r="44" spans="18:20" x14ac:dyDescent="0.35">
      <c r="R44">
        <f>'Orig data'!AM47</f>
        <v>1993</v>
      </c>
      <c r="S44">
        <v>1474817.6983316527</v>
      </c>
      <c r="T44">
        <v>0.3326310742532318</v>
      </c>
    </row>
    <row r="45" spans="18:20" x14ac:dyDescent="0.35">
      <c r="R45">
        <f>'Orig data'!AM48</f>
        <v>1994</v>
      </c>
      <c r="S45">
        <v>2292293.5496719992</v>
      </c>
      <c r="T45">
        <v>0.2741307408917748</v>
      </c>
    </row>
    <row r="46" spans="18:20" x14ac:dyDescent="0.35">
      <c r="R46">
        <f>'Orig data'!AM49</f>
        <v>1995</v>
      </c>
      <c r="S46">
        <v>1842445.1840150789</v>
      </c>
      <c r="T46">
        <v>0.1170538932934152</v>
      </c>
    </row>
    <row r="47" spans="18:20" x14ac:dyDescent="0.35">
      <c r="R47">
        <f>'Orig data'!AM50</f>
        <v>1996</v>
      </c>
      <c r="S47">
        <v>1247525.1793623904</v>
      </c>
      <c r="T47">
        <v>4.9872480261254348E-2</v>
      </c>
    </row>
    <row r="48" spans="18:20" x14ac:dyDescent="0.35">
      <c r="R48">
        <f>'Orig data'!AM51</f>
        <v>1997</v>
      </c>
      <c r="S48">
        <v>1133685.8245013235</v>
      </c>
      <c r="T48">
        <v>7.7844579785042778E-2</v>
      </c>
    </row>
    <row r="49" spans="18:20" x14ac:dyDescent="0.35">
      <c r="R49">
        <f>'Orig data'!AM52</f>
        <v>1998</v>
      </c>
      <c r="S49">
        <v>4069562.5432835938</v>
      </c>
      <c r="T49">
        <v>0.12498210487046357</v>
      </c>
    </row>
    <row r="50" spans="18:20" x14ac:dyDescent="0.35">
      <c r="R50">
        <f>'Orig data'!AM53</f>
        <v>1999</v>
      </c>
      <c r="S50">
        <v>3083507.8780233189</v>
      </c>
      <c r="T50">
        <v>3.1268282941623315E-2</v>
      </c>
    </row>
    <row r="51" spans="18:20" x14ac:dyDescent="0.35">
      <c r="R51">
        <f>'Orig data'!AM54</f>
        <v>2000</v>
      </c>
      <c r="S51">
        <v>821194.304927652</v>
      </c>
      <c r="T51">
        <v>0.147746699427311</v>
      </c>
    </row>
    <row r="52" spans="18:20" x14ac:dyDescent="0.35">
      <c r="R52">
        <f>'Orig data'!AM55</f>
        <v>2001</v>
      </c>
      <c r="S52">
        <v>3395840.9212409169</v>
      </c>
      <c r="T52">
        <v>7.1918279353250347E-2</v>
      </c>
    </row>
    <row r="53" spans="18:20" x14ac:dyDescent="0.35">
      <c r="R53">
        <f>'Orig data'!AM56</f>
        <v>2002</v>
      </c>
      <c r="S53">
        <v>2701980.7562391218</v>
      </c>
      <c r="T53">
        <v>0.14792153507775563</v>
      </c>
    </row>
    <row r="54" spans="18:20" x14ac:dyDescent="0.35">
      <c r="R54">
        <f>'Orig data'!AM57</f>
        <v>2003</v>
      </c>
      <c r="S54">
        <v>2003453.7036245412</v>
      </c>
      <c r="T54">
        <v>0.25509588830895702</v>
      </c>
    </row>
    <row r="55" spans="18:20" x14ac:dyDescent="0.35">
      <c r="R55">
        <f>'Orig data'!AM58</f>
        <v>2004</v>
      </c>
      <c r="S55">
        <v>3348300.0367474952</v>
      </c>
      <c r="T55">
        <v>0.18975647470329315</v>
      </c>
    </row>
    <row r="56" spans="18:20" x14ac:dyDescent="0.35">
      <c r="R56">
        <f>'Orig data'!AM59</f>
        <v>2005</v>
      </c>
      <c r="S56">
        <v>1794323.8982165304</v>
      </c>
      <c r="T56">
        <v>0.2621207108581336</v>
      </c>
    </row>
    <row r="57" spans="18:20" x14ac:dyDescent="0.35">
      <c r="R57">
        <f>'Orig data'!AM60</f>
        <v>2006</v>
      </c>
      <c r="S57">
        <v>2683639.5726586096</v>
      </c>
      <c r="T57">
        <v>0.26569915366442842</v>
      </c>
    </row>
    <row r="58" spans="18:20" x14ac:dyDescent="0.35">
      <c r="R58">
        <f>'Orig data'!AM61</f>
        <v>2007</v>
      </c>
      <c r="S58">
        <v>1382600.7638578219</v>
      </c>
      <c r="T58">
        <v>0.23533793702535577</v>
      </c>
    </row>
    <row r="59" spans="18:20" x14ac:dyDescent="0.35">
      <c r="R59">
        <f>'Orig data'!AM62</f>
        <v>2008</v>
      </c>
      <c r="S59">
        <v>1232707.4700926775</v>
      </c>
      <c r="T59">
        <v>0.20287027983265393</v>
      </c>
    </row>
    <row r="60" spans="18:20" x14ac:dyDescent="0.35">
      <c r="R60">
        <f>'Orig data'!AM63</f>
        <v>2009</v>
      </c>
      <c r="S60">
        <v>816443.22330445587</v>
      </c>
      <c r="T60">
        <v>0.41909970141729669</v>
      </c>
    </row>
    <row r="61" spans="18:20" x14ac:dyDescent="0.35">
      <c r="R61">
        <f>'Orig data'!AM64</f>
        <v>2010</v>
      </c>
      <c r="S61">
        <v>659539.7334426723</v>
      </c>
      <c r="T61">
        <v>8.0120544316124476E-2</v>
      </c>
    </row>
    <row r="62" spans="18:20" x14ac:dyDescent="0.35">
      <c r="R62">
        <f>'Orig data'!AM65</f>
        <v>2011</v>
      </c>
      <c r="S62">
        <v>1420920.271489149</v>
      </c>
      <c r="T62">
        <v>0.24058744294460999</v>
      </c>
    </row>
    <row r="63" spans="18:20" x14ac:dyDescent="0.35">
      <c r="R63">
        <f>'Orig data'!AM66</f>
        <v>2012</v>
      </c>
      <c r="S63">
        <v>1702180.4100898972</v>
      </c>
      <c r="T63">
        <v>0.18856883391753065</v>
      </c>
    </row>
    <row r="64" spans="18:20" x14ac:dyDescent="0.35">
      <c r="R64">
        <f>'Orig data'!AM67</f>
        <v>2013</v>
      </c>
      <c r="S64">
        <v>1587914.8449579652</v>
      </c>
      <c r="T64">
        <v>0.27069681105165166</v>
      </c>
    </row>
    <row r="65" spans="18:20" x14ac:dyDescent="0.35">
      <c r="R65">
        <f>'Orig data'!AM68</f>
        <v>2014</v>
      </c>
      <c r="S65">
        <v>1505232.4783333885</v>
      </c>
      <c r="T65">
        <v>0.22700035149764719</v>
      </c>
    </row>
    <row r="66" spans="18:20" x14ac:dyDescent="0.35">
      <c r="R66">
        <f>'Orig data'!AM69</f>
        <v>2015</v>
      </c>
      <c r="S66">
        <v>1449275.9871404259</v>
      </c>
      <c r="T66">
        <v>0.34545149017060428</v>
      </c>
    </row>
    <row r="67" spans="18:20" x14ac:dyDescent="0.35">
      <c r="R67">
        <f>'Orig data'!AM70</f>
        <v>2016</v>
      </c>
      <c r="S67">
        <v>2938495.2258277331</v>
      </c>
      <c r="T67">
        <v>0.32921171050971265</v>
      </c>
    </row>
    <row r="68" spans="18:20" x14ac:dyDescent="0.35">
      <c r="R68">
        <f>'Orig data'!AM71</f>
        <v>2017</v>
      </c>
      <c r="S68">
        <v>1068450.2983042465</v>
      </c>
      <c r="T68">
        <v>0.38482371184271913</v>
      </c>
    </row>
    <row r="69" spans="18:20" x14ac:dyDescent="0.35">
      <c r="R69">
        <f>'Orig data'!AM72</f>
        <v>2018</v>
      </c>
      <c r="S69">
        <v>787555.98977639445</v>
      </c>
      <c r="T69">
        <v>0.13248409423599394</v>
      </c>
    </row>
    <row r="70" spans="18:20" x14ac:dyDescent="0.35">
      <c r="R70">
        <f>'Orig data'!AM73</f>
        <v>2019</v>
      </c>
      <c r="S70">
        <v>325911.25786833616</v>
      </c>
      <c r="T70">
        <v>6.8453816568776693E-2</v>
      </c>
    </row>
    <row r="71" spans="18:20" x14ac:dyDescent="0.35">
      <c r="R71">
        <f>'Orig data'!AM74</f>
        <v>2020</v>
      </c>
      <c r="S71">
        <v>674495.91978459386</v>
      </c>
      <c r="T71">
        <v>0.1958100162343841</v>
      </c>
    </row>
    <row r="72" spans="18:20" x14ac:dyDescent="0.35">
      <c r="R72">
        <f>'Orig data'!AM75</f>
        <v>2021</v>
      </c>
      <c r="S72">
        <v>700998.23639917164</v>
      </c>
      <c r="T72">
        <v>5.2634874494096096E-2</v>
      </c>
    </row>
    <row r="73" spans="18:20" x14ac:dyDescent="0.35">
      <c r="R73">
        <f>'Orig data'!AM76</f>
        <v>2022</v>
      </c>
      <c r="S73">
        <v>1154090.649235846</v>
      </c>
      <c r="T73">
        <v>8.7425475424698362E-2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57F15-4E97-4F4A-A098-5EB93365DC7F}">
  <dimension ref="C1:U68"/>
  <sheetViews>
    <sheetView tabSelected="1" topLeftCell="I1" workbookViewId="0">
      <selection activeCell="Q5" sqref="Q5"/>
    </sheetView>
  </sheetViews>
  <sheetFormatPr defaultRowHeight="14.5" x14ac:dyDescent="0.35"/>
  <cols>
    <col min="4" max="4" width="8.81640625" style="59"/>
    <col min="6" max="6" width="8.81640625" style="76"/>
    <col min="7" max="7" width="13.1796875" style="76" bestFit="1" customWidth="1"/>
    <col min="8" max="10" width="8.81640625" style="76"/>
    <col min="16" max="16" width="9.81640625" bestFit="1" customWidth="1"/>
    <col min="17" max="17" width="9.6328125" bestFit="1" customWidth="1"/>
  </cols>
  <sheetData>
    <row r="1" spans="3:21" x14ac:dyDescent="0.35">
      <c r="C1" t="s">
        <v>1</v>
      </c>
      <c r="D1" s="59" t="s">
        <v>141</v>
      </c>
      <c r="E1" t="s">
        <v>81</v>
      </c>
      <c r="F1" s="76" t="s">
        <v>80</v>
      </c>
      <c r="G1" s="76" t="s">
        <v>57</v>
      </c>
      <c r="H1" t="s">
        <v>176</v>
      </c>
      <c r="I1" t="s">
        <v>177</v>
      </c>
      <c r="J1" t="s">
        <v>178</v>
      </c>
      <c r="K1" t="s">
        <v>179</v>
      </c>
      <c r="L1" t="s">
        <v>180</v>
      </c>
      <c r="M1" s="76"/>
      <c r="P1" t="s">
        <v>175</v>
      </c>
      <c r="Q1">
        <f>CORREL(D2:D68,E2:E68)</f>
        <v>0.31770436136153374</v>
      </c>
    </row>
    <row r="2" spans="3:21" ht="15" thickBot="1" x14ac:dyDescent="0.4">
      <c r="C2">
        <f>'Orig data'!B5</f>
        <v>1951</v>
      </c>
      <c r="D2" s="59">
        <f>'Orig data'!G5</f>
        <v>17243.253910066778</v>
      </c>
      <c r="E2" s="5">
        <f>'Orig data'!H5</f>
        <v>171725</v>
      </c>
      <c r="F2" s="76">
        <f>'Orig data'!J5</f>
        <v>1.2434687408087852</v>
      </c>
      <c r="G2" s="78">
        <f>E2*EXP(F2)</f>
        <v>595477.19999999995</v>
      </c>
      <c r="H2">
        <f>C2</f>
        <v>1951</v>
      </c>
      <c r="I2">
        <f>-N$19*E2</f>
        <v>9.2122314422058996E-2</v>
      </c>
      <c r="J2">
        <f>-N$18*D2</f>
        <v>0.35285289425986477</v>
      </c>
      <c r="K2">
        <f>I2+J2</f>
        <v>0.44497520868192375</v>
      </c>
      <c r="L2" s="76">
        <f>F2-(N$17-J2-I2)</f>
        <v>0.29487808283510708</v>
      </c>
      <c r="P2" t="s">
        <v>181</v>
      </c>
      <c r="Q2">
        <f>VAR(L2:L68)</f>
        <v>0.22634919265364184</v>
      </c>
    </row>
    <row r="3" spans="3:21" x14ac:dyDescent="0.35">
      <c r="C3">
        <f>'Orig data'!B6</f>
        <v>1952</v>
      </c>
      <c r="D3" s="59">
        <f>'Orig data'!G6</f>
        <v>17747.772545448432</v>
      </c>
      <c r="E3" s="5">
        <f>'Orig data'!H6</f>
        <v>176250</v>
      </c>
      <c r="F3" s="76">
        <f>'Orig data'!J6</f>
        <v>0.59498590478038604</v>
      </c>
      <c r="G3" s="78">
        <f t="shared" ref="G3:G66" si="0">E3*EXP(F3)</f>
        <v>319542.19999999995</v>
      </c>
      <c r="H3">
        <f t="shared" ref="H3:H66" si="1">C3</f>
        <v>1952</v>
      </c>
      <c r="I3">
        <f>-N$19*E3</f>
        <v>9.4549762218010772E-2</v>
      </c>
      <c r="J3">
        <f t="shared" ref="J3:J31" si="2">-N$18*D3</f>
        <v>0.36317698167578594</v>
      </c>
      <c r="K3">
        <f t="shared" ref="K3:K31" si="3">I3+J3</f>
        <v>0.45772674389379669</v>
      </c>
      <c r="L3" s="76">
        <f>F3-(N$17-J3-I3)</f>
        <v>-0.3408532179814191</v>
      </c>
      <c r="N3" s="75"/>
      <c r="P3" t="s">
        <v>182</v>
      </c>
      <c r="Q3">
        <f>SQRT(Q2)</f>
        <v>0.47576169733769219</v>
      </c>
    </row>
    <row r="4" spans="3:21" x14ac:dyDescent="0.35">
      <c r="C4">
        <f>'Orig data'!B7</f>
        <v>1953</v>
      </c>
      <c r="D4" s="59">
        <f>'Orig data'!G7</f>
        <v>18200.242688963703</v>
      </c>
      <c r="E4" s="5">
        <f>'Orig data'!H7</f>
        <v>137625</v>
      </c>
      <c r="F4" s="76">
        <f>'Orig data'!J7</f>
        <v>0.86171672361584606</v>
      </c>
      <c r="G4" s="78">
        <f t="shared" si="0"/>
        <v>325788.79999999999</v>
      </c>
      <c r="H4">
        <f t="shared" si="1"/>
        <v>1953</v>
      </c>
      <c r="I4">
        <f t="shared" ref="I3:I31" si="4">-N$19*E4</f>
        <v>7.3829282412787134E-2</v>
      </c>
      <c r="J4">
        <f t="shared" si="2"/>
        <v>0.37243598815671075</v>
      </c>
      <c r="K4">
        <f t="shared" si="3"/>
        <v>0.44626527056949788</v>
      </c>
      <c r="L4" s="76">
        <f t="shared" ref="L3:L31" si="5">F4-(N$17-J4-I4)</f>
        <v>-8.5583872470258004E-2</v>
      </c>
      <c r="N4" s="72">
        <v>0.73953666657691897</v>
      </c>
    </row>
    <row r="5" spans="3:21" x14ac:dyDescent="0.35">
      <c r="C5">
        <f>'Orig data'!B8</f>
        <v>1954</v>
      </c>
      <c r="D5" s="59">
        <f>'Orig data'!G8</f>
        <v>18877.275544212891</v>
      </c>
      <c r="E5" s="5">
        <f>'Orig data'!H8</f>
        <v>86375</v>
      </c>
      <c r="F5" s="76">
        <f>'Orig data'!J8</f>
        <v>1.7429633716112083</v>
      </c>
      <c r="G5" s="78">
        <f t="shared" si="0"/>
        <v>493568.50000000006</v>
      </c>
      <c r="H5">
        <f t="shared" si="1"/>
        <v>1954</v>
      </c>
      <c r="I5">
        <f t="shared" si="4"/>
        <v>4.6336089143720172E-2</v>
      </c>
      <c r="J5">
        <f t="shared" si="2"/>
        <v>0.38629027596860849</v>
      </c>
      <c r="K5">
        <f t="shared" si="3"/>
        <v>0.43262636511232866</v>
      </c>
      <c r="L5" s="76">
        <f t="shared" si="5"/>
        <v>0.78202387006793495</v>
      </c>
      <c r="N5" s="72">
        <v>0.54691448121170105</v>
      </c>
    </row>
    <row r="6" spans="3:21" x14ac:dyDescent="0.35">
      <c r="C6">
        <f>'Orig data'!B9</f>
        <v>1955</v>
      </c>
      <c r="D6" s="59">
        <f>'Orig data'!G9</f>
        <v>19634.010763062572</v>
      </c>
      <c r="E6" s="5">
        <f>'Orig data'!H9</f>
        <v>110500</v>
      </c>
      <c r="F6" s="76">
        <f>'Orig data'!J9</f>
        <v>1.688564028916681</v>
      </c>
      <c r="G6" s="78">
        <f t="shared" si="0"/>
        <v>597993.30000000005</v>
      </c>
      <c r="H6">
        <f t="shared" si="1"/>
        <v>1955</v>
      </c>
      <c r="I6">
        <f t="shared" si="4"/>
        <v>5.9278006950866324E-2</v>
      </c>
      <c r="J6">
        <f t="shared" si="2"/>
        <v>0.40177553261170618</v>
      </c>
      <c r="K6">
        <f t="shared" si="3"/>
        <v>0.4610535395625725</v>
      </c>
      <c r="L6" s="76">
        <f t="shared" si="5"/>
        <v>0.75605170182365167</v>
      </c>
      <c r="N6" s="72">
        <v>0.5327555587495667</v>
      </c>
    </row>
    <row r="7" spans="3:21" x14ac:dyDescent="0.35">
      <c r="C7">
        <f>'Orig data'!B10</f>
        <v>1956</v>
      </c>
      <c r="D7" s="59">
        <f>'Orig data'!G10</f>
        <v>20266.026674062883</v>
      </c>
      <c r="E7" s="5">
        <f>'Orig data'!H10</f>
        <v>32950</v>
      </c>
      <c r="F7" s="76">
        <f>'Orig data'!J10</f>
        <v>2.6259200354751622</v>
      </c>
      <c r="G7" s="78">
        <f t="shared" si="0"/>
        <v>455279.39999999997</v>
      </c>
      <c r="H7">
        <f t="shared" si="1"/>
        <v>1956</v>
      </c>
      <c r="I7">
        <f t="shared" si="4"/>
        <v>1.7676111574941589E-2</v>
      </c>
      <c r="J7">
        <f t="shared" si="2"/>
        <v>0.41470862775592082</v>
      </c>
      <c r="K7">
        <f t="shared" si="3"/>
        <v>0.43238473933086241</v>
      </c>
      <c r="L7" s="76">
        <f t="shared" si="5"/>
        <v>1.6647389081504227</v>
      </c>
      <c r="N7" s="72">
        <v>0.48313828757827515</v>
      </c>
    </row>
    <row r="8" spans="3:21" ht="15" thickBot="1" x14ac:dyDescent="0.4">
      <c r="C8">
        <f>'Orig data'!B11</f>
        <v>1957</v>
      </c>
      <c r="D8" s="59">
        <f>'Orig data'!G11</f>
        <v>20594.874962207177</v>
      </c>
      <c r="E8" s="5">
        <f>'Orig data'!H11</f>
        <v>84655</v>
      </c>
      <c r="F8" s="76">
        <f>'Orig data'!J11</f>
        <v>1.2460987265802781</v>
      </c>
      <c r="G8" s="78">
        <f t="shared" si="0"/>
        <v>294324.50000000006</v>
      </c>
      <c r="H8">
        <f t="shared" si="1"/>
        <v>1957</v>
      </c>
      <c r="I8">
        <f t="shared" si="4"/>
        <v>4.5413390754982706E-2</v>
      </c>
      <c r="J8">
        <f t="shared" si="2"/>
        <v>0.42143793017466985</v>
      </c>
      <c r="K8">
        <f t="shared" si="3"/>
        <v>0.46685132092965254</v>
      </c>
      <c r="L8" s="76">
        <f t="shared" si="5"/>
        <v>0.31938418085432874</v>
      </c>
      <c r="N8" s="73">
        <v>67</v>
      </c>
    </row>
    <row r="9" spans="3:21" x14ac:dyDescent="0.35">
      <c r="C9">
        <f>'Orig data'!B12</f>
        <v>1958</v>
      </c>
      <c r="D9" s="59">
        <f>'Orig data'!G12</f>
        <v>20038.595444513936</v>
      </c>
      <c r="E9" s="5">
        <f>'Orig data'!H12</f>
        <v>89400</v>
      </c>
      <c r="F9" s="76">
        <f>'Orig data'!J12</f>
        <v>1.0661176000168078</v>
      </c>
      <c r="G9" s="78">
        <f t="shared" si="0"/>
        <v>259624.99999999997</v>
      </c>
      <c r="H9">
        <f t="shared" si="1"/>
        <v>1958</v>
      </c>
      <c r="I9">
        <f t="shared" si="4"/>
        <v>4.7958858112284612E-2</v>
      </c>
      <c r="J9">
        <f t="shared" si="2"/>
        <v>0.41005464724795099</v>
      </c>
      <c r="K9">
        <f t="shared" si="3"/>
        <v>0.45801350536023561</v>
      </c>
      <c r="L9" s="76">
        <f t="shared" si="5"/>
        <v>0.13056523872144143</v>
      </c>
    </row>
    <row r="10" spans="3:21" ht="15" thickBot="1" x14ac:dyDescent="0.4">
      <c r="C10">
        <f>'Orig data'!B13</f>
        <v>1959</v>
      </c>
      <c r="D10" s="59">
        <f>'Orig data'!G13</f>
        <v>15904.25189342765</v>
      </c>
      <c r="E10" s="5">
        <f>'Orig data'!H13</f>
        <v>152300</v>
      </c>
      <c r="F10" s="76">
        <f>'Orig data'!J13</f>
        <v>0.72943953580719501</v>
      </c>
      <c r="G10" s="78">
        <f t="shared" si="0"/>
        <v>315857.6999999999</v>
      </c>
      <c r="H10">
        <f t="shared" si="1"/>
        <v>1959</v>
      </c>
      <c r="I10">
        <f t="shared" si="4"/>
        <v>8.170172360739314E-2</v>
      </c>
      <c r="J10">
        <f t="shared" si="2"/>
        <v>0.32545257066345362</v>
      </c>
      <c r="K10">
        <f t="shared" si="3"/>
        <v>0.40715429427084676</v>
      </c>
      <c r="L10" s="76">
        <f t="shared" si="5"/>
        <v>-0.25697203657756007</v>
      </c>
    </row>
    <row r="11" spans="3:21" x14ac:dyDescent="0.35">
      <c r="C11">
        <f>'Orig data'!B14</f>
        <v>1960</v>
      </c>
      <c r="D11" s="59">
        <f>'Orig data'!G14</f>
        <v>13108.04591053178</v>
      </c>
      <c r="E11" s="5">
        <f>'Orig data'!H14</f>
        <v>144782</v>
      </c>
      <c r="F11" s="76">
        <f>'Orig data'!J14</f>
        <v>0.85942366702677886</v>
      </c>
      <c r="G11" s="78">
        <f t="shared" si="0"/>
        <v>341946</v>
      </c>
      <c r="H11">
        <f t="shared" si="1"/>
        <v>1960</v>
      </c>
      <c r="I11">
        <f t="shared" si="4"/>
        <v>7.7668673324527857E-2</v>
      </c>
      <c r="J11">
        <f t="shared" si="2"/>
        <v>0.26823312825673118</v>
      </c>
      <c r="K11">
        <f t="shared" si="3"/>
        <v>0.34590180158125905</v>
      </c>
      <c r="L11" s="76">
        <f t="shared" si="5"/>
        <v>-0.18824039804756409</v>
      </c>
      <c r="N11" s="74" t="s">
        <v>154</v>
      </c>
      <c r="O11" s="74" t="s">
        <v>155</v>
      </c>
      <c r="P11" s="74" t="s">
        <v>156</v>
      </c>
      <c r="Q11" s="74" t="s">
        <v>157</v>
      </c>
      <c r="R11" s="74" t="s">
        <v>158</v>
      </c>
    </row>
    <row r="12" spans="3:21" x14ac:dyDescent="0.35">
      <c r="C12">
        <f>'Orig data'!B15</f>
        <v>1961</v>
      </c>
      <c r="D12" s="59">
        <f>'Orig data'!G15</f>
        <v>12157.237595706409</v>
      </c>
      <c r="E12" s="5">
        <f>'Orig data'!H15</f>
        <v>103920</v>
      </c>
      <c r="F12" s="76">
        <f>'Orig data'!J15</f>
        <v>0.90048479538014536</v>
      </c>
      <c r="G12" s="78">
        <f t="shared" si="0"/>
        <v>255725.9</v>
      </c>
      <c r="H12">
        <f t="shared" si="1"/>
        <v>1961</v>
      </c>
      <c r="I12">
        <f t="shared" si="4"/>
        <v>5.5748149161393923E-2</v>
      </c>
      <c r="J12">
        <f t="shared" si="2"/>
        <v>0.24877650669781465</v>
      </c>
      <c r="K12">
        <f t="shared" si="3"/>
        <v>0.30452465585920857</v>
      </c>
      <c r="L12" s="76">
        <f t="shared" si="5"/>
        <v>-0.18855641541624779</v>
      </c>
      <c r="N12" s="72">
        <v>2</v>
      </c>
      <c r="O12" s="72">
        <v>18.032756831113616</v>
      </c>
      <c r="P12" s="72">
        <v>9.0163784155568081</v>
      </c>
      <c r="Q12" s="72">
        <v>38.626843439133999</v>
      </c>
      <c r="R12" s="72">
        <v>9.9486881286539975E-12</v>
      </c>
    </row>
    <row r="13" spans="3:21" x14ac:dyDescent="0.35">
      <c r="C13">
        <f>'Orig data'!B16</f>
        <v>1962</v>
      </c>
      <c r="D13" s="59">
        <f>'Orig data'!G16</f>
        <v>10463.341029007956</v>
      </c>
      <c r="E13" s="5">
        <f>'Orig data'!H16</f>
        <v>130357</v>
      </c>
      <c r="F13" s="76">
        <f>'Orig data'!J16</f>
        <v>0.94474076043913235</v>
      </c>
      <c r="G13" s="78">
        <f t="shared" si="0"/>
        <v>335297.3</v>
      </c>
      <c r="H13">
        <f t="shared" si="1"/>
        <v>1962</v>
      </c>
      <c r="I13">
        <f t="shared" si="4"/>
        <v>6.9930345267819743E-2</v>
      </c>
      <c r="J13">
        <f t="shared" si="2"/>
        <v>0.21411388969677075</v>
      </c>
      <c r="K13">
        <f t="shared" si="3"/>
        <v>0.28404423496459053</v>
      </c>
      <c r="L13" s="76">
        <f t="shared" si="5"/>
        <v>-0.16478087125187912</v>
      </c>
      <c r="N13" s="72">
        <v>64</v>
      </c>
      <c r="O13" s="72">
        <v>14.939046715140359</v>
      </c>
      <c r="P13" s="72">
        <v>0.23342260492406811</v>
      </c>
      <c r="Q13" s="72"/>
      <c r="R13" s="72"/>
    </row>
    <row r="14" spans="3:21" ht="15" thickBot="1" x14ac:dyDescent="0.4">
      <c r="C14">
        <f>'Orig data'!B17</f>
        <v>1963</v>
      </c>
      <c r="D14" s="59">
        <f>'Orig data'!G17</f>
        <v>9070.6091210970008</v>
      </c>
      <c r="E14" s="5">
        <f>'Orig data'!H17</f>
        <v>192245</v>
      </c>
      <c r="F14" s="76">
        <f>'Orig data'!J17</f>
        <v>0.81670231934451809</v>
      </c>
      <c r="G14" s="78">
        <f t="shared" si="0"/>
        <v>435055.2</v>
      </c>
      <c r="H14">
        <f t="shared" si="1"/>
        <v>1963</v>
      </c>
      <c r="I14">
        <f t="shared" si="4"/>
        <v>0.10313032078071761</v>
      </c>
      <c r="J14">
        <f t="shared" si="2"/>
        <v>0.18561407828080925</v>
      </c>
      <c r="K14">
        <f t="shared" si="3"/>
        <v>0.28874439906152688</v>
      </c>
      <c r="L14" s="76">
        <f t="shared" si="5"/>
        <v>-0.28811914824955676</v>
      </c>
      <c r="N14" s="73">
        <v>66</v>
      </c>
      <c r="O14" s="73">
        <v>32.971803546253973</v>
      </c>
      <c r="P14" s="73"/>
      <c r="Q14" s="73"/>
      <c r="R14" s="73"/>
    </row>
    <row r="15" spans="3:21" ht="15" thickBot="1" x14ac:dyDescent="0.4">
      <c r="C15">
        <f>'Orig data'!B18</f>
        <v>1964</v>
      </c>
      <c r="D15" s="59">
        <f>'Orig data'!G18</f>
        <v>7710.0915778237313</v>
      </c>
      <c r="E15" s="5">
        <f>'Orig data'!H18</f>
        <v>246741</v>
      </c>
      <c r="F15" s="76">
        <f>'Orig data'!J18</f>
        <v>1.2330124337962716</v>
      </c>
      <c r="G15" s="78">
        <f t="shared" si="0"/>
        <v>846704.4</v>
      </c>
      <c r="H15">
        <f t="shared" si="1"/>
        <v>1964</v>
      </c>
      <c r="I15">
        <f t="shared" si="4"/>
        <v>0.13236483903225074</v>
      </c>
      <c r="J15">
        <f t="shared" si="2"/>
        <v>0.15777347723537496</v>
      </c>
      <c r="K15">
        <f t="shared" si="3"/>
        <v>0.29013831626762571</v>
      </c>
      <c r="L15" s="76">
        <f t="shared" si="5"/>
        <v>0.12958488340829533</v>
      </c>
    </row>
    <row r="16" spans="3:21" x14ac:dyDescent="0.35">
      <c r="C16">
        <f>'Orig data'!B19</f>
        <v>1965</v>
      </c>
      <c r="D16" s="59">
        <f>'Orig data'!G19</f>
        <v>7002.9849246813255</v>
      </c>
      <c r="E16" s="5">
        <f>'Orig data'!H19</f>
        <v>129459</v>
      </c>
      <c r="F16" s="76">
        <f>'Orig data'!J19</f>
        <v>1.7791335243734945</v>
      </c>
      <c r="G16" s="78">
        <f t="shared" si="0"/>
        <v>767008.39999999979</v>
      </c>
      <c r="H16">
        <f t="shared" si="1"/>
        <v>1965</v>
      </c>
      <c r="I16">
        <f t="shared" si="4"/>
        <v>6.9448610876490527E-2</v>
      </c>
      <c r="J16">
        <f t="shared" si="2"/>
        <v>0.14330378199032373</v>
      </c>
      <c r="K16">
        <f t="shared" si="3"/>
        <v>0.21275239286681424</v>
      </c>
      <c r="L16" s="76">
        <f t="shared" si="5"/>
        <v>0.59832005058470683</v>
      </c>
      <c r="N16" s="74" t="s">
        <v>159</v>
      </c>
      <c r="O16" s="74" t="s">
        <v>148</v>
      </c>
      <c r="P16" s="74" t="s">
        <v>160</v>
      </c>
      <c r="Q16" s="74" t="s">
        <v>161</v>
      </c>
      <c r="R16" s="74" t="s">
        <v>162</v>
      </c>
      <c r="S16" s="74" t="s">
        <v>163</v>
      </c>
      <c r="T16" s="74" t="s">
        <v>164</v>
      </c>
      <c r="U16" s="74" t="s">
        <v>165</v>
      </c>
    </row>
    <row r="17" spans="3:21" x14ac:dyDescent="0.35">
      <c r="C17">
        <f>'Orig data'!B20</f>
        <v>1966</v>
      </c>
      <c r="D17" s="59">
        <f>'Orig data'!G20</f>
        <v>6693.7965896649594</v>
      </c>
      <c r="E17" s="5">
        <f>'Orig data'!H20</f>
        <v>360810</v>
      </c>
      <c r="F17" s="76">
        <f>'Orig data'!J20</f>
        <v>0.59597421810138684</v>
      </c>
      <c r="G17" s="78">
        <f t="shared" si="0"/>
        <v>654797.30000000005</v>
      </c>
      <c r="H17">
        <f t="shared" si="1"/>
        <v>1966</v>
      </c>
      <c r="I17">
        <f t="shared" si="4"/>
        <v>0.19355744513974732</v>
      </c>
      <c r="J17">
        <f t="shared" si="2"/>
        <v>0.13697678596910173</v>
      </c>
      <c r="K17">
        <f t="shared" si="3"/>
        <v>0.33053423110884905</v>
      </c>
      <c r="L17" s="76">
        <f t="shared" si="5"/>
        <v>-0.467057417445366</v>
      </c>
      <c r="N17" s="72">
        <v>1.3935658666556019</v>
      </c>
      <c r="O17" s="72">
        <v>0.1192037287564635</v>
      </c>
      <c r="P17" s="72">
        <v>11.690623113834764</v>
      </c>
      <c r="Q17" s="72">
        <v>1.5696473630837036E-17</v>
      </c>
      <c r="R17" s="72">
        <v>1.1554290428135716</v>
      </c>
      <c r="S17" s="72">
        <v>1.6317026904976322</v>
      </c>
      <c r="T17" s="72">
        <v>1.1554290428135716</v>
      </c>
      <c r="U17" s="72">
        <v>1.6317026904976322</v>
      </c>
    </row>
    <row r="18" spans="3:21" x14ac:dyDescent="0.35">
      <c r="C18">
        <f>'Orig data'!B21</f>
        <v>1967</v>
      </c>
      <c r="D18" s="59">
        <f>'Orig data'!G21</f>
        <v>6634.821204707031</v>
      </c>
      <c r="E18" s="5">
        <f>'Orig data'!H21</f>
        <v>213873</v>
      </c>
      <c r="F18" s="76">
        <f>'Orig data'!J21</f>
        <v>1.0021303070034921</v>
      </c>
      <c r="G18" s="78">
        <f t="shared" si="0"/>
        <v>582606.90000000014</v>
      </c>
      <c r="H18">
        <f t="shared" si="1"/>
        <v>1967</v>
      </c>
      <c r="I18">
        <f t="shared" si="4"/>
        <v>0.11473271656653967</v>
      </c>
      <c r="J18">
        <f t="shared" si="2"/>
        <v>0.13576995833778407</v>
      </c>
      <c r="K18">
        <f t="shared" si="3"/>
        <v>0.25050267490432376</v>
      </c>
      <c r="L18" s="76">
        <f t="shared" si="5"/>
        <v>-0.14093288474778598</v>
      </c>
      <c r="N18" s="72">
        <v>-2.0463242964477016E-5</v>
      </c>
      <c r="O18" s="72">
        <v>6.4953982649933996E-6</v>
      </c>
      <c r="P18" s="72">
        <v>-3.1504215953566028</v>
      </c>
      <c r="Q18" s="72">
        <v>2.4791056944314478E-3</v>
      </c>
      <c r="R18" s="72">
        <v>-3.343929269505804E-5</v>
      </c>
      <c r="S18" s="72">
        <v>-7.4871932338959927E-6</v>
      </c>
      <c r="T18" s="72">
        <v>-3.343929269505804E-5</v>
      </c>
      <c r="U18" s="72">
        <v>-7.4871932338959927E-6</v>
      </c>
    </row>
    <row r="19" spans="3:21" ht="15" thickBot="1" x14ac:dyDescent="0.4">
      <c r="C19">
        <f>'Orig data'!B22</f>
        <v>1968</v>
      </c>
      <c r="D19" s="59">
        <f>'Orig data'!G22</f>
        <v>6677.8906045999411</v>
      </c>
      <c r="E19" s="5">
        <f>'Orig data'!H22</f>
        <v>670328</v>
      </c>
      <c r="F19" s="76">
        <f>'Orig data'!J22</f>
        <v>0.47090986419258096</v>
      </c>
      <c r="G19" s="78">
        <f t="shared" si="0"/>
        <v>1073497.2</v>
      </c>
      <c r="H19">
        <f t="shared" si="1"/>
        <v>1968</v>
      </c>
      <c r="I19">
        <f t="shared" si="4"/>
        <v>0.35959916600326081</v>
      </c>
      <c r="J19">
        <f t="shared" si="2"/>
        <v>0.13665129793212691</v>
      </c>
      <c r="K19">
        <f t="shared" si="3"/>
        <v>0.49625046393538774</v>
      </c>
      <c r="L19" s="76">
        <f t="shared" si="5"/>
        <v>-0.4264055385276333</v>
      </c>
      <c r="N19" s="73">
        <v>-5.3645255159155045E-7</v>
      </c>
      <c r="O19" s="73">
        <v>7.9130139794527462E-8</v>
      </c>
      <c r="P19" s="73">
        <v>-6.7793707048227763</v>
      </c>
      <c r="Q19" s="73">
        <v>4.5301129360053244E-9</v>
      </c>
      <c r="R19" s="73">
        <v>-6.9453317840938272E-7</v>
      </c>
      <c r="S19" s="73">
        <v>-3.7837192477371818E-7</v>
      </c>
      <c r="T19" s="73">
        <v>-6.9453317840938272E-7</v>
      </c>
      <c r="U19" s="73">
        <v>-3.7837192477371818E-7</v>
      </c>
    </row>
    <row r="20" spans="3:21" x14ac:dyDescent="0.35">
      <c r="C20">
        <f>'Orig data'!B23</f>
        <v>1969</v>
      </c>
      <c r="D20" s="59">
        <f>'Orig data'!G23</f>
        <v>6755.3387066492078</v>
      </c>
      <c r="E20" s="5">
        <f>'Orig data'!H23</f>
        <v>309220</v>
      </c>
      <c r="F20" s="76">
        <f>'Orig data'!J23</f>
        <v>1.4964431006264538</v>
      </c>
      <c r="G20" s="78">
        <f t="shared" si="0"/>
        <v>1380907.4</v>
      </c>
      <c r="H20">
        <f t="shared" si="1"/>
        <v>1969</v>
      </c>
      <c r="I20">
        <f t="shared" si="4"/>
        <v>0.16588185800313923</v>
      </c>
      <c r="J20">
        <f t="shared" si="2"/>
        <v>0.13823613726149866</v>
      </c>
      <c r="K20">
        <f t="shared" si="3"/>
        <v>0.3041179952646379</v>
      </c>
      <c r="L20" s="76">
        <f t="shared" si="5"/>
        <v>0.4069952292354897</v>
      </c>
      <c r="P20" t="s">
        <v>170</v>
      </c>
    </row>
    <row r="21" spans="3:21" x14ac:dyDescent="0.35">
      <c r="C21">
        <f>'Orig data'!B24</f>
        <v>1970</v>
      </c>
      <c r="D21" s="59">
        <f>'Orig data'!G24</f>
        <v>6841.2164344214461</v>
      </c>
      <c r="E21" s="5">
        <f>'Orig data'!H24</f>
        <v>284250</v>
      </c>
      <c r="F21" s="76">
        <f>'Orig data'!J24</f>
        <v>1.186856492827211</v>
      </c>
      <c r="G21" s="78">
        <f t="shared" si="0"/>
        <v>931420.29999999993</v>
      </c>
      <c r="H21">
        <f t="shared" si="1"/>
        <v>1970</v>
      </c>
      <c r="I21">
        <f t="shared" si="4"/>
        <v>0.15248663778989821</v>
      </c>
      <c r="J21">
        <f t="shared" si="2"/>
        <v>0.13999347407013918</v>
      </c>
      <c r="K21">
        <f t="shared" si="3"/>
        <v>0.29248011186003742</v>
      </c>
      <c r="L21" s="76">
        <f t="shared" si="5"/>
        <v>8.5770738031646365E-2</v>
      </c>
      <c r="N21" s="70" t="s">
        <v>169</v>
      </c>
      <c r="O21" s="70">
        <f>-N18*D68</f>
        <v>0.84185633649765579</v>
      </c>
      <c r="P21">
        <f>-R18*D68</f>
        <v>1.3756900845190081</v>
      </c>
      <c r="Q21">
        <f>-S18*D68</f>
        <v>0.30802258847630348</v>
      </c>
    </row>
    <row r="22" spans="3:21" x14ac:dyDescent="0.35">
      <c r="C22">
        <f>'Orig data'!B25</f>
        <v>1971</v>
      </c>
      <c r="D22" s="59">
        <f>'Orig data'!G25</f>
        <v>6933.9203253009564</v>
      </c>
      <c r="E22" s="5">
        <f>'Orig data'!H25</f>
        <v>290125</v>
      </c>
      <c r="F22" s="76">
        <f>'Orig data'!J25</f>
        <v>0.73895438100233268</v>
      </c>
      <c r="G22" s="78">
        <f t="shared" si="0"/>
        <v>607447.80000000005</v>
      </c>
      <c r="H22">
        <f t="shared" si="1"/>
        <v>1971</v>
      </c>
      <c r="I22">
        <f t="shared" si="4"/>
        <v>0.15563829653049857</v>
      </c>
      <c r="J22">
        <f t="shared" si="2"/>
        <v>0.14189049631295897</v>
      </c>
      <c r="K22">
        <f t="shared" si="3"/>
        <v>0.29752879284345757</v>
      </c>
      <c r="L22" s="76">
        <f t="shared" si="5"/>
        <v>-0.35708269280981164</v>
      </c>
      <c r="N22" t="s">
        <v>166</v>
      </c>
      <c r="O22">
        <f>-N19*O24</f>
        <v>1.3935658666556019</v>
      </c>
      <c r="P22">
        <f>-R19*P24</f>
        <v>1.1554290428135716</v>
      </c>
      <c r="Q22">
        <f>-S19*Q24</f>
        <v>1.6317026904976322</v>
      </c>
      <c r="R22" s="70" t="s">
        <v>183</v>
      </c>
      <c r="S22" s="70"/>
    </row>
    <row r="23" spans="3:21" x14ac:dyDescent="0.35">
      <c r="C23">
        <f>'Orig data'!B26</f>
        <v>1972</v>
      </c>
      <c r="D23" s="59">
        <f>'Orig data'!G26</f>
        <v>7033.9929705273489</v>
      </c>
      <c r="E23" s="5">
        <f>'Orig data'!H26</f>
        <v>423290</v>
      </c>
      <c r="F23" s="76">
        <f>'Orig data'!J26</f>
        <v>0.66166928863972707</v>
      </c>
      <c r="G23" s="78">
        <f t="shared" si="0"/>
        <v>820346.49999999988</v>
      </c>
      <c r="H23">
        <f t="shared" si="1"/>
        <v>1972</v>
      </c>
      <c r="I23">
        <f t="shared" si="4"/>
        <v>0.22707500056318738</v>
      </c>
      <c r="J23">
        <f t="shared" si="2"/>
        <v>0.14393830716632455</v>
      </c>
      <c r="K23">
        <f t="shared" si="3"/>
        <v>0.37101330772951191</v>
      </c>
      <c r="L23" s="76">
        <f t="shared" si="5"/>
        <v>-0.36088327028636291</v>
      </c>
      <c r="R23" s="70" t="s">
        <v>184</v>
      </c>
      <c r="S23" s="70"/>
    </row>
    <row r="24" spans="3:21" x14ac:dyDescent="0.35">
      <c r="C24">
        <f>'Orig data'!B27</f>
        <v>1973</v>
      </c>
      <c r="D24" s="59">
        <f>'Orig data'!G27</f>
        <v>7142.0200902911065</v>
      </c>
      <c r="E24" s="5">
        <f>'Orig data'!H27</f>
        <v>267080</v>
      </c>
      <c r="F24" s="76">
        <f>'Orig data'!J27</f>
        <v>1.1613994502395246</v>
      </c>
      <c r="G24" s="78">
        <f t="shared" si="0"/>
        <v>853160.5</v>
      </c>
      <c r="H24">
        <f t="shared" si="1"/>
        <v>1973</v>
      </c>
      <c r="I24">
        <f t="shared" si="4"/>
        <v>0.14327574747907129</v>
      </c>
      <c r="J24">
        <f t="shared" si="2"/>
        <v>0.146148892364803</v>
      </c>
      <c r="K24">
        <f t="shared" si="3"/>
        <v>0.28942463984387429</v>
      </c>
      <c r="L24" s="76">
        <f t="shared" si="5"/>
        <v>5.7258223427796962E-2</v>
      </c>
      <c r="N24" t="s">
        <v>171</v>
      </c>
      <c r="O24">
        <f>-N17/N19</f>
        <v>2597743.0110475994</v>
      </c>
      <c r="P24">
        <f>-R17/R19</f>
        <v>1663605.2513138838</v>
      </c>
      <c r="Q24">
        <f>-S17/S19</f>
        <v>4312430.6632249653</v>
      </c>
      <c r="R24" s="70" t="s">
        <v>185</v>
      </c>
      <c r="S24" s="70">
        <f>AVERAGE(J63:J68)</f>
        <v>0.79365410365953915</v>
      </c>
    </row>
    <row r="25" spans="3:21" x14ac:dyDescent="0.35">
      <c r="C25">
        <f>'Orig data'!B28</f>
        <v>1974</v>
      </c>
      <c r="D25" s="59">
        <f>'Orig data'!G28</f>
        <v>7258.6339619245909</v>
      </c>
      <c r="E25" s="5">
        <f>'Orig data'!H28</f>
        <v>350315</v>
      </c>
      <c r="F25" s="76">
        <f>'Orig data'!J28</f>
        <v>1.006816168623766</v>
      </c>
      <c r="G25" s="78">
        <f t="shared" si="0"/>
        <v>958767.79999999993</v>
      </c>
      <c r="H25">
        <f t="shared" si="1"/>
        <v>1974</v>
      </c>
      <c r="I25">
        <f t="shared" si="4"/>
        <v>0.18792737561079401</v>
      </c>
      <c r="J25">
        <f t="shared" si="2"/>
        <v>0.14853519035306731</v>
      </c>
      <c r="K25">
        <f t="shared" si="3"/>
        <v>0.33646256596386132</v>
      </c>
      <c r="L25" s="76">
        <f t="shared" si="5"/>
        <v>-5.0287132067974527E-2</v>
      </c>
      <c r="R25" s="70" t="s">
        <v>186</v>
      </c>
      <c r="S25" s="70">
        <v>2</v>
      </c>
    </row>
    <row r="26" spans="3:21" x14ac:dyDescent="0.35">
      <c r="C26">
        <f>'Orig data'!B29</f>
        <v>1975</v>
      </c>
      <c r="D26" s="59">
        <f>'Orig data'!G29</f>
        <v>7384.5171205896513</v>
      </c>
      <c r="E26" s="5">
        <f>'Orig data'!H29</f>
        <v>191420</v>
      </c>
      <c r="F26" s="76">
        <f>'Orig data'!J29</f>
        <v>1.1940101664280678</v>
      </c>
      <c r="G26" s="78">
        <f t="shared" si="0"/>
        <v>631741.4</v>
      </c>
      <c r="H26">
        <f t="shared" si="1"/>
        <v>1975</v>
      </c>
      <c r="I26">
        <f t="shared" si="4"/>
        <v>0.10268774742565459</v>
      </c>
      <c r="J26">
        <f t="shared" si="2"/>
        <v>0.15111116801396626</v>
      </c>
      <c r="K26">
        <f t="shared" si="3"/>
        <v>0.25379891543962085</v>
      </c>
      <c r="L26" s="76">
        <f t="shared" si="5"/>
        <v>5.4243215212086859E-2</v>
      </c>
      <c r="R26" s="70" t="s">
        <v>187</v>
      </c>
      <c r="S26" s="70">
        <f>AVERAGE(G63:G68)*S24/S25*(1-EXP(-S25))</f>
        <v>361864.79044341389</v>
      </c>
      <c r="T26">
        <f>S24/S25*(1-EXP(-S25))</f>
        <v>0.34312235037443772</v>
      </c>
      <c r="U26" t="s">
        <v>195</v>
      </c>
    </row>
    <row r="27" spans="3:21" x14ac:dyDescent="0.35">
      <c r="C27">
        <f>'Orig data'!B30</f>
        <v>1976</v>
      </c>
      <c r="D27" s="59">
        <f>'Orig data'!G30</f>
        <v>7520.4063541218184</v>
      </c>
      <c r="E27" s="5">
        <f>'Orig data'!H30</f>
        <v>340517</v>
      </c>
      <c r="F27" s="76">
        <f>'Orig data'!J30</f>
        <v>0.70369944318807409</v>
      </c>
      <c r="G27" s="78">
        <f t="shared" si="0"/>
        <v>688258.49999999988</v>
      </c>
      <c r="H27">
        <f t="shared" si="1"/>
        <v>1976</v>
      </c>
      <c r="I27">
        <f t="shared" si="4"/>
        <v>0.1826712135103</v>
      </c>
      <c r="J27">
        <f t="shared" si="2"/>
        <v>0.15389190241599154</v>
      </c>
      <c r="K27">
        <f t="shared" si="3"/>
        <v>0.33656311592629151</v>
      </c>
      <c r="L27" s="76">
        <f t="shared" si="5"/>
        <v>-0.3533033075412364</v>
      </c>
      <c r="R27" s="70" t="s">
        <v>188</v>
      </c>
      <c r="S27" s="70">
        <f>S26/D68</f>
        <v>8.795951050198882</v>
      </c>
      <c r="T27" t="s">
        <v>196</v>
      </c>
    </row>
    <row r="28" spans="3:21" x14ac:dyDescent="0.35">
      <c r="C28">
        <f>'Orig data'!B31</f>
        <v>1977</v>
      </c>
      <c r="D28" s="59">
        <f>'Orig data'!G31</f>
        <v>7667.0970154126744</v>
      </c>
      <c r="E28" s="5">
        <f>'Orig data'!H31</f>
        <v>599341</v>
      </c>
      <c r="F28" s="76">
        <f>'Orig data'!J31</f>
        <v>7.3992457663711819E-2</v>
      </c>
      <c r="G28" s="78">
        <f t="shared" si="0"/>
        <v>645369.59999999998</v>
      </c>
      <c r="H28">
        <f t="shared" si="1"/>
        <v>1977</v>
      </c>
      <c r="I28">
        <f t="shared" si="4"/>
        <v>0.32151800872343145</v>
      </c>
      <c r="J28">
        <f t="shared" si="2"/>
        <v>0.15689366905860613</v>
      </c>
      <c r="K28">
        <f t="shared" si="3"/>
        <v>0.47841167778203758</v>
      </c>
      <c r="L28" s="76">
        <f t="shared" si="5"/>
        <v>-0.84116173120985227</v>
      </c>
      <c r="S28" s="79"/>
    </row>
    <row r="29" spans="3:21" x14ac:dyDescent="0.35">
      <c r="C29">
        <f>'Orig data'!B32</f>
        <v>1978</v>
      </c>
      <c r="D29" s="59">
        <f>'Orig data'!G32</f>
        <v>7825.4476775705843</v>
      </c>
      <c r="E29" s="5">
        <f>'Orig data'!H32</f>
        <v>358990</v>
      </c>
      <c r="F29" s="76">
        <f>'Orig data'!J32</f>
        <v>0.56480024177586741</v>
      </c>
      <c r="G29" s="78">
        <f t="shared" si="0"/>
        <v>631497.99999999988</v>
      </c>
      <c r="H29">
        <f t="shared" si="1"/>
        <v>1978</v>
      </c>
      <c r="I29">
        <f t="shared" si="4"/>
        <v>0.1925811014958507</v>
      </c>
      <c r="J29">
        <f t="shared" si="2"/>
        <v>0.16013403713192925</v>
      </c>
      <c r="K29">
        <f t="shared" si="3"/>
        <v>0.35271513862777992</v>
      </c>
      <c r="L29" s="76">
        <f t="shared" si="5"/>
        <v>-0.47605048625195445</v>
      </c>
      <c r="R29" s="70" t="s">
        <v>194</v>
      </c>
      <c r="S29" s="70"/>
      <c r="T29" s="70"/>
    </row>
    <row r="30" spans="3:21" x14ac:dyDescent="0.35">
      <c r="C30">
        <f>'Orig data'!B33</f>
        <v>1979</v>
      </c>
      <c r="D30" s="59">
        <f>'Orig data'!G33</f>
        <v>7996.3851591061639</v>
      </c>
      <c r="E30" s="5">
        <f>'Orig data'!H33</f>
        <v>255634</v>
      </c>
      <c r="F30" s="76">
        <f>'Orig data'!J33</f>
        <v>0.78516136356418187</v>
      </c>
      <c r="G30" s="78">
        <f t="shared" si="0"/>
        <v>560544.19999999995</v>
      </c>
      <c r="H30">
        <f t="shared" si="1"/>
        <v>1979</v>
      </c>
      <c r="I30">
        <f t="shared" si="4"/>
        <v>0.13713551157355441</v>
      </c>
      <c r="J30">
        <f t="shared" si="2"/>
        <v>0.16363197234832763</v>
      </c>
      <c r="K30">
        <f t="shared" si="3"/>
        <v>0.30076748392188202</v>
      </c>
      <c r="L30" s="76">
        <f t="shared" si="5"/>
        <v>-0.3076370191695379</v>
      </c>
      <c r="R30" s="70" t="s">
        <v>189</v>
      </c>
      <c r="S30" s="70">
        <f>S27/0.06/3</f>
        <v>48.866394723327126</v>
      </c>
      <c r="T30" s="70" t="s">
        <v>190</v>
      </c>
    </row>
    <row r="31" spans="3:21" x14ac:dyDescent="0.35">
      <c r="C31">
        <f>'Orig data'!B34</f>
        <v>1980</v>
      </c>
      <c r="D31" s="59">
        <f>'Orig data'!G34</f>
        <v>8180.9099485547176</v>
      </c>
      <c r="E31" s="5">
        <f>'Orig data'!H34</f>
        <v>314011</v>
      </c>
      <c r="F31" s="76">
        <f>'Orig data'!J34</f>
        <v>0.79104843781738288</v>
      </c>
      <c r="G31" s="78">
        <f t="shared" si="0"/>
        <v>692616.49999999988</v>
      </c>
      <c r="H31">
        <f t="shared" si="1"/>
        <v>1980</v>
      </c>
      <c r="I31">
        <f t="shared" si="4"/>
        <v>0.16845200217781434</v>
      </c>
      <c r="J31">
        <f t="shared" si="2"/>
        <v>0.16740794794778235</v>
      </c>
      <c r="K31">
        <f t="shared" si="3"/>
        <v>0.33585995012559666</v>
      </c>
      <c r="L31" s="76">
        <f t="shared" si="5"/>
        <v>-0.26665747871262224</v>
      </c>
      <c r="R31" s="70" t="s">
        <v>87</v>
      </c>
      <c r="S31" s="70">
        <v>5</v>
      </c>
      <c r="T31" s="70" t="s">
        <v>191</v>
      </c>
    </row>
    <row r="32" spans="3:21" x14ac:dyDescent="0.35">
      <c r="C32">
        <f>'Orig data'!B35</f>
        <v>1981</v>
      </c>
      <c r="D32" s="59">
        <f>'Orig data'!G35</f>
        <v>8380.1020602856097</v>
      </c>
      <c r="E32" s="5">
        <f>'Orig data'!H35</f>
        <v>436996</v>
      </c>
      <c r="F32" s="76">
        <f>'Orig data'!J35</f>
        <v>1.1961855806937127</v>
      </c>
      <c r="G32" s="78">
        <f t="shared" si="0"/>
        <v>1445354.0999999996</v>
      </c>
      <c r="H32">
        <f t="shared" si="1"/>
        <v>1981</v>
      </c>
      <c r="I32">
        <f t="shared" ref="I32:I68" si="6">-N$19*E32</f>
        <v>0.23442761923530117</v>
      </c>
      <c r="J32">
        <f t="shared" ref="J32:J68" si="7">-N$18*D32</f>
        <v>0.17148406452673884</v>
      </c>
      <c r="K32">
        <f t="shared" ref="K32:K68" si="8">I32+J32</f>
        <v>0.40591168376204001</v>
      </c>
      <c r="L32" s="76">
        <f t="shared" ref="L32:L68" si="9">F32-(N$17-J32-I32)</f>
        <v>0.20853139780015084</v>
      </c>
      <c r="R32" s="70" t="s">
        <v>192</v>
      </c>
      <c r="S32" s="70">
        <f>365*17</f>
        <v>6205</v>
      </c>
      <c r="T32" s="70" t="s">
        <v>191</v>
      </c>
    </row>
    <row r="33" spans="3:21" x14ac:dyDescent="0.35">
      <c r="C33">
        <f>'Orig data'!B36</f>
        <v>1982</v>
      </c>
      <c r="D33" s="59">
        <f>'Orig data'!G36</f>
        <v>8595.1273557723962</v>
      </c>
      <c r="E33" s="5">
        <f>'Orig data'!H36</f>
        <v>326439</v>
      </c>
      <c r="F33" s="76">
        <f>'Orig data'!J36</f>
        <v>1.5566966003935794</v>
      </c>
      <c r="G33" s="78">
        <f t="shared" si="0"/>
        <v>1548341.6</v>
      </c>
      <c r="H33">
        <f t="shared" si="1"/>
        <v>1982</v>
      </c>
      <c r="I33">
        <f t="shared" si="6"/>
        <v>0.17511903448899413</v>
      </c>
      <c r="J33">
        <f t="shared" si="7"/>
        <v>0.17588417939179343</v>
      </c>
      <c r="K33">
        <f t="shared" si="8"/>
        <v>0.35100321388078759</v>
      </c>
      <c r="L33" s="76">
        <f t="shared" si="9"/>
        <v>0.51413394761876496</v>
      </c>
      <c r="O33" t="s">
        <v>173</v>
      </c>
      <c r="R33" s="70" t="s">
        <v>193</v>
      </c>
      <c r="S33" s="80">
        <f>S30*S31/S32</f>
        <v>3.9376627496637492E-2</v>
      </c>
      <c r="T33" s="70" t="s">
        <v>197</v>
      </c>
    </row>
    <row r="34" spans="3:21" x14ac:dyDescent="0.35">
      <c r="C34">
        <f>'Orig data'!B37</f>
        <v>1983</v>
      </c>
      <c r="D34" s="59">
        <f>'Orig data'!G37</f>
        <v>8827.2443673217513</v>
      </c>
      <c r="E34" s="5">
        <f>'Orig data'!H37</f>
        <v>371770</v>
      </c>
      <c r="F34" s="76">
        <f>'Orig data'!J37</f>
        <v>0.84609104884449615</v>
      </c>
      <c r="G34" s="78">
        <f t="shared" si="0"/>
        <v>866417.1</v>
      </c>
      <c r="H34">
        <f t="shared" si="1"/>
        <v>1983</v>
      </c>
      <c r="I34">
        <f t="shared" si="6"/>
        <v>0.19943696510519071</v>
      </c>
      <c r="J34">
        <f t="shared" si="7"/>
        <v>0.1806340461953162</v>
      </c>
      <c r="K34">
        <f t="shared" si="8"/>
        <v>0.38007101130050691</v>
      </c>
      <c r="L34" s="76">
        <f t="shared" si="9"/>
        <v>-0.16740380651059872</v>
      </c>
      <c r="O34" t="s">
        <v>172</v>
      </c>
      <c r="P34" t="s">
        <v>174</v>
      </c>
    </row>
    <row r="35" spans="3:21" x14ac:dyDescent="0.35">
      <c r="C35">
        <f>'Orig data'!B38</f>
        <v>1984</v>
      </c>
      <c r="D35" s="59">
        <f>'Orig data'!G38</f>
        <v>9077.8116642001532</v>
      </c>
      <c r="E35" s="5">
        <f>'Orig data'!H38</f>
        <v>541478</v>
      </c>
      <c r="F35" s="76">
        <f>'Orig data'!J38</f>
        <v>0.47975629213268117</v>
      </c>
      <c r="G35" s="78">
        <f t="shared" si="0"/>
        <v>874855.49999999988</v>
      </c>
      <c r="H35">
        <f t="shared" si="1"/>
        <v>1984</v>
      </c>
      <c r="I35">
        <f t="shared" si="6"/>
        <v>0.29047725473068958</v>
      </c>
      <c r="J35">
        <f t="shared" si="7"/>
        <v>0.18576146567029117</v>
      </c>
      <c r="K35">
        <f t="shared" si="8"/>
        <v>0.47623872040098075</v>
      </c>
      <c r="L35" s="76">
        <f t="shared" si="9"/>
        <v>-0.43757085412193991</v>
      </c>
      <c r="O35">
        <v>0.51358296864290698</v>
      </c>
      <c r="P35">
        <v>121616</v>
      </c>
    </row>
    <row r="36" spans="3:21" x14ac:dyDescent="0.35">
      <c r="C36">
        <f>'Orig data'!B39</f>
        <v>1985</v>
      </c>
      <c r="D36" s="59">
        <f>'Orig data'!G39</f>
        <v>9348.2958042718892</v>
      </c>
      <c r="E36" s="5">
        <f>'Orig data'!H39</f>
        <v>1383808</v>
      </c>
      <c r="F36" s="76">
        <f>'Orig data'!J39</f>
        <v>-0.20544103293288771</v>
      </c>
      <c r="G36" s="78">
        <f t="shared" si="0"/>
        <v>1126818.3999999999</v>
      </c>
      <c r="H36">
        <f t="shared" si="1"/>
        <v>1985</v>
      </c>
      <c r="I36">
        <f t="shared" si="6"/>
        <v>0.74234733251280027</v>
      </c>
      <c r="J36">
        <f t="shared" si="7"/>
        <v>0.19129644834661674</v>
      </c>
      <c r="K36">
        <f t="shared" si="8"/>
        <v>0.93364378085941702</v>
      </c>
      <c r="L36" s="76">
        <f t="shared" si="9"/>
        <v>-0.6653631187290725</v>
      </c>
      <c r="O36">
        <v>-0.78412903611477358</v>
      </c>
      <c r="P36">
        <v>174839</v>
      </c>
    </row>
    <row r="37" spans="3:21" x14ac:dyDescent="0.35">
      <c r="C37">
        <f>'Orig data'!B40</f>
        <v>1986</v>
      </c>
      <c r="D37" s="59">
        <f>'Orig data'!G40</f>
        <v>9640.2799176889421</v>
      </c>
      <c r="E37" s="5">
        <f>'Orig data'!H40</f>
        <v>997327</v>
      </c>
      <c r="F37" s="76">
        <f>'Orig data'!J40</f>
        <v>0.36087270519729242</v>
      </c>
      <c r="G37" s="78">
        <f t="shared" si="0"/>
        <v>1430746.2</v>
      </c>
      <c r="H37">
        <f t="shared" si="1"/>
        <v>1986</v>
      </c>
      <c r="I37">
        <f t="shared" si="6"/>
        <v>0.53501861392114625</v>
      </c>
      <c r="J37">
        <f t="shared" si="7"/>
        <v>0.1972713902012373</v>
      </c>
      <c r="K37">
        <f t="shared" si="8"/>
        <v>0.73229000412238354</v>
      </c>
      <c r="L37" s="76">
        <f t="shared" si="9"/>
        <v>-0.30040315733592593</v>
      </c>
      <c r="O37">
        <v>1.4488043392771719</v>
      </c>
      <c r="P37">
        <v>162774</v>
      </c>
    </row>
    <row r="38" spans="3:21" x14ac:dyDescent="0.35">
      <c r="C38">
        <f>'Orig data'!B41</f>
        <v>1987</v>
      </c>
      <c r="D38" s="59">
        <f>'Orig data'!G41</f>
        <v>9955.4729728726197</v>
      </c>
      <c r="E38" s="5">
        <f>'Orig data'!H41</f>
        <v>363671</v>
      </c>
      <c r="F38" s="76">
        <f>'Orig data'!J41</f>
        <v>1.4213204341551198</v>
      </c>
      <c r="G38" s="78">
        <f t="shared" si="0"/>
        <v>1506538.6999999997</v>
      </c>
      <c r="H38">
        <f t="shared" si="1"/>
        <v>1987</v>
      </c>
      <c r="I38">
        <f t="shared" si="6"/>
        <v>0.19509223588985075</v>
      </c>
      <c r="J38">
        <f t="shared" si="7"/>
        <v>0.2037212622701767</v>
      </c>
      <c r="K38">
        <f t="shared" si="8"/>
        <v>0.39881349816002742</v>
      </c>
      <c r="L38" s="76">
        <f t="shared" si="9"/>
        <v>0.42656806565954541</v>
      </c>
      <c r="O38">
        <v>1.0208269312611349</v>
      </c>
      <c r="P38">
        <v>79711</v>
      </c>
    </row>
    <row r="39" spans="3:21" x14ac:dyDescent="0.35">
      <c r="C39">
        <f>'Orig data'!B42</f>
        <v>1988</v>
      </c>
      <c r="D39" s="59">
        <f>'Orig data'!G42</f>
        <v>10295.71977902033</v>
      </c>
      <c r="E39" s="5">
        <f>'Orig data'!H42</f>
        <v>528467</v>
      </c>
      <c r="F39" s="76">
        <f>'Orig data'!J42</f>
        <v>1.0547388588728643</v>
      </c>
      <c r="G39" s="78">
        <f t="shared" si="0"/>
        <v>1517347.8</v>
      </c>
      <c r="H39">
        <f t="shared" si="1"/>
        <v>1988</v>
      </c>
      <c r="I39">
        <f t="shared" si="6"/>
        <v>0.28349747058193187</v>
      </c>
      <c r="J39">
        <f t="shared" si="7"/>
        <v>0.21068381533226463</v>
      </c>
      <c r="K39">
        <f t="shared" si="8"/>
        <v>0.49418128591419652</v>
      </c>
      <c r="L39" s="76">
        <f t="shared" si="9"/>
        <v>0.15535427813145886</v>
      </c>
      <c r="O39">
        <v>2.551997335775019</v>
      </c>
      <c r="P39">
        <v>35262</v>
      </c>
    </row>
    <row r="40" spans="3:21" x14ac:dyDescent="0.35">
      <c r="C40">
        <f>'Orig data'!B43</f>
        <v>1989</v>
      </c>
      <c r="D40" s="59">
        <f>'Orig data'!G43</f>
        <v>10663.011783681579</v>
      </c>
      <c r="E40" s="5">
        <f>'Orig data'!H43</f>
        <v>739647</v>
      </c>
      <c r="F40" s="76">
        <f>'Orig data'!J43</f>
        <v>0.76042506219402317</v>
      </c>
      <c r="G40" s="78">
        <f t="shared" si="0"/>
        <v>1582242.0000000002</v>
      </c>
      <c r="H40">
        <f t="shared" si="1"/>
        <v>1989</v>
      </c>
      <c r="I40">
        <f t="shared" si="6"/>
        <v>0.39678552042703552</v>
      </c>
      <c r="J40">
        <f t="shared" si="7"/>
        <v>0.21819980086255758</v>
      </c>
      <c r="K40">
        <f t="shared" si="8"/>
        <v>0.61498532128959305</v>
      </c>
      <c r="L40" s="76">
        <f t="shared" si="9"/>
        <v>-1.8155483171985565E-2</v>
      </c>
      <c r="O40">
        <v>1.6265740345345301</v>
      </c>
      <c r="P40">
        <v>75782</v>
      </c>
    </row>
    <row r="41" spans="3:21" x14ac:dyDescent="0.35">
      <c r="C41">
        <f>'Orig data'!B44</f>
        <v>1990</v>
      </c>
      <c r="D41" s="59">
        <f>'Orig data'!G44</f>
        <v>11059.498728600949</v>
      </c>
      <c r="E41" s="5">
        <f>'Orig data'!H44</f>
        <v>861972</v>
      </c>
      <c r="F41" s="76">
        <f>'Orig data'!J44</f>
        <v>0.84398491289388511</v>
      </c>
      <c r="G41" s="78">
        <f t="shared" si="0"/>
        <v>2004615.8000000003</v>
      </c>
      <c r="H41">
        <f t="shared" si="1"/>
        <v>1990</v>
      </c>
      <c r="I41">
        <f t="shared" si="6"/>
        <v>0.46240707880047194</v>
      </c>
      <c r="J41">
        <f t="shared" si="7"/>
        <v>0.22631320954868586</v>
      </c>
      <c r="K41">
        <f t="shared" si="8"/>
        <v>0.68872028834915777</v>
      </c>
      <c r="L41" s="76">
        <f t="shared" si="9"/>
        <v>0.1391393345874411</v>
      </c>
      <c r="O41">
        <v>1.1739809471065379</v>
      </c>
      <c r="P41">
        <v>178173</v>
      </c>
      <c r="S41" s="81"/>
    </row>
    <row r="42" spans="3:21" x14ac:dyDescent="0.35">
      <c r="C42">
        <f>'Orig data'!B45</f>
        <v>1991</v>
      </c>
      <c r="D42" s="59">
        <f>'Orig data'!G45</f>
        <v>11487.501232049079</v>
      </c>
      <c r="E42" s="5">
        <f>'Orig data'!H45</f>
        <v>1106348</v>
      </c>
      <c r="F42" s="76">
        <f>'Orig data'!J45</f>
        <v>0.55131031643518247</v>
      </c>
      <c r="G42" s="78">
        <f t="shared" si="0"/>
        <v>1920095.2946191225</v>
      </c>
      <c r="H42">
        <f t="shared" si="1"/>
        <v>1991</v>
      </c>
      <c r="I42">
        <f t="shared" si="6"/>
        <v>0.59350320754820862</v>
      </c>
      <c r="J42">
        <f t="shared" si="7"/>
        <v>0.23507152876614937</v>
      </c>
      <c r="K42">
        <f t="shared" si="8"/>
        <v>0.82857473631435796</v>
      </c>
      <c r="L42" s="76">
        <f t="shared" si="9"/>
        <v>-1.3680813906061462E-2</v>
      </c>
      <c r="O42">
        <v>-0.14584017486814516</v>
      </c>
      <c r="P42">
        <v>91810</v>
      </c>
    </row>
    <row r="43" spans="3:21" x14ac:dyDescent="0.35">
      <c r="C43">
        <f>'Orig data'!B46</f>
        <v>1992</v>
      </c>
      <c r="D43" s="59">
        <f>'Orig data'!G46</f>
        <v>11949.524371285395</v>
      </c>
      <c r="E43" s="5">
        <f>'Orig data'!H46</f>
        <v>1035859</v>
      </c>
      <c r="F43" s="76">
        <f>'Orig data'!J46</f>
        <v>0.31246929451189542</v>
      </c>
      <c r="G43" s="78">
        <f t="shared" si="0"/>
        <v>1415807.9091659964</v>
      </c>
      <c r="H43">
        <f t="shared" si="1"/>
        <v>1992</v>
      </c>
      <c r="I43">
        <f t="shared" si="6"/>
        <v>0.55568920363907182</v>
      </c>
      <c r="J43">
        <f t="shared" si="7"/>
        <v>0.24452602051955249</v>
      </c>
      <c r="K43">
        <f t="shared" si="8"/>
        <v>0.80021522415862434</v>
      </c>
      <c r="L43" s="76">
        <f t="shared" si="9"/>
        <v>-0.28088134798508213</v>
      </c>
      <c r="O43">
        <v>-0.82836923463564427</v>
      </c>
      <c r="P43">
        <v>131928</v>
      </c>
    </row>
    <row r="44" spans="3:21" x14ac:dyDescent="0.35">
      <c r="C44">
        <f>'Orig data'!B47</f>
        <v>1993</v>
      </c>
      <c r="D44" s="59">
        <f>'Orig data'!G47</f>
        <v>12448.272344650122</v>
      </c>
      <c r="E44" s="5">
        <f>'Orig data'!H47</f>
        <v>985479</v>
      </c>
      <c r="F44" s="76">
        <f>'Orig data'!J47</f>
        <v>0.39440543013072316</v>
      </c>
      <c r="G44" s="78">
        <f t="shared" si="0"/>
        <v>1461959.9522844465</v>
      </c>
      <c r="H44">
        <f t="shared" si="1"/>
        <v>1993</v>
      </c>
      <c r="I44">
        <f t="shared" si="6"/>
        <v>0.52866272408988957</v>
      </c>
      <c r="J44">
        <f t="shared" si="7"/>
        <v>0.25473202147655544</v>
      </c>
      <c r="K44">
        <f t="shared" si="8"/>
        <v>0.78339474556644495</v>
      </c>
      <c r="L44" s="76">
        <f t="shared" si="9"/>
        <v>-0.21576569095843379</v>
      </c>
      <c r="O44">
        <v>-0.33494283699094279</v>
      </c>
      <c r="P44">
        <v>120086</v>
      </c>
      <c r="U44" s="70"/>
    </row>
    <row r="45" spans="3:21" x14ac:dyDescent="0.35">
      <c r="C45">
        <f>'Orig data'!B48</f>
        <v>1994</v>
      </c>
      <c r="D45" s="59">
        <f>'Orig data'!G48</f>
        <v>12986.664299101971</v>
      </c>
      <c r="E45" s="5">
        <f>'Orig data'!H48</f>
        <v>1666079</v>
      </c>
      <c r="F45" s="76">
        <f>'Orig data'!J48</f>
        <v>0.61782930909398082</v>
      </c>
      <c r="G45" s="78">
        <f t="shared" si="0"/>
        <v>3090405.3720841995</v>
      </c>
      <c r="H45">
        <f t="shared" si="1"/>
        <v>1994</v>
      </c>
      <c r="I45">
        <f t="shared" si="6"/>
        <v>0.89377233070309881</v>
      </c>
      <c r="J45">
        <f t="shared" si="7"/>
        <v>0.26574926685062322</v>
      </c>
      <c r="K45">
        <f t="shared" si="8"/>
        <v>1.1595215975537221</v>
      </c>
      <c r="L45" s="76">
        <f t="shared" si="9"/>
        <v>0.3837850399921009</v>
      </c>
      <c r="O45">
        <v>1.330630072928602</v>
      </c>
      <c r="P45">
        <v>99315</v>
      </c>
      <c r="U45" s="70"/>
    </row>
    <row r="46" spans="3:21" x14ac:dyDescent="0.35">
      <c r="C46">
        <f>'Orig data'!B49</f>
        <v>1995</v>
      </c>
      <c r="D46" s="59">
        <f>'Orig data'!G49</f>
        <v>13567.851415839403</v>
      </c>
      <c r="E46" s="5">
        <f>'Orig data'!H49</f>
        <v>1628542</v>
      </c>
      <c r="F46" s="76">
        <f>'Orig data'!J49</f>
        <v>0.66074625557688782</v>
      </c>
      <c r="G46" s="78">
        <f t="shared" si="0"/>
        <v>3153242.8250972875</v>
      </c>
      <c r="H46">
        <f t="shared" si="1"/>
        <v>1995</v>
      </c>
      <c r="I46">
        <f t="shared" si="6"/>
        <v>0.87363551127400674</v>
      </c>
      <c r="J46">
        <f t="shared" si="7"/>
        <v>0.27764224002824517</v>
      </c>
      <c r="K46">
        <f t="shared" si="8"/>
        <v>1.1512777513022519</v>
      </c>
      <c r="L46" s="76">
        <f t="shared" si="9"/>
        <v>0.41845814022353789</v>
      </c>
      <c r="O46">
        <v>1.0524857505823424</v>
      </c>
      <c r="P46">
        <v>28757</v>
      </c>
      <c r="U46" s="70"/>
    </row>
    <row r="47" spans="3:21" x14ac:dyDescent="0.35">
      <c r="C47">
        <f>'Orig data'!B50</f>
        <v>1996</v>
      </c>
      <c r="D47" s="59">
        <f>'Orig data'!G50</f>
        <v>14195.235354006662</v>
      </c>
      <c r="E47" s="5">
        <f>'Orig data'!H50</f>
        <v>1186180</v>
      </c>
      <c r="F47" s="76">
        <f>'Orig data'!J50</f>
        <v>0.39316069207370369</v>
      </c>
      <c r="G47" s="78">
        <f t="shared" si="0"/>
        <v>1757511.260493631</v>
      </c>
      <c r="H47">
        <f t="shared" si="1"/>
        <v>1996</v>
      </c>
      <c r="I47">
        <f t="shared" si="6"/>
        <v>0.63632928764686536</v>
      </c>
      <c r="J47">
        <f t="shared" si="7"/>
        <v>0.2904805499869722</v>
      </c>
      <c r="K47">
        <f t="shared" si="8"/>
        <v>0.92680983763383762</v>
      </c>
      <c r="L47" s="76">
        <f t="shared" si="9"/>
        <v>-7.3595336948060586E-2</v>
      </c>
      <c r="O47">
        <v>1.7873473568138736</v>
      </c>
      <c r="P47">
        <v>41114</v>
      </c>
      <c r="U47" s="70"/>
    </row>
    <row r="48" spans="3:21" x14ac:dyDescent="0.35">
      <c r="C48">
        <f>'Orig data'!B51</f>
        <v>1997</v>
      </c>
      <c r="D48" s="59">
        <f>'Orig data'!G51</f>
        <v>14872.488160434723</v>
      </c>
      <c r="E48" s="5">
        <f>'Orig data'!H51</f>
        <v>1045815</v>
      </c>
      <c r="F48" s="76">
        <f>'Orig data'!J51</f>
        <v>0.89411171124051547</v>
      </c>
      <c r="G48" s="78">
        <f t="shared" si="0"/>
        <v>2557187.9481640672</v>
      </c>
      <c r="H48">
        <f t="shared" si="1"/>
        <v>1997</v>
      </c>
      <c r="I48">
        <f t="shared" si="6"/>
        <v>0.56103012524271734</v>
      </c>
      <c r="J48">
        <f t="shared" si="7"/>
        <v>0.30433933871328356</v>
      </c>
      <c r="K48">
        <f t="shared" si="8"/>
        <v>0.86536946395600089</v>
      </c>
      <c r="L48" s="76">
        <f t="shared" si="9"/>
        <v>0.36591530854091447</v>
      </c>
      <c r="O48">
        <v>0.70384093885931664</v>
      </c>
      <c r="P48">
        <v>72969</v>
      </c>
      <c r="U48" s="70"/>
    </row>
    <row r="49" spans="3:16" x14ac:dyDescent="0.35">
      <c r="C49">
        <f>'Orig data'!B52</f>
        <v>1998</v>
      </c>
      <c r="D49" s="59">
        <f>'Orig data'!G52</f>
        <v>15603.573761947853</v>
      </c>
      <c r="E49" s="5">
        <f>'Orig data'!H52</f>
        <v>3561043</v>
      </c>
      <c r="F49" s="76">
        <f>'Orig data'!J52</f>
        <v>-0.25231074320517038</v>
      </c>
      <c r="G49" s="78">
        <f t="shared" si="0"/>
        <v>2766941.9917605631</v>
      </c>
      <c r="H49">
        <f t="shared" si="1"/>
        <v>1998</v>
      </c>
      <c r="I49">
        <f t="shared" si="6"/>
        <v>1.9103306036772296</v>
      </c>
      <c r="J49">
        <f t="shared" si="7"/>
        <v>0.31929972100487758</v>
      </c>
      <c r="K49">
        <f t="shared" si="8"/>
        <v>2.2296303246821072</v>
      </c>
      <c r="L49" s="76">
        <f t="shared" si="9"/>
        <v>0.58375371482133498</v>
      </c>
      <c r="O49">
        <v>0.43817767373875721</v>
      </c>
      <c r="P49">
        <v>203768</v>
      </c>
    </row>
    <row r="50" spans="3:16" x14ac:dyDescent="0.35">
      <c r="C50">
        <f>'Orig data'!B53</f>
        <v>1999</v>
      </c>
      <c r="D50" s="59">
        <f>'Orig data'!G53</f>
        <v>16392.771166029168</v>
      </c>
      <c r="E50" s="5">
        <f>'Orig data'!H53</f>
        <v>2987256</v>
      </c>
      <c r="F50" s="76">
        <f>'Orig data'!J53</f>
        <v>0.18612596226474895</v>
      </c>
      <c r="G50" s="78">
        <f t="shared" si="0"/>
        <v>3598370.8542432808</v>
      </c>
      <c r="H50">
        <f t="shared" si="1"/>
        <v>1999</v>
      </c>
      <c r="I50">
        <f t="shared" si="6"/>
        <v>1.6025211034571687</v>
      </c>
      <c r="J50">
        <f t="shared" si="7"/>
        <v>0.33544925923152807</v>
      </c>
      <c r="K50">
        <f t="shared" si="8"/>
        <v>1.9379703626886968</v>
      </c>
      <c r="L50" s="76">
        <f t="shared" si="9"/>
        <v>0.73053045829784391</v>
      </c>
      <c r="O50">
        <v>1.5313319122850217</v>
      </c>
      <c r="P50">
        <v>106650</v>
      </c>
    </row>
    <row r="51" spans="3:16" x14ac:dyDescent="0.35">
      <c r="C51">
        <f>'Orig data'!B54</f>
        <v>2000</v>
      </c>
      <c r="D51" s="59">
        <f>'Orig data'!G54</f>
        <v>17244.699505637574</v>
      </c>
      <c r="E51" s="5">
        <f>'Orig data'!H54</f>
        <v>699976</v>
      </c>
      <c r="F51" s="76">
        <f>'Orig data'!J54</f>
        <v>1.1819744052431649</v>
      </c>
      <c r="G51" s="78">
        <f t="shared" si="0"/>
        <v>2282485.9433021657</v>
      </c>
      <c r="H51">
        <f t="shared" si="1"/>
        <v>2000</v>
      </c>
      <c r="I51">
        <f t="shared" si="6"/>
        <v>0.3755039112528471</v>
      </c>
      <c r="J51">
        <f t="shared" si="7"/>
        <v>0.35288247583325838</v>
      </c>
      <c r="K51">
        <f t="shared" si="8"/>
        <v>0.72838638708610548</v>
      </c>
      <c r="L51" s="76">
        <f t="shared" si="9"/>
        <v>0.51679492567366858</v>
      </c>
      <c r="O51">
        <v>1.2344662419895547</v>
      </c>
      <c r="P51">
        <v>86209</v>
      </c>
    </row>
    <row r="52" spans="3:16" x14ac:dyDescent="0.35">
      <c r="C52">
        <f>'Orig data'!B55</f>
        <v>2001</v>
      </c>
      <c r="D52" s="59">
        <f>'Orig data'!G55</f>
        <v>18164.345074762063</v>
      </c>
      <c r="E52" s="5">
        <f>'Orig data'!H55</f>
        <v>3151893</v>
      </c>
      <c r="F52" s="76">
        <f>'Orig data'!J55</f>
        <v>-0.52278051581601337</v>
      </c>
      <c r="G52" s="78">
        <f t="shared" si="0"/>
        <v>1868662.078775011</v>
      </c>
      <c r="H52">
        <f t="shared" si="1"/>
        <v>2001</v>
      </c>
      <c r="I52">
        <f t="shared" si="6"/>
        <v>1.6908410421935467</v>
      </c>
      <c r="J52">
        <f t="shared" si="7"/>
        <v>0.37170140655545753</v>
      </c>
      <c r="K52">
        <f t="shared" si="8"/>
        <v>2.0625424487490043</v>
      </c>
      <c r="L52" s="76">
        <f t="shared" si="9"/>
        <v>0.14619606627738901</v>
      </c>
      <c r="O52">
        <v>0.25508651617605416</v>
      </c>
      <c r="P52">
        <v>115809</v>
      </c>
    </row>
    <row r="53" spans="3:16" x14ac:dyDescent="0.35">
      <c r="C53">
        <f>'Orig data'!B56</f>
        <v>2002</v>
      </c>
      <c r="D53" s="59">
        <f>'Orig data'!G56</f>
        <v>19157.090512951214</v>
      </c>
      <c r="E53" s="5">
        <f>'Orig data'!H56</f>
        <v>2302250</v>
      </c>
      <c r="F53" s="76">
        <f>'Orig data'!J56</f>
        <v>0.20514067570148103</v>
      </c>
      <c r="G53" s="78">
        <f t="shared" si="0"/>
        <v>2826467.1680969703</v>
      </c>
      <c r="H53">
        <f t="shared" si="1"/>
        <v>2002</v>
      </c>
      <c r="I53">
        <f t="shared" si="6"/>
        <v>1.235047886901647</v>
      </c>
      <c r="J53">
        <f t="shared" si="7"/>
        <v>0.39201619765899831</v>
      </c>
      <c r="K53">
        <f t="shared" si="8"/>
        <v>1.6270640845606454</v>
      </c>
      <c r="L53" s="76">
        <f t="shared" si="9"/>
        <v>0.43863889360652436</v>
      </c>
      <c r="O53">
        <v>0.85385720682966193</v>
      </c>
      <c r="P53">
        <v>92128</v>
      </c>
    </row>
    <row r="54" spans="3:16" x14ac:dyDescent="0.35">
      <c r="C54">
        <f>'Orig data'!B57</f>
        <v>2003</v>
      </c>
      <c r="D54" s="59">
        <f>'Orig data'!G57</f>
        <v>20228.746309633436</v>
      </c>
      <c r="E54" s="5">
        <f>'Orig data'!H57</f>
        <v>1494491</v>
      </c>
      <c r="F54" s="76">
        <f>'Orig data'!J57</f>
        <v>-0.12273454111898989</v>
      </c>
      <c r="G54" s="78">
        <f t="shared" si="0"/>
        <v>1321874.9421960777</v>
      </c>
      <c r="H54">
        <f t="shared" si="1"/>
        <v>2003</v>
      </c>
      <c r="I54">
        <f t="shared" si="6"/>
        <v>0.80172351028060784</v>
      </c>
      <c r="J54">
        <f t="shared" si="7"/>
        <v>0.4139457506007968</v>
      </c>
      <c r="K54">
        <f t="shared" si="8"/>
        <v>1.2156692608814046</v>
      </c>
      <c r="L54" s="76">
        <f t="shared" si="9"/>
        <v>-0.3006311468931871</v>
      </c>
      <c r="O54">
        <v>-0.20522381807240997</v>
      </c>
      <c r="P54">
        <v>248600</v>
      </c>
    </row>
    <row r="55" spans="3:16" x14ac:dyDescent="0.35">
      <c r="C55">
        <f>'Orig data'!B58</f>
        <v>2004</v>
      </c>
      <c r="D55" s="59">
        <f>'Orig data'!G58</f>
        <v>21385.584812621124</v>
      </c>
      <c r="E55" s="5">
        <f>'Orig data'!H58</f>
        <v>2716634</v>
      </c>
      <c r="F55" s="76">
        <f>'Orig data'!J58</f>
        <v>-0.75655925962537551</v>
      </c>
      <c r="G55" s="78">
        <f t="shared" si="0"/>
        <v>1274857.4320357505</v>
      </c>
      <c r="H55">
        <f t="shared" si="1"/>
        <v>2004</v>
      </c>
      <c r="I55">
        <f t="shared" si="6"/>
        <v>1.45734524104036</v>
      </c>
      <c r="J55">
        <f t="shared" si="7"/>
        <v>0.43761841795809575</v>
      </c>
      <c r="K55">
        <f t="shared" si="8"/>
        <v>1.8949636589984558</v>
      </c>
      <c r="L55" s="76">
        <f t="shared" si="9"/>
        <v>-0.25516146728252165</v>
      </c>
      <c r="O55">
        <v>-1.2700359171698723</v>
      </c>
      <c r="P55">
        <v>143244</v>
      </c>
    </row>
    <row r="56" spans="3:16" x14ac:dyDescent="0.35">
      <c r="C56">
        <f>'Orig data'!B59</f>
        <v>2005</v>
      </c>
      <c r="D56" s="59">
        <f>'Orig data'!G59</f>
        <v>22634.376939848931</v>
      </c>
      <c r="E56" s="5">
        <f>'Orig data'!H59</f>
        <v>1331383</v>
      </c>
      <c r="F56" s="76">
        <f>'Orig data'!J59</f>
        <v>-0.47641922268505188</v>
      </c>
      <c r="G56" s="78">
        <f t="shared" si="0"/>
        <v>826792.95575855998</v>
      </c>
      <c r="H56">
        <f t="shared" si="1"/>
        <v>2005</v>
      </c>
      <c r="I56">
        <f t="shared" si="6"/>
        <v>0.71422380749561321</v>
      </c>
      <c r="J56">
        <f t="shared" si="7"/>
        <v>0.46317275466968444</v>
      </c>
      <c r="K56">
        <f t="shared" si="8"/>
        <v>1.1773965621652978</v>
      </c>
      <c r="L56" s="76">
        <f t="shared" si="9"/>
        <v>-0.69258852717535613</v>
      </c>
      <c r="O56">
        <v>0.66245494827694229</v>
      </c>
      <c r="P56">
        <v>89112</v>
      </c>
    </row>
    <row r="57" spans="3:16" x14ac:dyDescent="0.35">
      <c r="C57">
        <f>'Orig data'!B60</f>
        <v>2006</v>
      </c>
      <c r="D57" s="59">
        <f>'Orig data'!G60</f>
        <v>23982.431809217978</v>
      </c>
      <c r="E57" s="5">
        <f>'Orig data'!H60</f>
        <v>1970621</v>
      </c>
      <c r="F57" s="76">
        <f>'Orig data'!J60</f>
        <v>-1.1041036041238916</v>
      </c>
      <c r="G57" s="78">
        <f t="shared" si="0"/>
        <v>653276.45190826419</v>
      </c>
      <c r="H57">
        <f t="shared" si="1"/>
        <v>2006</v>
      </c>
      <c r="I57">
        <f t="shared" si="6"/>
        <v>1.0571446636698927</v>
      </c>
      <c r="J57">
        <f t="shared" si="7"/>
        <v>0.49075832899102956</v>
      </c>
      <c r="K57">
        <f t="shared" si="8"/>
        <v>1.5479029926609222</v>
      </c>
      <c r="L57" s="76">
        <f t="shared" si="9"/>
        <v>-0.94976647811857129</v>
      </c>
      <c r="O57">
        <v>2.5954928059624675E-2</v>
      </c>
      <c r="P57">
        <v>61115</v>
      </c>
    </row>
    <row r="58" spans="3:16" x14ac:dyDescent="0.35">
      <c r="C58">
        <f>'Orig data'!B61</f>
        <v>2007</v>
      </c>
      <c r="D58" s="59">
        <f>'Orig data'!G61</f>
        <v>25437.639518497599</v>
      </c>
      <c r="E58" s="5">
        <f>'Orig data'!H61</f>
        <v>1057248</v>
      </c>
      <c r="F58" s="76">
        <f>'Orig data'!J61</f>
        <v>0.59618044680644766</v>
      </c>
      <c r="G58" s="78">
        <f t="shared" si="0"/>
        <v>1919087.3845169125</v>
      </c>
      <c r="H58">
        <f t="shared" si="1"/>
        <v>2007</v>
      </c>
      <c r="I58">
        <f t="shared" si="6"/>
        <v>0.56716338726506355</v>
      </c>
      <c r="J58">
        <f t="shared" si="7"/>
        <v>0.52053659790979845</v>
      </c>
      <c r="K58">
        <f t="shared" si="8"/>
        <v>1.0876999851748619</v>
      </c>
      <c r="L58" s="76">
        <f t="shared" si="9"/>
        <v>0.29031456532570776</v>
      </c>
      <c r="O58">
        <v>1.3788479090752337</v>
      </c>
      <c r="P58">
        <v>81954</v>
      </c>
    </row>
    <row r="59" spans="3:16" x14ac:dyDescent="0.35">
      <c r="C59">
        <f>'Orig data'!B62</f>
        <v>2008</v>
      </c>
      <c r="D59" s="59">
        <f>'Orig data'!G62</f>
        <v>27008.517325673194</v>
      </c>
      <c r="E59" s="5">
        <f>'Orig data'!H62</f>
        <v>982016</v>
      </c>
      <c r="F59" s="76">
        <f>'Orig data'!J62</f>
        <v>0.31199234632089623</v>
      </c>
      <c r="G59" s="78">
        <f t="shared" si="0"/>
        <v>1341575.4990023808</v>
      </c>
      <c r="H59">
        <f t="shared" si="1"/>
        <v>2008</v>
      </c>
      <c r="I59">
        <f t="shared" si="6"/>
        <v>0.52680498890372796</v>
      </c>
      <c r="J59">
        <f t="shared" si="7"/>
        <v>0.55268185214553756</v>
      </c>
      <c r="K59">
        <f t="shared" si="8"/>
        <v>1.0794868410492655</v>
      </c>
      <c r="L59" s="76">
        <f t="shared" si="9"/>
        <v>-2.0866792854401517E-3</v>
      </c>
      <c r="O59">
        <v>0.60693384986174859</v>
      </c>
      <c r="P59">
        <v>43498</v>
      </c>
    </row>
    <row r="60" spans="3:16" x14ac:dyDescent="0.35">
      <c r="C60">
        <f>'Orig data'!B63</f>
        <v>2009</v>
      </c>
      <c r="D60" s="59">
        <f>'Orig data'!G63</f>
        <v>28704.259500031516</v>
      </c>
      <c r="E60" s="5">
        <f>'Orig data'!H63</f>
        <v>474550</v>
      </c>
      <c r="F60" s="76">
        <f>'Orig data'!J63</f>
        <v>1.2187407304265099</v>
      </c>
      <c r="G60" s="78">
        <f t="shared" si="0"/>
        <v>1605367.0756795239</v>
      </c>
      <c r="H60">
        <f t="shared" si="1"/>
        <v>2009</v>
      </c>
      <c r="I60">
        <f t="shared" si="6"/>
        <v>0.25457355835777029</v>
      </c>
      <c r="J60">
        <f t="shared" si="7"/>
        <v>0.58738223626454245</v>
      </c>
      <c r="K60">
        <f t="shared" si="8"/>
        <v>0.84195579462231274</v>
      </c>
      <c r="L60" s="76">
        <f t="shared" si="9"/>
        <v>0.66713065839322072</v>
      </c>
      <c r="O60">
        <v>0.20151571102967264</v>
      </c>
      <c r="P60">
        <v>77857</v>
      </c>
    </row>
    <row r="61" spans="3:16" x14ac:dyDescent="0.35">
      <c r="C61">
        <f>'Orig data'!B64</f>
        <v>2010</v>
      </c>
      <c r="D61" s="59">
        <f>'Orig data'!G64</f>
        <v>30534.791135759224</v>
      </c>
      <c r="E61" s="5">
        <f>'Orig data'!H64</f>
        <v>608718</v>
      </c>
      <c r="F61" s="76">
        <f>'Orig data'!J64</f>
        <v>0.96451789450628955</v>
      </c>
      <c r="G61" s="78">
        <f t="shared" si="0"/>
        <v>1596985.3916231559</v>
      </c>
      <c r="H61">
        <f t="shared" si="1"/>
        <v>2010</v>
      </c>
      <c r="I61">
        <f t="shared" si="6"/>
        <v>0.32654832429970543</v>
      </c>
      <c r="J61">
        <f t="shared" si="7"/>
        <v>0.62484084988060007</v>
      </c>
      <c r="K61">
        <f t="shared" si="8"/>
        <v>0.95138917418030555</v>
      </c>
      <c r="L61" s="76">
        <f t="shared" si="9"/>
        <v>0.52234120203099321</v>
      </c>
      <c r="O61">
        <v>-0.33382430112496392</v>
      </c>
      <c r="P61">
        <v>107036</v>
      </c>
    </row>
    <row r="62" spans="3:16" x14ac:dyDescent="0.35">
      <c r="C62">
        <f>'Orig data'!B65</f>
        <v>2011</v>
      </c>
      <c r="D62" s="59">
        <f>'Orig data'!G65</f>
        <v>32510.826243023046</v>
      </c>
      <c r="E62" s="5">
        <f>'Orig data'!H65</f>
        <v>1079068</v>
      </c>
      <c r="F62" s="76">
        <f>'Orig data'!J65</f>
        <v>5.2434168798394749E-2</v>
      </c>
      <c r="G62" s="78">
        <f t="shared" si="0"/>
        <v>1137157.6669372031</v>
      </c>
      <c r="H62">
        <f t="shared" si="1"/>
        <v>2011</v>
      </c>
      <c r="I62">
        <f t="shared" si="6"/>
        <v>0.57886878194079117</v>
      </c>
      <c r="J62">
        <f t="shared" si="7"/>
        <v>0.66527693638687602</v>
      </c>
      <c r="K62">
        <f t="shared" si="8"/>
        <v>1.2441457183276672</v>
      </c>
      <c r="L62" s="76">
        <f t="shared" si="9"/>
        <v>-9.6985979529539967E-2</v>
      </c>
      <c r="O62">
        <v>0.33253279551898224</v>
      </c>
      <c r="P62">
        <v>125791</v>
      </c>
    </row>
    <row r="63" spans="3:16" x14ac:dyDescent="0.35">
      <c r="C63">
        <f>'Orig data'!B66</f>
        <v>2012</v>
      </c>
      <c r="D63" s="59">
        <f>'Orig data'!G66</f>
        <v>34643.930456535789</v>
      </c>
      <c r="E63" s="5">
        <f>'Orig data'!H66</f>
        <v>1381072</v>
      </c>
      <c r="F63" s="76">
        <f>'Orig data'!J66</f>
        <v>0.7849032116775021</v>
      </c>
      <c r="G63" s="78">
        <f t="shared" si="0"/>
        <v>3027578.7899983842</v>
      </c>
      <c r="H63">
        <f t="shared" si="1"/>
        <v>2012</v>
      </c>
      <c r="I63">
        <f t="shared" si="6"/>
        <v>0.74087959833164574</v>
      </c>
      <c r="J63">
        <f t="shared" si="7"/>
        <v>0.70892716617653695</v>
      </c>
      <c r="K63">
        <f t="shared" si="8"/>
        <v>1.4498067645081827</v>
      </c>
      <c r="L63" s="76">
        <f t="shared" si="9"/>
        <v>0.8411441095300829</v>
      </c>
      <c r="O63">
        <v>-7.2697207565282588E-3</v>
      </c>
      <c r="P63">
        <v>48044</v>
      </c>
    </row>
    <row r="64" spans="3:16" x14ac:dyDescent="0.35">
      <c r="C64">
        <f>'Orig data'!B67</f>
        <v>2013</v>
      </c>
      <c r="D64" s="59">
        <f>'Orig data'!G67</f>
        <v>36946.58872863822</v>
      </c>
      <c r="E64" s="5">
        <f>'Orig data'!H67</f>
        <v>1167839</v>
      </c>
      <c r="F64" s="76">
        <f>'Orig data'!J67</f>
        <v>-0.37187559005235787</v>
      </c>
      <c r="G64" s="78">
        <f t="shared" si="0"/>
        <v>805154.93228744587</v>
      </c>
      <c r="H64">
        <f t="shared" si="1"/>
        <v>2013</v>
      </c>
      <c r="I64">
        <f t="shared" si="6"/>
        <v>0.62649021139812466</v>
      </c>
      <c r="J64">
        <f t="shared" si="7"/>
        <v>0.75604702186273187</v>
      </c>
      <c r="K64">
        <f t="shared" si="8"/>
        <v>1.3825372332608565</v>
      </c>
      <c r="L64" s="76">
        <f t="shared" si="9"/>
        <v>-0.38290422344710323</v>
      </c>
      <c r="O64">
        <v>-2.4200765283126261E-2</v>
      </c>
      <c r="P64">
        <v>48682</v>
      </c>
    </row>
    <row r="65" spans="3:12" x14ac:dyDescent="0.35">
      <c r="C65">
        <f>'Orig data'!B68</f>
        <v>2014</v>
      </c>
      <c r="D65" s="59">
        <f>'Orig data'!G68</f>
        <v>39432.278403101001</v>
      </c>
      <c r="E65" s="5">
        <f>'Orig data'!H68</f>
        <v>1165580</v>
      </c>
      <c r="F65" s="76">
        <f>'Orig data'!J68</f>
        <v>-0.23558675521758243</v>
      </c>
      <c r="G65" s="78">
        <f t="shared" si="0"/>
        <v>920933.05007688294</v>
      </c>
      <c r="H65">
        <f t="shared" si="1"/>
        <v>2014</v>
      </c>
      <c r="I65">
        <f t="shared" si="6"/>
        <v>0.62527836508407941</v>
      </c>
      <c r="J65">
        <f t="shared" si="7"/>
        <v>0.8069122936055555</v>
      </c>
      <c r="K65">
        <f t="shared" si="8"/>
        <v>1.4321906586896349</v>
      </c>
      <c r="L65" s="76">
        <f t="shared" si="9"/>
        <v>-0.19696196318354942</v>
      </c>
    </row>
    <row r="66" spans="3:12" x14ac:dyDescent="0.35">
      <c r="C66">
        <f>'Orig data'!B69</f>
        <v>2015</v>
      </c>
      <c r="D66" s="59">
        <f>'Orig data'!G69</f>
        <v>39987.216497848218</v>
      </c>
      <c r="E66" s="5">
        <f>'Orig data'!H69</f>
        <v>950865</v>
      </c>
      <c r="F66" s="76">
        <f>'Orig data'!J69</f>
        <v>-0.8908996050049991</v>
      </c>
      <c r="G66" s="78">
        <f t="shared" si="0"/>
        <v>390127.06417119328</v>
      </c>
      <c r="H66">
        <f t="shared" si="1"/>
        <v>2015</v>
      </c>
      <c r="I66">
        <f t="shared" si="6"/>
        <v>0.51009395546909964</v>
      </c>
      <c r="J66">
        <f t="shared" si="7"/>
        <v>0.81826812666861182</v>
      </c>
      <c r="K66">
        <f t="shared" si="8"/>
        <v>1.3283620821377116</v>
      </c>
      <c r="L66" s="76">
        <f t="shared" si="9"/>
        <v>-0.95610338952288954</v>
      </c>
    </row>
    <row r="67" spans="3:12" x14ac:dyDescent="0.35">
      <c r="C67">
        <f>'Orig data'!B70</f>
        <v>2016</v>
      </c>
      <c r="D67" s="59">
        <f>'Orig data'!G70</f>
        <v>40556.312534959594</v>
      </c>
      <c r="E67" s="5">
        <f>'Orig data'!H70</f>
        <v>1975386</v>
      </c>
      <c r="F67" s="76">
        <f>'Orig data'!J70</f>
        <v>-1.0111781001244562</v>
      </c>
      <c r="G67" s="78">
        <f t="shared" ref="G67:G68" si="10">E67*EXP(F67)</f>
        <v>718625.96095230442</v>
      </c>
      <c r="H67">
        <f t="shared" ref="H67:H68" si="11">C67</f>
        <v>2016</v>
      </c>
      <c r="I67">
        <f t="shared" si="6"/>
        <v>1.0597008600782265</v>
      </c>
      <c r="J67">
        <f t="shared" si="7"/>
        <v>0.82991367714614295</v>
      </c>
      <c r="K67">
        <f t="shared" si="8"/>
        <v>1.8896145372243693</v>
      </c>
      <c r="L67" s="76">
        <f t="shared" si="9"/>
        <v>-0.51512942955568863</v>
      </c>
    </row>
    <row r="68" spans="3:12" x14ac:dyDescent="0.35">
      <c r="C68">
        <f>'Orig data'!B71</f>
        <v>2017</v>
      </c>
      <c r="D68" s="59">
        <f>'Orig data'!G71</f>
        <v>41139.927721088432</v>
      </c>
      <c r="E68" s="5">
        <f>'Orig data'!H71</f>
        <v>659667</v>
      </c>
      <c r="F68" s="76">
        <f>'Orig data'!J71</f>
        <v>-0.34901113163077735</v>
      </c>
      <c r="G68" s="78">
        <f t="shared" si="10"/>
        <v>465319.39027331426</v>
      </c>
      <c r="H68">
        <f t="shared" si="11"/>
        <v>2017</v>
      </c>
      <c r="I68">
        <f t="shared" si="6"/>
        <v>0.3538800453507433</v>
      </c>
      <c r="J68">
        <f t="shared" si="7"/>
        <v>0.84185633649765579</v>
      </c>
      <c r="K68">
        <f t="shared" si="8"/>
        <v>1.195736381848399</v>
      </c>
      <c r="L68" s="76">
        <f t="shared" si="9"/>
        <v>-0.54684061643798021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8AB8-A18F-44E2-803D-E0F55552BED2}">
  <dimension ref="C1:P68"/>
  <sheetViews>
    <sheetView topLeftCell="C1" workbookViewId="0">
      <selection activeCell="J21" sqref="J21"/>
    </sheetView>
  </sheetViews>
  <sheetFormatPr defaultRowHeight="14.5" x14ac:dyDescent="0.35"/>
  <cols>
    <col min="6" max="6" width="8.81640625" style="76"/>
    <col min="12" max="12" width="9.6328125" bestFit="1" customWidth="1"/>
  </cols>
  <sheetData>
    <row r="1" spans="3:16" x14ac:dyDescent="0.35">
      <c r="C1" t="s">
        <v>167</v>
      </c>
      <c r="D1" t="s">
        <v>141</v>
      </c>
      <c r="E1" t="s">
        <v>81</v>
      </c>
      <c r="F1" s="76" t="s">
        <v>80</v>
      </c>
      <c r="H1" t="s">
        <v>143</v>
      </c>
    </row>
    <row r="2" spans="3:16" ht="15" thickBot="1" x14ac:dyDescent="0.4">
      <c r="C2" t="s">
        <v>168</v>
      </c>
      <c r="D2" s="26">
        <f>regression!D5</f>
        <v>18877.275544212891</v>
      </c>
      <c r="E2" s="5">
        <f>'Orig data'!H5</f>
        <v>171725</v>
      </c>
      <c r="F2" s="76">
        <f>'Orig data'!J5</f>
        <v>1.2434687408087852</v>
      </c>
    </row>
    <row r="3" spans="3:16" x14ac:dyDescent="0.35">
      <c r="D3" s="26">
        <f>regression!D6</f>
        <v>19634.010763062572</v>
      </c>
      <c r="E3" s="5">
        <f>'Orig data'!H6</f>
        <v>176250</v>
      </c>
      <c r="F3" s="76">
        <f>'Orig data'!J6</f>
        <v>0.59498590478038604</v>
      </c>
      <c r="H3" s="75" t="s">
        <v>144</v>
      </c>
      <c r="I3" s="75"/>
    </row>
    <row r="4" spans="3:16" x14ac:dyDescent="0.35">
      <c r="D4" s="26">
        <f>regression!D7</f>
        <v>20266.026674062883</v>
      </c>
      <c r="E4" s="5">
        <f>'Orig data'!H7</f>
        <v>137625</v>
      </c>
      <c r="F4" s="76">
        <f>'Orig data'!J7</f>
        <v>0.86171672361584606</v>
      </c>
      <c r="H4" s="72" t="s">
        <v>145</v>
      </c>
      <c r="I4" s="72">
        <v>0.73789170507478752</v>
      </c>
    </row>
    <row r="5" spans="3:16" x14ac:dyDescent="0.35">
      <c r="D5" s="26">
        <f>regression!D8</f>
        <v>20594.874962207177</v>
      </c>
      <c r="E5" s="5">
        <f>'Orig data'!H8</f>
        <v>86375</v>
      </c>
      <c r="F5" s="76">
        <f>'Orig data'!J8</f>
        <v>1.7429633716112083</v>
      </c>
      <c r="H5" s="72" t="s">
        <v>146</v>
      </c>
      <c r="I5" s="72">
        <v>0.54448416841817726</v>
      </c>
    </row>
    <row r="6" spans="3:16" x14ac:dyDescent="0.35">
      <c r="D6" s="26">
        <f>regression!D9</f>
        <v>20038.595444513936</v>
      </c>
      <c r="E6" s="5">
        <f>'Orig data'!H9</f>
        <v>110500</v>
      </c>
      <c r="F6" s="76">
        <f>'Orig data'!J9</f>
        <v>1.688564028916681</v>
      </c>
      <c r="H6" s="72" t="s">
        <v>147</v>
      </c>
      <c r="I6" s="72">
        <v>0.53024929868124526</v>
      </c>
    </row>
    <row r="7" spans="3:16" x14ac:dyDescent="0.35">
      <c r="D7" s="26">
        <f>regression!D10</f>
        <v>15904.25189342765</v>
      </c>
      <c r="E7" s="5">
        <f>'Orig data'!H10</f>
        <v>32950</v>
      </c>
      <c r="F7" s="76">
        <f>'Orig data'!J10</f>
        <v>2.6259200354751622</v>
      </c>
      <c r="H7" s="72" t="s">
        <v>148</v>
      </c>
      <c r="I7" s="72">
        <v>0.4844323113050143</v>
      </c>
    </row>
    <row r="8" spans="3:16" ht="15" thickBot="1" x14ac:dyDescent="0.4">
      <c r="D8" s="26">
        <f>regression!D11</f>
        <v>13108.04591053178</v>
      </c>
      <c r="E8" s="5">
        <f>'Orig data'!H11</f>
        <v>84655</v>
      </c>
      <c r="F8" s="76">
        <f>'Orig data'!J11</f>
        <v>1.2460987265802781</v>
      </c>
      <c r="H8" s="73" t="s">
        <v>149</v>
      </c>
      <c r="I8" s="73">
        <v>67</v>
      </c>
    </row>
    <row r="9" spans="3:16" x14ac:dyDescent="0.35">
      <c r="D9" s="26">
        <f>regression!D12</f>
        <v>12157.237595706409</v>
      </c>
      <c r="E9" s="5">
        <f>'Orig data'!H12</f>
        <v>89400</v>
      </c>
      <c r="F9" s="76">
        <f>'Orig data'!J12</f>
        <v>1.0661176000168078</v>
      </c>
    </row>
    <row r="10" spans="3:16" ht="15" thickBot="1" x14ac:dyDescent="0.4">
      <c r="D10" s="26">
        <f>regression!D13</f>
        <v>10463.341029007956</v>
      </c>
      <c r="E10" s="5">
        <f>'Orig data'!H13</f>
        <v>152300</v>
      </c>
      <c r="F10" s="76">
        <f>'Orig data'!J13</f>
        <v>0.72943953580719501</v>
      </c>
      <c r="H10" t="s">
        <v>150</v>
      </c>
    </row>
    <row r="11" spans="3:16" x14ac:dyDescent="0.35">
      <c r="D11" s="26">
        <f>regression!D14</f>
        <v>9070.6091210970008</v>
      </c>
      <c r="E11" s="5">
        <f>'Orig data'!H14</f>
        <v>144782</v>
      </c>
      <c r="F11" s="76">
        <f>'Orig data'!J14</f>
        <v>0.85942366702677886</v>
      </c>
      <c r="H11" s="74"/>
      <c r="I11" s="74" t="s">
        <v>154</v>
      </c>
      <c r="J11" s="74" t="s">
        <v>155</v>
      </c>
      <c r="K11" s="74" t="s">
        <v>156</v>
      </c>
      <c r="L11" s="74" t="s">
        <v>157</v>
      </c>
      <c r="M11" s="74" t="s">
        <v>158</v>
      </c>
    </row>
    <row r="12" spans="3:16" x14ac:dyDescent="0.35">
      <c r="D12" s="26">
        <f>regression!D15</f>
        <v>7710.0915778237313</v>
      </c>
      <c r="E12" s="5">
        <f>'Orig data'!H15</f>
        <v>103920</v>
      </c>
      <c r="F12" s="76">
        <f>'Orig data'!J15</f>
        <v>0.90048479538014536</v>
      </c>
      <c r="H12" s="72" t="s">
        <v>151</v>
      </c>
      <c r="I12" s="72">
        <v>2</v>
      </c>
      <c r="J12" s="72">
        <v>17.952625035129604</v>
      </c>
      <c r="K12" s="72">
        <v>8.9763125175648018</v>
      </c>
      <c r="L12" s="72">
        <v>38.250028168893515</v>
      </c>
      <c r="M12" s="72">
        <v>1.1806229445681631E-11</v>
      </c>
    </row>
    <row r="13" spans="3:16" x14ac:dyDescent="0.35">
      <c r="D13" s="26">
        <f>regression!D16</f>
        <v>7002.9849246813255</v>
      </c>
      <c r="E13" s="5">
        <f>'Orig data'!H16</f>
        <v>130357</v>
      </c>
      <c r="F13" s="76">
        <f>'Orig data'!J16</f>
        <v>0.94474076043913235</v>
      </c>
      <c r="H13" s="72" t="s">
        <v>152</v>
      </c>
      <c r="I13" s="72">
        <v>64</v>
      </c>
      <c r="J13" s="72">
        <v>15.01917851112437</v>
      </c>
      <c r="K13" s="72">
        <v>0.23467466423631828</v>
      </c>
      <c r="L13" s="72"/>
      <c r="M13" s="72"/>
    </row>
    <row r="14" spans="3:16" ht="15" thickBot="1" x14ac:dyDescent="0.4">
      <c r="D14" s="26">
        <f>regression!D17</f>
        <v>6693.7965896649594</v>
      </c>
      <c r="E14" s="5">
        <f>'Orig data'!H17</f>
        <v>192245</v>
      </c>
      <c r="F14" s="76">
        <f>'Orig data'!J17</f>
        <v>0.81670231934451809</v>
      </c>
      <c r="H14" s="73" t="s">
        <v>9</v>
      </c>
      <c r="I14" s="73">
        <v>66</v>
      </c>
      <c r="J14" s="73">
        <v>32.971803546253973</v>
      </c>
      <c r="K14" s="73"/>
      <c r="L14" s="73"/>
      <c r="M14" s="73"/>
    </row>
    <row r="15" spans="3:16" ht="15" thickBot="1" x14ac:dyDescent="0.4">
      <c r="D15" s="26">
        <f>regression!D18</f>
        <v>6634.821204707031</v>
      </c>
      <c r="E15" s="5">
        <f>'Orig data'!H18</f>
        <v>246741</v>
      </c>
      <c r="F15" s="76">
        <f>'Orig data'!J18</f>
        <v>1.2330124337962716</v>
      </c>
    </row>
    <row r="16" spans="3:16" x14ac:dyDescent="0.35">
      <c r="D16" s="26">
        <f>regression!D19</f>
        <v>6677.8906045999411</v>
      </c>
      <c r="E16" s="5">
        <f>'Orig data'!H19</f>
        <v>129459</v>
      </c>
      <c r="F16" s="76">
        <f>'Orig data'!J19</f>
        <v>1.7791335243734945</v>
      </c>
      <c r="H16" s="74"/>
      <c r="I16" s="74" t="s">
        <v>159</v>
      </c>
      <c r="J16" s="74" t="s">
        <v>148</v>
      </c>
      <c r="K16" s="74" t="s">
        <v>160</v>
      </c>
      <c r="L16" s="74" t="s">
        <v>161</v>
      </c>
      <c r="M16" s="74" t="s">
        <v>162</v>
      </c>
      <c r="N16" s="74" t="s">
        <v>163</v>
      </c>
      <c r="O16" s="74" t="s">
        <v>164</v>
      </c>
      <c r="P16" s="74" t="s">
        <v>165</v>
      </c>
    </row>
    <row r="17" spans="4:16" x14ac:dyDescent="0.35">
      <c r="D17" s="26">
        <f>regression!D20</f>
        <v>6755.3387066492078</v>
      </c>
      <c r="E17" s="5">
        <f>'Orig data'!H20</f>
        <v>360810</v>
      </c>
      <c r="F17" s="76">
        <f>'Orig data'!J20</f>
        <v>0.59597421810138684</v>
      </c>
      <c r="H17" s="72" t="s">
        <v>153</v>
      </c>
      <c r="I17" s="72">
        <v>1.3563925966304313</v>
      </c>
      <c r="J17" s="72">
        <v>0.11234440668466744</v>
      </c>
      <c r="K17" s="72">
        <v>12.073521385337907</v>
      </c>
      <c r="L17" s="72">
        <v>3.7611766935256233E-18</v>
      </c>
      <c r="M17" s="72">
        <v>1.1319588438997441</v>
      </c>
      <c r="N17" s="72">
        <v>1.5808263493611185</v>
      </c>
      <c r="O17" s="72">
        <v>1.1319588438997441</v>
      </c>
      <c r="P17" s="72">
        <v>1.5808263493611185</v>
      </c>
    </row>
    <row r="18" spans="4:16" x14ac:dyDescent="0.35">
      <c r="D18" s="26">
        <f>regression!D21</f>
        <v>6841.2164344214461</v>
      </c>
      <c r="E18" s="5">
        <f>'Orig data'!H21</f>
        <v>213873</v>
      </c>
      <c r="F18" s="76">
        <f>'Orig data'!J21</f>
        <v>1.0021303070034921</v>
      </c>
      <c r="H18" s="72" t="s">
        <v>141</v>
      </c>
      <c r="I18" s="72">
        <v>-1.813220949363772E-5</v>
      </c>
      <c r="J18" s="72">
        <v>5.8733696925126558E-6</v>
      </c>
      <c r="K18" s="72">
        <v>-3.0871902234849231</v>
      </c>
      <c r="L18" s="72">
        <v>2.9857130785797105E-3</v>
      </c>
      <c r="M18" s="72">
        <v>-2.9865614299141055E-5</v>
      </c>
      <c r="N18" s="72">
        <v>-6.398804688134384E-6</v>
      </c>
      <c r="O18" s="72">
        <v>-2.9865614299141055E-5</v>
      </c>
      <c r="P18" s="72">
        <v>-6.398804688134384E-6</v>
      </c>
    </row>
    <row r="19" spans="4:16" ht="15" thickBot="1" x14ac:dyDescent="0.4">
      <c r="D19" s="26">
        <f>regression!D22</f>
        <v>6933.9203253009564</v>
      </c>
      <c r="E19" s="5">
        <f>'Orig data'!H22</f>
        <v>670328</v>
      </c>
      <c r="F19" s="76">
        <f>'Orig data'!J22</f>
        <v>0.47090986419258096</v>
      </c>
      <c r="H19" s="73" t="s">
        <v>81</v>
      </c>
      <c r="I19" s="73">
        <v>-5.1187445652424987E-7</v>
      </c>
      <c r="J19" s="73">
        <v>8.2400282769019943E-8</v>
      </c>
      <c r="K19" s="73">
        <v>-6.212047329486829</v>
      </c>
      <c r="L19" s="73">
        <v>4.3814105201976715E-8</v>
      </c>
      <c r="M19" s="73">
        <v>-6.7648794493608438E-7</v>
      </c>
      <c r="N19" s="73">
        <v>-3.4726096811241532E-7</v>
      </c>
      <c r="O19" s="73">
        <v>-6.7648794493608438E-7</v>
      </c>
      <c r="P19" s="73">
        <v>-3.4726096811241532E-7</v>
      </c>
    </row>
    <row r="20" spans="4:16" x14ac:dyDescent="0.35">
      <c r="D20" s="26">
        <f>regression!D23</f>
        <v>7033.9929705273489</v>
      </c>
      <c r="E20" s="5">
        <f>'Orig data'!H23</f>
        <v>309220</v>
      </c>
      <c r="F20" s="76">
        <f>'Orig data'!J23</f>
        <v>1.4964431006264538</v>
      </c>
      <c r="K20" t="s">
        <v>170</v>
      </c>
    </row>
    <row r="21" spans="4:16" x14ac:dyDescent="0.35">
      <c r="D21" s="26">
        <f>regression!D24</f>
        <v>7142.0200902911065</v>
      </c>
      <c r="E21" s="5">
        <f>'Orig data'!H24</f>
        <v>284250</v>
      </c>
      <c r="F21" s="76">
        <f>'Orig data'!J24</f>
        <v>1.186856492827211</v>
      </c>
      <c r="I21" s="70" t="s">
        <v>169</v>
      </c>
      <c r="J21" s="70">
        <f>-I18*D68</f>
        <v>0.77968500822642195</v>
      </c>
      <c r="K21">
        <f>-M18*D68</f>
        <v>1.2842214148630653</v>
      </c>
      <c r="L21">
        <f>-N18*D68</f>
        <v>0.2751486015897785</v>
      </c>
    </row>
    <row r="22" spans="4:16" x14ac:dyDescent="0.35">
      <c r="D22" s="26">
        <f>regression!D25</f>
        <v>7258.6339619245909</v>
      </c>
      <c r="E22" s="5">
        <f>'Orig data'!H25</f>
        <v>290125</v>
      </c>
      <c r="F22" s="76">
        <f>'Orig data'!J25</f>
        <v>0.73895438100233268</v>
      </c>
      <c r="I22" t="s">
        <v>166</v>
      </c>
      <c r="J22">
        <f>-I19*J24</f>
        <v>1.3563925966304313</v>
      </c>
      <c r="K22">
        <f>-M19*K24</f>
        <v>1.1319588438997441</v>
      </c>
      <c r="L22">
        <f>-N19*L24</f>
        <v>1.5808263493611185</v>
      </c>
    </row>
    <row r="23" spans="4:16" x14ac:dyDescent="0.35">
      <c r="D23" s="26">
        <f>regression!D26</f>
        <v>7384.5171205896513</v>
      </c>
      <c r="E23" s="5">
        <f>'Orig data'!H26</f>
        <v>423290</v>
      </c>
      <c r="F23" s="76">
        <f>'Orig data'!J26</f>
        <v>0.66166928863972707</v>
      </c>
    </row>
    <row r="24" spans="4:16" x14ac:dyDescent="0.35">
      <c r="D24" s="26">
        <f>regression!D27</f>
        <v>7520.4063541218184</v>
      </c>
      <c r="E24" s="5">
        <f>'Orig data'!H27</f>
        <v>267080</v>
      </c>
      <c r="F24" s="76">
        <f>'Orig data'!J27</f>
        <v>1.1613994502395246</v>
      </c>
      <c r="I24" t="s">
        <v>171</v>
      </c>
      <c r="J24">
        <f>-I17/I19</f>
        <v>2649854.0400719773</v>
      </c>
      <c r="K24">
        <f>-M17/M19</f>
        <v>1673287.5321328798</v>
      </c>
      <c r="L24">
        <f>-N17/N19</f>
        <v>4552271.9064970566</v>
      </c>
    </row>
    <row r="25" spans="4:16" x14ac:dyDescent="0.35">
      <c r="D25" s="26">
        <f>regression!D28</f>
        <v>7667.0970154126744</v>
      </c>
      <c r="E25" s="5">
        <f>'Orig data'!H28</f>
        <v>350315</v>
      </c>
      <c r="F25" s="76">
        <f>'Orig data'!J28</f>
        <v>1.006816168623766</v>
      </c>
    </row>
    <row r="26" spans="4:16" x14ac:dyDescent="0.35">
      <c r="D26" s="26">
        <f>regression!D29</f>
        <v>7825.4476775705843</v>
      </c>
      <c r="E26" s="5">
        <f>'Orig data'!H29</f>
        <v>191420</v>
      </c>
      <c r="F26" s="76">
        <f>'Orig data'!J29</f>
        <v>1.1940101664280678</v>
      </c>
    </row>
    <row r="27" spans="4:16" x14ac:dyDescent="0.35">
      <c r="D27" s="26">
        <f>regression!D30</f>
        <v>7996.3851591061639</v>
      </c>
      <c r="E27" s="5">
        <f>'Orig data'!H30</f>
        <v>340517</v>
      </c>
      <c r="F27" s="76">
        <f>'Orig data'!J30</f>
        <v>0.70369944318807409</v>
      </c>
    </row>
    <row r="28" spans="4:16" x14ac:dyDescent="0.35">
      <c r="D28" s="26">
        <f>regression!D31</f>
        <v>8180.9099485547176</v>
      </c>
      <c r="E28" s="5">
        <f>'Orig data'!H31</f>
        <v>599341</v>
      </c>
      <c r="F28" s="76">
        <f>'Orig data'!J31</f>
        <v>7.3992457663711819E-2</v>
      </c>
    </row>
    <row r="29" spans="4:16" x14ac:dyDescent="0.35">
      <c r="D29" s="26">
        <f>regression!D32</f>
        <v>8380.1020602856097</v>
      </c>
      <c r="E29" s="5">
        <f>'Orig data'!H32</f>
        <v>358990</v>
      </c>
      <c r="F29" s="76">
        <f>'Orig data'!J32</f>
        <v>0.56480024177586741</v>
      </c>
    </row>
    <row r="30" spans="4:16" x14ac:dyDescent="0.35">
      <c r="D30" s="26">
        <f>regression!D33</f>
        <v>8595.1273557723962</v>
      </c>
      <c r="E30" s="5">
        <f>'Orig data'!H33</f>
        <v>255634</v>
      </c>
      <c r="F30" s="76">
        <f>'Orig data'!J33</f>
        <v>0.78516136356418187</v>
      </c>
    </row>
    <row r="31" spans="4:16" x14ac:dyDescent="0.35">
      <c r="D31" s="26">
        <f>regression!D34</f>
        <v>8827.2443673217513</v>
      </c>
      <c r="E31" s="5">
        <f>'Orig data'!H34</f>
        <v>314011</v>
      </c>
      <c r="F31" s="76">
        <f>'Orig data'!J34</f>
        <v>0.79104843781738288</v>
      </c>
    </row>
    <row r="32" spans="4:16" x14ac:dyDescent="0.35">
      <c r="D32" s="26">
        <f>regression!D35</f>
        <v>9077.8116642001532</v>
      </c>
      <c r="E32" s="5">
        <f>'Orig data'!H35</f>
        <v>436996</v>
      </c>
      <c r="F32" s="76">
        <f>'Orig data'!J35</f>
        <v>1.1961855806937127</v>
      </c>
    </row>
    <row r="33" spans="4:6" x14ac:dyDescent="0.35">
      <c r="D33" s="26">
        <f>regression!D36</f>
        <v>9348.2958042718892</v>
      </c>
      <c r="E33" s="5">
        <f>'Orig data'!H36</f>
        <v>326439</v>
      </c>
      <c r="F33" s="76">
        <f>'Orig data'!J36</f>
        <v>1.5566966003935794</v>
      </c>
    </row>
    <row r="34" spans="4:6" x14ac:dyDescent="0.35">
      <c r="D34" s="26">
        <f>regression!D37</f>
        <v>9640.2799176889421</v>
      </c>
      <c r="E34" s="5">
        <f>'Orig data'!H37</f>
        <v>371770</v>
      </c>
      <c r="F34" s="76">
        <f>'Orig data'!J37</f>
        <v>0.84609104884449615</v>
      </c>
    </row>
    <row r="35" spans="4:6" x14ac:dyDescent="0.35">
      <c r="D35" s="26">
        <f>regression!D38</f>
        <v>9955.4729728726197</v>
      </c>
      <c r="E35" s="5">
        <f>'Orig data'!H38</f>
        <v>541478</v>
      </c>
      <c r="F35" s="76">
        <f>'Orig data'!J38</f>
        <v>0.47975629213268117</v>
      </c>
    </row>
    <row r="36" spans="4:6" x14ac:dyDescent="0.35">
      <c r="D36" s="26">
        <f>regression!D39</f>
        <v>10295.71977902033</v>
      </c>
      <c r="E36" s="5">
        <f>'Orig data'!H39</f>
        <v>1383808</v>
      </c>
      <c r="F36" s="76">
        <f>'Orig data'!J39</f>
        <v>-0.20544103293288771</v>
      </c>
    </row>
    <row r="37" spans="4:6" x14ac:dyDescent="0.35">
      <c r="D37" s="26">
        <f>regression!D40</f>
        <v>10663.011783681579</v>
      </c>
      <c r="E37" s="5">
        <f>'Orig data'!H40</f>
        <v>997327</v>
      </c>
      <c r="F37" s="76">
        <f>'Orig data'!J40</f>
        <v>0.36087270519729242</v>
      </c>
    </row>
    <row r="38" spans="4:6" x14ac:dyDescent="0.35">
      <c r="D38" s="26">
        <f>regression!D41</f>
        <v>11059.498728600949</v>
      </c>
      <c r="E38" s="5">
        <f>'Orig data'!H41</f>
        <v>363671</v>
      </c>
      <c r="F38" s="76">
        <f>'Orig data'!J41</f>
        <v>1.4213204341551198</v>
      </c>
    </row>
    <row r="39" spans="4:6" x14ac:dyDescent="0.35">
      <c r="D39" s="26">
        <f>regression!D42</f>
        <v>11487.501232049079</v>
      </c>
      <c r="E39" s="5">
        <f>'Orig data'!H42</f>
        <v>528467</v>
      </c>
      <c r="F39" s="76">
        <f>'Orig data'!J42</f>
        <v>1.0547388588728643</v>
      </c>
    </row>
    <row r="40" spans="4:6" x14ac:dyDescent="0.35">
      <c r="D40" s="26">
        <f>regression!D43</f>
        <v>11949.524371285395</v>
      </c>
      <c r="E40" s="5">
        <f>'Orig data'!H43</f>
        <v>739647</v>
      </c>
      <c r="F40" s="76">
        <f>'Orig data'!J43</f>
        <v>0.76042506219402317</v>
      </c>
    </row>
    <row r="41" spans="4:6" x14ac:dyDescent="0.35">
      <c r="D41" s="26">
        <f>regression!D44</f>
        <v>12448.272344650122</v>
      </c>
      <c r="E41" s="5">
        <f>'Orig data'!H44</f>
        <v>861972</v>
      </c>
      <c r="F41" s="76">
        <f>'Orig data'!J44</f>
        <v>0.84398491289388511</v>
      </c>
    </row>
    <row r="42" spans="4:6" x14ac:dyDescent="0.35">
      <c r="D42" s="26">
        <f>regression!D45</f>
        <v>12986.664299101971</v>
      </c>
      <c r="E42" s="5">
        <f>'Orig data'!H45</f>
        <v>1106348</v>
      </c>
      <c r="F42" s="76">
        <f>'Orig data'!J45</f>
        <v>0.55131031643518247</v>
      </c>
    </row>
    <row r="43" spans="4:6" x14ac:dyDescent="0.35">
      <c r="D43" s="26">
        <f>regression!D46</f>
        <v>13567.851415839403</v>
      </c>
      <c r="E43" s="5">
        <f>'Orig data'!H46</f>
        <v>1035859</v>
      </c>
      <c r="F43" s="76">
        <f>'Orig data'!J46</f>
        <v>0.31246929451189542</v>
      </c>
    </row>
    <row r="44" spans="4:6" x14ac:dyDescent="0.35">
      <c r="D44" s="26">
        <f>regression!D47</f>
        <v>14195.235354006662</v>
      </c>
      <c r="E44" s="5">
        <f>'Orig data'!H47</f>
        <v>985479</v>
      </c>
      <c r="F44" s="76">
        <f>'Orig data'!J47</f>
        <v>0.39440543013072316</v>
      </c>
    </row>
    <row r="45" spans="4:6" x14ac:dyDescent="0.35">
      <c r="D45" s="26">
        <f>regression!D48</f>
        <v>14872.488160434723</v>
      </c>
      <c r="E45" s="5">
        <f>'Orig data'!H48</f>
        <v>1666079</v>
      </c>
      <c r="F45" s="76">
        <f>'Orig data'!J48</f>
        <v>0.61782930909398082</v>
      </c>
    </row>
    <row r="46" spans="4:6" x14ac:dyDescent="0.35">
      <c r="D46" s="26">
        <f>regression!D49</f>
        <v>15603.573761947853</v>
      </c>
      <c r="E46" s="5">
        <f>'Orig data'!H49</f>
        <v>1628542</v>
      </c>
      <c r="F46" s="76">
        <f>'Orig data'!J49</f>
        <v>0.66074625557688782</v>
      </c>
    </row>
    <row r="47" spans="4:6" x14ac:dyDescent="0.35">
      <c r="D47" s="26">
        <f>regression!D50</f>
        <v>16392.771166029168</v>
      </c>
      <c r="E47" s="5">
        <f>'Orig data'!H50</f>
        <v>1186180</v>
      </c>
      <c r="F47" s="76">
        <f>'Orig data'!J50</f>
        <v>0.39316069207370369</v>
      </c>
    </row>
    <row r="48" spans="4:6" x14ac:dyDescent="0.35">
      <c r="D48" s="26">
        <f>regression!D51</f>
        <v>17244.699505637574</v>
      </c>
      <c r="E48" s="5">
        <f>'Orig data'!H51</f>
        <v>1045815</v>
      </c>
      <c r="F48" s="76">
        <f>'Orig data'!J51</f>
        <v>0.89411171124051547</v>
      </c>
    </row>
    <row r="49" spans="4:6" x14ac:dyDescent="0.35">
      <c r="D49" s="26">
        <f>regression!D52</f>
        <v>18164.345074762063</v>
      </c>
      <c r="E49" s="5">
        <f>'Orig data'!H52</f>
        <v>3561043</v>
      </c>
      <c r="F49" s="76">
        <f>'Orig data'!J52</f>
        <v>-0.25231074320517038</v>
      </c>
    </row>
    <row r="50" spans="4:6" x14ac:dyDescent="0.35">
      <c r="D50" s="26">
        <f>regression!D53</f>
        <v>19157.090512951214</v>
      </c>
      <c r="E50" s="5">
        <f>'Orig data'!H53</f>
        <v>2987256</v>
      </c>
      <c r="F50" s="76">
        <f>'Orig data'!J53</f>
        <v>0.18612596226474895</v>
      </c>
    </row>
    <row r="51" spans="4:6" x14ac:dyDescent="0.35">
      <c r="D51" s="26">
        <f>regression!D54</f>
        <v>20228.746309633436</v>
      </c>
      <c r="E51" s="5">
        <f>'Orig data'!H54</f>
        <v>699976</v>
      </c>
      <c r="F51" s="76">
        <f>'Orig data'!J54</f>
        <v>1.1819744052431649</v>
      </c>
    </row>
    <row r="52" spans="4:6" x14ac:dyDescent="0.35">
      <c r="D52" s="26">
        <f>regression!D55</f>
        <v>21385.584812621124</v>
      </c>
      <c r="E52" s="5">
        <f>'Orig data'!H55</f>
        <v>3151893</v>
      </c>
      <c r="F52" s="76">
        <f>'Orig data'!J55</f>
        <v>-0.52278051581601337</v>
      </c>
    </row>
    <row r="53" spans="4:6" x14ac:dyDescent="0.35">
      <c r="D53" s="26">
        <f>regression!D56</f>
        <v>22634.376939848931</v>
      </c>
      <c r="E53" s="5">
        <f>'Orig data'!H56</f>
        <v>2302250</v>
      </c>
      <c r="F53" s="76">
        <f>'Orig data'!J56</f>
        <v>0.20514067570148103</v>
      </c>
    </row>
    <row r="54" spans="4:6" x14ac:dyDescent="0.35">
      <c r="D54" s="26">
        <f>regression!D57</f>
        <v>23982.431809217978</v>
      </c>
      <c r="E54" s="5">
        <f>'Orig data'!H57</f>
        <v>1494491</v>
      </c>
      <c r="F54" s="76">
        <f>'Orig data'!J57</f>
        <v>-0.12273454111898989</v>
      </c>
    </row>
    <row r="55" spans="4:6" x14ac:dyDescent="0.35">
      <c r="D55" s="26">
        <f>regression!D58</f>
        <v>25437.639518497599</v>
      </c>
      <c r="E55" s="5">
        <f>'Orig data'!H58</f>
        <v>2716634</v>
      </c>
      <c r="F55" s="76">
        <f>'Orig data'!J58</f>
        <v>-0.75655925962537551</v>
      </c>
    </row>
    <row r="56" spans="4:6" x14ac:dyDescent="0.35">
      <c r="D56" s="26">
        <f>regression!D59</f>
        <v>27008.517325673194</v>
      </c>
      <c r="E56" s="5">
        <f>'Orig data'!H59</f>
        <v>1331383</v>
      </c>
      <c r="F56" s="76">
        <f>'Orig data'!J59</f>
        <v>-0.47641922268505188</v>
      </c>
    </row>
    <row r="57" spans="4:6" x14ac:dyDescent="0.35">
      <c r="D57" s="26">
        <f>regression!D60</f>
        <v>28704.259500031516</v>
      </c>
      <c r="E57" s="5">
        <f>'Orig data'!H60</f>
        <v>1970621</v>
      </c>
      <c r="F57" s="76">
        <f>'Orig data'!J60</f>
        <v>-1.1041036041238916</v>
      </c>
    </row>
    <row r="58" spans="4:6" x14ac:dyDescent="0.35">
      <c r="D58" s="26">
        <f>regression!D61</f>
        <v>30534.791135759224</v>
      </c>
      <c r="E58" s="5">
        <f>'Orig data'!H61</f>
        <v>1057248</v>
      </c>
      <c r="F58" s="76">
        <f>'Orig data'!J61</f>
        <v>0.59618044680644766</v>
      </c>
    </row>
    <row r="59" spans="4:6" x14ac:dyDescent="0.35">
      <c r="D59" s="26">
        <f>regression!D62</f>
        <v>32510.826243023046</v>
      </c>
      <c r="E59" s="5">
        <f>'Orig data'!H62</f>
        <v>982016</v>
      </c>
      <c r="F59" s="76">
        <f>'Orig data'!J62</f>
        <v>0.31199234632089623</v>
      </c>
    </row>
    <row r="60" spans="4:6" x14ac:dyDescent="0.35">
      <c r="D60" s="26">
        <f>regression!D63</f>
        <v>34643.930456535789</v>
      </c>
      <c r="E60" s="5">
        <f>'Orig data'!H63</f>
        <v>474550</v>
      </c>
      <c r="F60" s="76">
        <f>'Orig data'!J63</f>
        <v>1.2187407304265099</v>
      </c>
    </row>
    <row r="61" spans="4:6" x14ac:dyDescent="0.35">
      <c r="D61" s="26">
        <f>regression!D64</f>
        <v>36946.58872863822</v>
      </c>
      <c r="E61" s="5">
        <f>'Orig data'!H64</f>
        <v>608718</v>
      </c>
      <c r="F61" s="76">
        <f>'Orig data'!J64</f>
        <v>0.96451789450628955</v>
      </c>
    </row>
    <row r="62" spans="4:6" x14ac:dyDescent="0.35">
      <c r="D62" s="26">
        <f>regression!D65</f>
        <v>39432.278403101001</v>
      </c>
      <c r="E62" s="5">
        <f>'Orig data'!H65</f>
        <v>1079068</v>
      </c>
      <c r="F62" s="76">
        <f>'Orig data'!J65</f>
        <v>5.2434168798394749E-2</v>
      </c>
    </row>
    <row r="63" spans="4:6" x14ac:dyDescent="0.35">
      <c r="D63" s="26">
        <f>regression!D66</f>
        <v>39987.216497848218</v>
      </c>
      <c r="E63" s="5">
        <f>'Orig data'!H66</f>
        <v>1381072</v>
      </c>
      <c r="F63" s="76">
        <f>'Orig data'!J66</f>
        <v>0.7849032116775021</v>
      </c>
    </row>
    <row r="64" spans="4:6" x14ac:dyDescent="0.35">
      <c r="D64" s="26">
        <f>regression!D67</f>
        <v>40556.312534959594</v>
      </c>
      <c r="E64" s="5">
        <f>'Orig data'!H67</f>
        <v>1167839</v>
      </c>
      <c r="F64" s="76">
        <f>'Orig data'!J67</f>
        <v>-0.37187559005235787</v>
      </c>
    </row>
    <row r="65" spans="4:6" x14ac:dyDescent="0.35">
      <c r="D65" s="26">
        <f>regression!D68</f>
        <v>41139.927721088432</v>
      </c>
      <c r="E65" s="5">
        <f>'Orig data'!H68</f>
        <v>1165580</v>
      </c>
      <c r="F65" s="76">
        <f>'Orig data'!J68</f>
        <v>-0.23558675521758243</v>
      </c>
    </row>
    <row r="66" spans="4:6" x14ac:dyDescent="0.35">
      <c r="D66" s="77">
        <v>42000</v>
      </c>
      <c r="E66" s="5">
        <f>'Orig data'!H69</f>
        <v>950865</v>
      </c>
      <c r="F66" s="76">
        <f>'Orig data'!J69</f>
        <v>-0.8908996050049991</v>
      </c>
    </row>
    <row r="67" spans="4:6" x14ac:dyDescent="0.35">
      <c r="D67" s="77">
        <v>42500</v>
      </c>
      <c r="E67" s="5">
        <f>'Orig data'!H70</f>
        <v>1975386</v>
      </c>
      <c r="F67" s="76">
        <f>'Orig data'!J70</f>
        <v>-1.0111781001244562</v>
      </c>
    </row>
    <row r="68" spans="4:6" x14ac:dyDescent="0.35">
      <c r="D68" s="77">
        <v>43000</v>
      </c>
      <c r="E68" s="5">
        <f>'Orig data'!H71</f>
        <v>659667</v>
      </c>
      <c r="F68" s="76">
        <f>'Orig data'!J71</f>
        <v>-0.34901113163077735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Orig data</vt:lpstr>
      <vt:lpstr>policy compare</vt:lpstr>
      <vt:lpstr>regression</vt:lpstr>
      <vt:lpstr>regression ret yr ssl</vt:lpstr>
      <vt:lpstr>aa</vt:lpstr>
      <vt:lpstr>bb</vt:lpstr>
      <vt:lpstr>cslope</vt:lpstr>
      <vt:lpstr>nlim</vt:lpstr>
      <vt:lpstr>retroU</vt:lpstr>
      <vt:lpstr>retroUtil</vt:lpstr>
      <vt:lpstr>retroY</vt:lpstr>
      <vt:lpstr>umethod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McAllister, Murdoch</dc:creator>
  <cp:lastModifiedBy>Oleynik, Haley</cp:lastModifiedBy>
  <dcterms:created xsi:type="dcterms:W3CDTF">2025-07-18T23:03:54Z</dcterms:created>
  <dcterms:modified xsi:type="dcterms:W3CDTF">2026-05-27T22:44:17Z</dcterms:modified>
</cp:coreProperties>
</file>