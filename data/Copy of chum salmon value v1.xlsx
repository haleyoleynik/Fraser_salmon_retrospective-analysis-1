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bcca-my.sharepoint.com/personal/haley_oleynik_ubc_ca/Documents/Documents/GitHub/Fraser_salmon_retrospective-analysis/data/"/>
    </mc:Choice>
  </mc:AlternateContent>
  <xr:revisionPtr revIDLastSave="0" documentId="8_{F9F711B4-8A5F-4495-BC23-26628A32D8A2}" xr6:coauthVersionLast="47" xr6:coauthVersionMax="47" xr10:uidLastSave="{00000000-0000-0000-0000-000000000000}"/>
  <bookViews>
    <workbookView xWindow="28680" yWindow="-120" windowWidth="29040" windowHeight="17520" xr2:uid="{40EF8B37-2A30-4FDA-898B-0B27E4BAD1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1" i="1" l="1"/>
  <c r="C40" i="1"/>
  <c r="C39" i="1"/>
  <c r="C36" i="1"/>
  <c r="C32" i="1"/>
  <c r="C29" i="1"/>
  <c r="C28" i="1"/>
  <c r="C27" i="1"/>
  <c r="C26" i="1"/>
  <c r="C25" i="1"/>
  <c r="C24" i="1"/>
  <c r="C20" i="1"/>
  <c r="C12" i="1"/>
  <c r="C9" i="1"/>
  <c r="C48" i="1"/>
  <c r="C53" i="1"/>
  <c r="C57" i="1"/>
  <c r="C35" i="1"/>
  <c r="C19" i="1"/>
  <c r="C11" i="1"/>
  <c r="C7" i="1"/>
  <c r="C38" i="1" l="1"/>
  <c r="C3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Oleynik, Haley</author>
  </authors>
  <commentList>
    <comment ref="B6" authorId="0" shapeId="0" xr:uid="{191AA2F7-2809-4559-8674-25D7C76273C8}">
      <text>
        <r>
          <rPr>
            <b/>
            <sz val="9"/>
            <color indexed="81"/>
            <rFont val="Tahoma"/>
            <family val="2"/>
          </rPr>
          <t>McAllister, Murdoch:</t>
        </r>
        <r>
          <rPr>
            <sz val="9"/>
            <color indexed="81"/>
            <rFont val="Tahoma"/>
            <family val="2"/>
          </rPr>
          <t xml:space="preserve">
internet quotes this to range from 35-45 eggs per piece of ikura sushi</t>
        </r>
      </text>
    </comment>
    <comment ref="C9" authorId="0" shapeId="0" xr:uid="{206A70E0-8681-4991-873D-A789B25022E1}">
      <text>
        <r>
          <rPr>
            <b/>
            <sz val="9"/>
            <color indexed="81"/>
            <rFont val="Tahoma"/>
            <family val="2"/>
          </rPr>
          <t>McAllister, Murdoch:</t>
        </r>
        <r>
          <rPr>
            <sz val="9"/>
            <color indexed="81"/>
            <rFont val="Tahoma"/>
            <family val="2"/>
          </rPr>
          <t xml:space="preserve">
In Vancouver, a single piece (nigiri) of ikura (salmon roe) typically costs between $3.00 and $5.50 CAD, depending on the restaurant's tier and neighborhood.Prices vary by exact location:Budget &amp; Mid-range: Local favorites like Fujiya offer ikura nigiri around $4.95, while Sushi Mura locations (including Main St.) price it at $4.00 to $4.25 per piece. Spots like Momo Sushi on Robson St. list it for $5.15.Premium &amp; Omakase: At upscale establishments like Tetsu Sushi Bar downtown, a piece can run up to $9.00 due to premium sourcing.</t>
        </r>
      </text>
    </comment>
    <comment ref="B10" authorId="0" shapeId="0" xr:uid="{5A921550-501E-4D9E-9947-8AFB071E802B}">
      <text>
        <r>
          <rPr>
            <b/>
            <sz val="9"/>
            <color indexed="81"/>
            <rFont val="Tahoma"/>
            <family val="2"/>
          </rPr>
          <t>McAllister, Murdoch:</t>
        </r>
        <r>
          <rPr>
            <sz val="9"/>
            <color indexed="81"/>
            <rFont val="Tahoma"/>
            <family val="2"/>
          </rPr>
          <t xml:space="preserve">
Direct dockside sales of Fraser River chum salmon roe by commercial fishermen are rare due to strict DFO regulations. When available on the docks (often through specialized community-supported fisheries), raw chum roe typically sells for $15 to $25 CAD per pound depending on freshness, market demand, and order volume.</t>
        </r>
      </text>
    </comment>
    <comment ref="B17" authorId="0" shapeId="0" xr:uid="{7887B328-2EF9-4269-9191-6BBA8C8BE8AD}">
      <text>
        <r>
          <rPr>
            <b/>
            <sz val="9"/>
            <color indexed="81"/>
            <rFont val="Tahoma"/>
            <family val="2"/>
          </rPr>
          <t>McAllister, Murdoch:</t>
        </r>
        <r>
          <rPr>
            <sz val="9"/>
            <color indexed="81"/>
            <rFont val="Tahoma"/>
            <family val="2"/>
          </rPr>
          <t xml:space="preserve">
Chum are the second largest Pacific salmon species, with an average fork length of about 70 cm and average weight roughly 5 kg for WCVI stocks (Salo, 1991). Fraser chum assessed in the Albion test fishery from 2003 to 2007 averaged 59.6 cm and 5.1 kg. Harrison River chum  on average were 63.1 cm (1991-2006). Chum eggs are large relative to other pacific salmon, with fecundities of between about two and three thousand eggs per female, depending on size (40 – 45 eggs per cm of fork length; Salo 1991).  </t>
        </r>
      </text>
    </comment>
    <comment ref="C21" authorId="1" shapeId="0" xr:uid="{27B26888-8852-4222-A949-7CC27EABE79F}">
      <text>
        <r>
          <rPr>
            <b/>
            <sz val="9"/>
            <color indexed="81"/>
            <rFont val="Tahoma"/>
            <charset val="1"/>
          </rPr>
          <t>Oleynik, Haley:</t>
        </r>
        <r>
          <rPr>
            <sz val="9"/>
            <color indexed="81"/>
            <rFont val="Tahoma"/>
            <charset val="1"/>
          </rPr>
          <t xml:space="preserve">
recovered weight</t>
        </r>
      </text>
    </comment>
    <comment ref="B23" authorId="0" shapeId="0" xr:uid="{9F378A8F-7117-4E52-8B8D-85513609B6AF}">
      <text>
        <r>
          <rPr>
            <b/>
            <sz val="9"/>
            <color indexed="81"/>
            <rFont val="Tahoma"/>
            <family val="2"/>
          </rPr>
          <t>McAllister, Murdoch:</t>
        </r>
        <r>
          <rPr>
            <sz val="9"/>
            <color indexed="81"/>
            <rFont val="Tahoma"/>
            <family val="2"/>
          </rPr>
          <t xml:space="preserve">
https://seafoodnaturally.com/products/versatile-keta-salmon-portion</t>
        </r>
      </text>
    </comment>
    <comment ref="B26" authorId="0" shapeId="0" xr:uid="{5CDFD2C1-5D3E-4866-BC97-B420ADE140B3}">
      <text>
        <r>
          <rPr>
            <b/>
            <sz val="9"/>
            <color indexed="81"/>
            <rFont val="Tahoma"/>
            <charset val="1"/>
          </rPr>
          <t>McAllister, Murdoch:</t>
        </r>
        <r>
          <rPr>
            <sz val="9"/>
            <color indexed="81"/>
            <rFont val="Tahoma"/>
            <charset val="1"/>
          </rPr>
          <t xml:space="preserve">
A single silver-bright Fraser River chum salmon typically yields 14 to 22 of these six-ounce portions.</t>
        </r>
      </text>
    </comment>
    <comment ref="C28" authorId="0" shapeId="0" xr:uid="{100D15A8-6985-4F7A-9332-0C26187714C0}">
      <text>
        <r>
          <rPr>
            <b/>
            <sz val="9"/>
            <color indexed="81"/>
            <rFont val="Tahoma"/>
            <family val="2"/>
          </rPr>
          <t>McAllister, Murdoch:</t>
        </r>
        <r>
          <rPr>
            <sz val="9"/>
            <color indexed="81"/>
            <rFont val="Tahoma"/>
            <family val="2"/>
          </rPr>
          <t xml:space="preserve">
processed fillet plus value of sushi accounting for sex ratio, average fecundity, and current value of ikura sushi</t>
        </r>
      </text>
    </comment>
    <comment ref="B33" authorId="0" shapeId="0" xr:uid="{232004FD-94A1-4F35-A2E7-2C7515759BC7}">
      <text>
        <r>
          <rPr>
            <b/>
            <sz val="9"/>
            <color indexed="81"/>
            <rFont val="Tahoma"/>
            <charset val="1"/>
          </rPr>
          <t>McAllister, Murdoch:</t>
        </r>
        <r>
          <rPr>
            <sz val="9"/>
            <color indexed="81"/>
            <rFont val="Tahoma"/>
            <charset val="1"/>
          </rPr>
          <t xml:space="preserve">
In Canadian restaurants, a prepared plate of chum salmon typically costs between $25 to $35 CAD, depending on the preparation and plating. Because chum has a milder flavor and lower oil content than sockeye, it is often served cold-smoked or candied, or as an entrée alongside sides like bannock or rice.</t>
        </r>
      </text>
    </comment>
    <comment ref="B34" authorId="0" shapeId="0" xr:uid="{86966D2D-1BF3-4E15-9938-97C41878F637}">
      <text>
        <r>
          <rPr>
            <b/>
            <sz val="9"/>
            <color indexed="81"/>
            <rFont val="Tahoma"/>
            <charset val="1"/>
          </rPr>
          <t>McAllister, Murdoch:</t>
        </r>
        <r>
          <rPr>
            <sz val="9"/>
            <color indexed="81"/>
            <rFont val="Tahoma"/>
            <charset val="1"/>
          </rPr>
          <t xml:space="preserve">
One silver bright Fraser River chum salmon (averaging 10 to 15 pounds) yields about 8 to 12 adult dinner servings. This is based on a standard 6–8 oz serving size and an edible, trimmed fillet yield of roughly 4 pounds from a whole fish.</t>
        </r>
      </text>
    </comment>
    <comment ref="B37" authorId="0" shapeId="0" xr:uid="{5E7654D3-A271-4C24-9D84-8C17D07992B9}">
      <text>
        <r>
          <rPr>
            <b/>
            <sz val="9"/>
            <color indexed="81"/>
            <rFont val="Tahoma"/>
            <charset val="1"/>
          </rPr>
          <t>McAllister, Murdoch:</t>
        </r>
        <r>
          <rPr>
            <sz val="9"/>
            <color indexed="81"/>
            <rFont val="Tahoma"/>
            <charset val="1"/>
          </rPr>
          <t xml:space="preserve">
What I currently don't know is the percentage market allocation of landed Fraser chum salmon to retail fillet, restaurant, or other final product.  </t>
        </r>
      </text>
    </comment>
    <comment ref="B44" authorId="0" shapeId="0" xr:uid="{DA5C80F9-1000-4C1E-88FD-DF5093426119}">
      <text>
        <r>
          <rPr>
            <b/>
            <sz val="9"/>
            <color indexed="81"/>
            <rFont val="Tahoma"/>
            <charset val="1"/>
          </rPr>
          <t>McAllister, Murdoch:</t>
        </r>
        <r>
          <rPr>
            <sz val="9"/>
            <color indexed="81"/>
            <rFont val="Tahoma"/>
            <charset val="1"/>
          </rPr>
          <t xml:space="preserve">
The total economic value per angler day for freshwater salmon (including chum) in BC ranges from \(\$172\) to \(\$295\) in direct angler expenditures. For specifically guided excursions in the Lower Fraser, fully outfitted day trips for up to 4 people typically cost from \(\$1,050\) to \(\$1,250\) per boat.</t>
        </r>
      </text>
    </comment>
    <comment ref="B45" authorId="0" shapeId="0" xr:uid="{7F4231AD-4880-41D4-9C4C-15B4C1E6A99F}">
      <text>
        <r>
          <rPr>
            <b/>
            <sz val="9"/>
            <color indexed="81"/>
            <rFont val="Tahoma"/>
            <family val="2"/>
          </rPr>
          <t>McAllister, Murdoch:</t>
        </r>
        <r>
          <rPr>
            <sz val="9"/>
            <color indexed="81"/>
            <rFont val="Tahoma"/>
            <family val="2"/>
          </rPr>
          <t xml:space="preserve">
There is no exact total count of anglers who fish for chum salmon in Johnstone Strait. Fisheries and Oceans Canada (DFO) manages tidal recreational fishing using annual licensing rather than distinct species tags. While tens of thousands of anglers buy tidal waters licenses to target all salmon in the region, chum fishing in the Strait is primarily a commercial harvest, with recreational angling focused more in nearby river mouths and specific terminal areas like Campbell River</t>
        </r>
      </text>
    </comment>
    <comment ref="B54" authorId="0" shapeId="0" xr:uid="{BE250096-3658-4258-AA72-36511A51C270}">
      <text>
        <r>
          <rPr>
            <b/>
            <sz val="9"/>
            <color indexed="81"/>
            <rFont val="Tahoma"/>
            <charset val="1"/>
          </rPr>
          <t>McAllister, Murdoch:</t>
        </r>
        <r>
          <rPr>
            <sz val="9"/>
            <color indexed="81"/>
            <rFont val="Tahoma"/>
            <charset val="1"/>
          </rPr>
          <t xml:space="preserve">
While Fisheries and Oceans Canada (DFO) tracks total recreational salmon stamps issued (exceeding 300,000 province-wide), they do not publish a specific, exact head-count of anglers who target chum salmon in the lower Fraser River and its tributaries, such as the Chilliwack/Vedder, Harrison, and Stave Rivers.</t>
        </r>
      </text>
    </comment>
  </commentList>
</comments>
</file>

<file path=xl/sharedStrings.xml><?xml version="1.0" encoding="utf-8"?>
<sst xmlns="http://schemas.openxmlformats.org/spreadsheetml/2006/main" count="59" uniqueCount="51">
  <si>
    <t>raw landed value per pound of eggs</t>
  </si>
  <si>
    <t>grams per egg</t>
  </si>
  <si>
    <t>price per pound troll caught dressed</t>
  </si>
  <si>
    <t>price per pound gillnet caught dressed</t>
  </si>
  <si>
    <t>average length at Albion</t>
  </si>
  <si>
    <t>eggs per cm fork length</t>
  </si>
  <si>
    <t>eggs per female (Grant and Pestal 2009)</t>
  </si>
  <si>
    <t>eggs/ female (beacham and starr 1982)</t>
  </si>
  <si>
    <t>average weight per Fraser R. chum salmon</t>
  </si>
  <si>
    <t>units</t>
  </si>
  <si>
    <t>kg</t>
  </si>
  <si>
    <t>CAD</t>
  </si>
  <si>
    <t>cm</t>
  </si>
  <si>
    <t>eggs</t>
  </si>
  <si>
    <t>value per dressed troll caught chum salmon in flesh</t>
  </si>
  <si>
    <t>dressed to round weight of chum salmon</t>
  </si>
  <si>
    <t>filleted deboned chum salmon to total round weight</t>
  </si>
  <si>
    <t>value per 6 ounce piece of chum fillet</t>
  </si>
  <si>
    <t>grams per 6 oz</t>
  </si>
  <si>
    <t>kg of fillet per salmon</t>
  </si>
  <si>
    <t>pieces of 6 oz fillet per salmon</t>
  </si>
  <si>
    <t>value in processed fillet per salmon plus sushi roe</t>
  </si>
  <si>
    <t>Sex ratio in %females</t>
  </si>
  <si>
    <t>price per pound of dressed chums sold to restaurants</t>
  </si>
  <si>
    <t>value of a restaurant sold chum salmon</t>
  </si>
  <si>
    <t>average number of chum eggs per sushi piece</t>
  </si>
  <si>
    <t>Average number of servings of ikura sushi per famale chum</t>
  </si>
  <si>
    <t>value per seving of ikura (range went from $3.00 to 9.00 per piece of ikura sushi, depending on the Vancouver restaurant</t>
  </si>
  <si>
    <t>value added per female chum salmon in terms of caviar yielded</t>
  </si>
  <si>
    <t>grams of eggs per female</t>
  </si>
  <si>
    <t>raw landed value of roe per female</t>
  </si>
  <si>
    <t>value added in processed fillet per salmon</t>
  </si>
  <si>
    <t>raw landed value of roe plus value added of roe in ikura sushi</t>
  </si>
  <si>
    <t>total landed value plus value added of fishery for 1 million chum salmon</t>
  </si>
  <si>
    <t>value per serving in a restaurant</t>
  </si>
  <si>
    <t>servings per chum salmon in a restaurant</t>
  </si>
  <si>
    <t>Value added of chum salmon served in a restaurant per chum salmon</t>
  </si>
  <si>
    <t>total landed value plus value added of fishery for 1 million chum salmon when salmon are served in a restaurant</t>
  </si>
  <si>
    <t>total landed value plus value added per chum salmon when served in a restaurant accounting for flesh and caviar</t>
  </si>
  <si>
    <t>total landed value plus value added per Fraser River Chum  salmon (using deboned fillets) accounting for flesh and caviar</t>
  </si>
  <si>
    <t>total landed value plus value added of fishery for 1 million chum salmon when 50% of the salmon are served in a restaurant and 50% sold as deboned packaged fillet pieces</t>
  </si>
  <si>
    <t>average total value of a Fraser R. Chum salmon assuming half goes to deboned fillets and half goes to restaurants</t>
  </si>
  <si>
    <t>Value per angler day in recreational fishing for Fraser chum salmon</t>
  </si>
  <si>
    <t>Johnstone straits sports fishery for silver bright chum salmon</t>
  </si>
  <si>
    <t>Fraser River mouth sports fishery for staging Fraser Chum salmon</t>
  </si>
  <si>
    <t>Fraser Valley fisheries for chum salmon in tributary streams</t>
  </si>
  <si>
    <t>value per angler day</t>
  </si>
  <si>
    <t>total angler days in Fraser River tributaries angling for chums</t>
  </si>
  <si>
    <t>total value of recreational fishery</t>
  </si>
  <si>
    <t>total angler days angling for chums</t>
  </si>
  <si>
    <t>total angler days in Fraser River mouth angling for chums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</si>
</sst>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
    <numFmt numFmtId="165" formatCode="0.0"/>
    <numFmt numFmtId="166" formatCode="&quot;$&quot;#,##0.00"/>
    <numFmt numFmtId="167" formatCode="&quot;$&quot;#,##0"/>
  </numFmts>
  <fonts count="6">
    <font>
      <sz val="11"/>
      <color theme="1"/>
      <name val="Aptos Narrow"/>
      <family val="2"/>
      <scheme val="minor"/>
    </font>
    <font>
      <sz val="9"/>
      <color indexed="81"/>
      <name val="Tahoma"/>
      <family val="2"/>
    </font>
    <font>
      <b/>
      <sz val="9"/>
      <color indexed="81"/>
      <name val="Tahoma"/>
      <family val="2"/>
    </font>
    <font>
      <sz val="11"/>
      <color theme="1"/>
      <name val="Aptos Narrow"/>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66FF"/>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164" fontId="0" fillId="0" borderId="0" xfId="0" applyNumberFormat="1" applyAlignment="1">
      <alignment horizontal="center"/>
    </xf>
    <xf numFmtId="165" fontId="0" fillId="0" borderId="0" xfId="0" applyNumberFormat="1" applyAlignment="1">
      <alignment horizontal="center"/>
    </xf>
    <xf numFmtId="167" fontId="0" fillId="0" borderId="0" xfId="0" applyNumberFormat="1"/>
    <xf numFmtId="167" fontId="0" fillId="0" borderId="0" xfId="0" applyNumberFormat="1" applyAlignment="1">
      <alignment horizontal="center"/>
    </xf>
    <xf numFmtId="166" fontId="0" fillId="5" borderId="0" xfId="1" applyNumberFormat="1" applyFont="1" applyFill="1" applyAlignment="1">
      <alignment horizontal="center"/>
    </xf>
    <xf numFmtId="166" fontId="0" fillId="0" borderId="0" xfId="0" applyNumberFormat="1" applyAlignment="1">
      <alignment horizontal="center"/>
    </xf>
    <xf numFmtId="166" fontId="0" fillId="4" borderId="0" xfId="0" applyNumberFormat="1" applyFill="1" applyAlignment="1">
      <alignment horizontal="center"/>
    </xf>
    <xf numFmtId="166" fontId="0" fillId="2" borderId="0" xfId="0" applyNumberFormat="1" applyFill="1" applyAlignment="1">
      <alignment horizontal="center"/>
    </xf>
    <xf numFmtId="167" fontId="0" fillId="2" borderId="0" xfId="0" applyNumberFormat="1" applyFill="1" applyAlignment="1">
      <alignment horizontal="center"/>
    </xf>
    <xf numFmtId="167" fontId="0" fillId="3" borderId="0" xfId="0" applyNumberFormat="1" applyFill="1" applyAlignment="1">
      <alignment horizontal="center"/>
    </xf>
    <xf numFmtId="0" fontId="0" fillId="6" borderId="0" xfId="0" applyFill="1" applyAlignment="1">
      <alignment wrapText="1"/>
    </xf>
    <xf numFmtId="167" fontId="0" fillId="6" borderId="0" xfId="0" applyNumberFormat="1" applyFill="1" applyAlignment="1">
      <alignment horizontal="center"/>
    </xf>
    <xf numFmtId="167" fontId="0" fillId="5" borderId="0" xfId="1" applyNumberFormat="1" applyFont="1" applyFill="1" applyAlignment="1">
      <alignment horizontal="center"/>
    </xf>
    <xf numFmtId="1" fontId="0" fillId="0" borderId="0" xfId="0" applyNumberFormat="1" applyAlignment="1">
      <alignment horizontal="center"/>
    </xf>
    <xf numFmtId="3" fontId="0" fillId="0" borderId="0" xfId="0" applyNumberFormat="1"/>
    <xf numFmtId="0" fontId="0" fillId="7" borderId="0" xfId="0"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29</xdr:row>
      <xdr:rowOff>0</xdr:rowOff>
    </xdr:from>
    <xdr:to>
      <xdr:col>21</xdr:col>
      <xdr:colOff>273409</xdr:colOff>
      <xdr:row>38</xdr:row>
      <xdr:rowOff>8331</xdr:rowOff>
    </xdr:to>
    <xdr:pic>
      <xdr:nvPicPr>
        <xdr:cNvPr id="2" name="Picture 1">
          <a:extLst>
            <a:ext uri="{FF2B5EF4-FFF2-40B4-BE49-F238E27FC236}">
              <a16:creationId xmlns:a16="http://schemas.microsoft.com/office/drawing/2014/main" id="{AD9F9763-2B5D-F580-7934-0B57327F9801}"/>
            </a:ext>
          </a:extLst>
        </xdr:cNvPr>
        <xdr:cNvPicPr>
          <a:picLocks noChangeAspect="1"/>
        </xdr:cNvPicPr>
      </xdr:nvPicPr>
      <xdr:blipFill>
        <a:blip xmlns:r="http://schemas.openxmlformats.org/officeDocument/2006/relationships" r:embed="rId1"/>
        <a:stretch>
          <a:fillRect/>
        </a:stretch>
      </xdr:blipFill>
      <xdr:spPr>
        <a:xfrm>
          <a:off x="8902700" y="4972050"/>
          <a:ext cx="6979009" cy="21908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24F-5123-4164-B5B2-87309BFA0640}">
  <dimension ref="A4:D57"/>
  <sheetViews>
    <sheetView tabSelected="1" topLeftCell="A23" zoomScaleNormal="100" workbookViewId="0">
      <selection activeCell="Q40" sqref="Q40"/>
    </sheetView>
  </sheetViews>
  <sheetFormatPr defaultRowHeight="14"/>
  <cols>
    <col min="2" max="2" width="57" customWidth="1"/>
    <col min="3" max="3" width="15.83203125" bestFit="1" customWidth="1"/>
  </cols>
  <sheetData>
    <row r="4" spans="2:4">
      <c r="D4" t="s">
        <v>9</v>
      </c>
    </row>
    <row r="5" spans="2:4">
      <c r="B5" s="3" t="s">
        <v>7</v>
      </c>
      <c r="C5" s="21">
        <v>3250</v>
      </c>
      <c r="D5" t="s">
        <v>13</v>
      </c>
    </row>
    <row r="6" spans="2:4">
      <c r="B6" s="3" t="s">
        <v>25</v>
      </c>
      <c r="C6" s="2">
        <v>40</v>
      </c>
    </row>
    <row r="7" spans="2:4">
      <c r="B7" s="3" t="s">
        <v>26</v>
      </c>
      <c r="C7" s="2">
        <f>C5/C6</f>
        <v>81.25</v>
      </c>
    </row>
    <row r="8" spans="2:4" ht="28">
      <c r="B8" s="3" t="s">
        <v>27</v>
      </c>
      <c r="C8" s="13">
        <v>5</v>
      </c>
      <c r="D8" t="s">
        <v>11</v>
      </c>
    </row>
    <row r="9" spans="2:4">
      <c r="B9" s="4" t="s">
        <v>28</v>
      </c>
      <c r="C9" s="15">
        <f>C8*C7</f>
        <v>406.25</v>
      </c>
      <c r="D9" t="s">
        <v>11</v>
      </c>
    </row>
    <row r="10" spans="2:4">
      <c r="B10" s="3" t="s">
        <v>0</v>
      </c>
      <c r="C10" s="13">
        <v>20</v>
      </c>
    </row>
    <row r="11" spans="2:4">
      <c r="B11" s="3" t="s">
        <v>29</v>
      </c>
      <c r="C11" s="1">
        <f>C5*C13</f>
        <v>1082.25</v>
      </c>
    </row>
    <row r="12" spans="2:4">
      <c r="B12" s="6" t="s">
        <v>30</v>
      </c>
      <c r="C12" s="14">
        <f>C10*C11*2.2/1000</f>
        <v>47.619000000000007</v>
      </c>
    </row>
    <row r="13" spans="2:4">
      <c r="B13" s="3" t="s">
        <v>1</v>
      </c>
      <c r="C13" s="1">
        <v>0.33300000000000002</v>
      </c>
    </row>
    <row r="14" spans="2:4">
      <c r="B14" s="3" t="s">
        <v>8</v>
      </c>
      <c r="C14" s="1">
        <v>5.0999999999999996</v>
      </c>
      <c r="D14" t="s">
        <v>10</v>
      </c>
    </row>
    <row r="15" spans="2:4">
      <c r="B15" s="3" t="s">
        <v>2</v>
      </c>
      <c r="C15" s="13">
        <v>3.5</v>
      </c>
      <c r="D15" t="s">
        <v>11</v>
      </c>
    </row>
    <row r="16" spans="2:4">
      <c r="B16" s="3" t="s">
        <v>3</v>
      </c>
      <c r="C16" s="13">
        <v>3.4</v>
      </c>
      <c r="D16" t="s">
        <v>11</v>
      </c>
    </row>
    <row r="17" spans="2:4">
      <c r="B17" s="3" t="s">
        <v>4</v>
      </c>
      <c r="C17" s="1">
        <v>63.1</v>
      </c>
      <c r="D17" t="s">
        <v>12</v>
      </c>
    </row>
    <row r="18" spans="2:4">
      <c r="B18" s="3" t="s">
        <v>5</v>
      </c>
      <c r="C18" s="1">
        <v>42.5</v>
      </c>
    </row>
    <row r="19" spans="2:4">
      <c r="B19" s="3" t="s">
        <v>6</v>
      </c>
      <c r="C19" s="11">
        <f>C17*C18</f>
        <v>2681.75</v>
      </c>
    </row>
    <row r="20" spans="2:4">
      <c r="B20" s="6" t="s">
        <v>14</v>
      </c>
      <c r="C20" s="14">
        <f>C14*C15*2.2*C21</f>
        <v>26.3109</v>
      </c>
    </row>
    <row r="21" spans="2:4">
      <c r="B21" s="3" t="s">
        <v>15</v>
      </c>
      <c r="C21" s="1">
        <v>0.67</v>
      </c>
    </row>
    <row r="22" spans="2:4">
      <c r="B22" s="3" t="s">
        <v>16</v>
      </c>
      <c r="C22" s="1">
        <v>0.5</v>
      </c>
    </row>
    <row r="23" spans="2:4">
      <c r="B23" s="3" t="s">
        <v>17</v>
      </c>
      <c r="C23" s="13">
        <v>11.35</v>
      </c>
      <c r="D23" t="s">
        <v>11</v>
      </c>
    </row>
    <row r="24" spans="2:4">
      <c r="B24" s="3" t="s">
        <v>18</v>
      </c>
      <c r="C24" s="1">
        <f>6*28</f>
        <v>168</v>
      </c>
    </row>
    <row r="25" spans="2:4">
      <c r="B25" s="3" t="s">
        <v>19</v>
      </c>
      <c r="C25" s="8">
        <f>C14*C22</f>
        <v>2.5499999999999998</v>
      </c>
    </row>
    <row r="26" spans="2:4">
      <c r="B26" s="3" t="s">
        <v>20</v>
      </c>
      <c r="C26" s="9">
        <f>C25/(C24/1000)</f>
        <v>15.178571428571427</v>
      </c>
    </row>
    <row r="27" spans="2:4">
      <c r="B27" s="4" t="s">
        <v>31</v>
      </c>
      <c r="C27" s="16">
        <f>C26*C23</f>
        <v>172.27678571428569</v>
      </c>
    </row>
    <row r="28" spans="2:4">
      <c r="B28" s="5" t="s">
        <v>21</v>
      </c>
      <c r="C28" s="17">
        <f>C27+C30*C9</f>
        <v>387.58928571428567</v>
      </c>
    </row>
    <row r="29" spans="2:4" ht="15.5" customHeight="1">
      <c r="B29" s="5" t="s">
        <v>32</v>
      </c>
      <c r="C29" s="17">
        <f>C9+C12</f>
        <v>453.86900000000003</v>
      </c>
    </row>
    <row r="30" spans="2:4">
      <c r="B30" s="3" t="s">
        <v>22</v>
      </c>
      <c r="C30" s="1">
        <v>0.53</v>
      </c>
    </row>
    <row r="31" spans="2:4">
      <c r="B31" s="3" t="s">
        <v>23</v>
      </c>
      <c r="C31" s="13">
        <v>8</v>
      </c>
    </row>
    <row r="32" spans="2:4">
      <c r="B32" s="3" t="s">
        <v>24</v>
      </c>
      <c r="C32" s="13">
        <f>C14*C21*C31</f>
        <v>27.335999999999999</v>
      </c>
    </row>
    <row r="33" spans="1:3">
      <c r="B33" s="3" t="s">
        <v>34</v>
      </c>
      <c r="C33" s="13">
        <v>30</v>
      </c>
    </row>
    <row r="34" spans="1:3">
      <c r="B34" s="3" t="s">
        <v>35</v>
      </c>
      <c r="C34" s="2">
        <v>10</v>
      </c>
    </row>
    <row r="35" spans="1:3">
      <c r="B35" s="3" t="s">
        <v>36</v>
      </c>
      <c r="C35" s="13">
        <f>C34*C33</f>
        <v>300</v>
      </c>
    </row>
    <row r="36" spans="1:3" ht="28">
      <c r="B36" s="7" t="s">
        <v>39</v>
      </c>
      <c r="C36" s="12">
        <f>(C9+C12)*C30+C20+C27</f>
        <v>439.13825571428572</v>
      </c>
    </row>
    <row r="37" spans="1:3" ht="28">
      <c r="B37" s="18" t="s">
        <v>33</v>
      </c>
      <c r="C37" s="19">
        <f>C36*1000000</f>
        <v>439138255.71428573</v>
      </c>
    </row>
    <row r="38" spans="1:3" ht="28">
      <c r="B38" s="7" t="s">
        <v>38</v>
      </c>
      <c r="C38" s="20">
        <f>(C12+C9)*C30+C20+C35</f>
        <v>566.86147000000005</v>
      </c>
    </row>
    <row r="39" spans="1:3" ht="28">
      <c r="B39" s="7" t="s">
        <v>41</v>
      </c>
      <c r="C39" s="20">
        <f>(C36+C38)*0.5</f>
        <v>502.99986285714289</v>
      </c>
    </row>
    <row r="40" spans="1:3" ht="28">
      <c r="B40" s="18" t="s">
        <v>37</v>
      </c>
      <c r="C40" s="19">
        <f>1000000*C38</f>
        <v>566861470</v>
      </c>
    </row>
    <row r="41" spans="1:3" ht="42">
      <c r="B41" s="18" t="s">
        <v>40</v>
      </c>
      <c r="C41" s="10">
        <f>0.5*(C37+C40)</f>
        <v>502999862.85714287</v>
      </c>
    </row>
    <row r="44" spans="1:3">
      <c r="B44" t="s">
        <v>42</v>
      </c>
    </row>
    <row r="45" spans="1:3">
      <c r="A45">
        <v>1</v>
      </c>
      <c r="B45" t="s">
        <v>43</v>
      </c>
    </row>
    <row r="46" spans="1:3">
      <c r="B46" t="s">
        <v>46</v>
      </c>
      <c r="C46">
        <v>250</v>
      </c>
    </row>
    <row r="47" spans="1:3">
      <c r="B47" t="s">
        <v>49</v>
      </c>
      <c r="C47" s="23">
        <v>100</v>
      </c>
    </row>
    <row r="48" spans="1:3">
      <c r="B48" t="s">
        <v>48</v>
      </c>
      <c r="C48" s="22">
        <f>C46*C47</f>
        <v>25000</v>
      </c>
    </row>
    <row r="50" spans="1:3">
      <c r="A50">
        <v>2</v>
      </c>
      <c r="B50" t="s">
        <v>44</v>
      </c>
    </row>
    <row r="51" spans="1:3">
      <c r="B51" t="s">
        <v>46</v>
      </c>
      <c r="C51">
        <v>250</v>
      </c>
    </row>
    <row r="52" spans="1:3">
      <c r="B52" t="s">
        <v>50</v>
      </c>
      <c r="C52">
        <v>100</v>
      </c>
    </row>
    <row r="53" spans="1:3">
      <c r="B53" t="s">
        <v>48</v>
      </c>
      <c r="C53" s="22">
        <f>C51*C52</f>
        <v>25000</v>
      </c>
    </row>
    <row r="54" spans="1:3">
      <c r="A54">
        <v>3</v>
      </c>
      <c r="B54" t="s">
        <v>45</v>
      </c>
    </row>
    <row r="55" spans="1:3">
      <c r="B55" t="s">
        <v>46</v>
      </c>
      <c r="C55">
        <v>250</v>
      </c>
    </row>
    <row r="56" spans="1:3">
      <c r="B56" t="s">
        <v>47</v>
      </c>
      <c r="C56">
        <v>1000</v>
      </c>
    </row>
    <row r="57" spans="1:3">
      <c r="B57" t="s">
        <v>48</v>
      </c>
      <c r="C57" s="22">
        <f>C55*C56</f>
        <v>250000</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McAllister, Murdoch</dc:creator>
  <cp:lastModifiedBy>Oleynik, Haley</cp:lastModifiedBy>
  <dcterms:created xsi:type="dcterms:W3CDTF">2026-07-09T22:59:41Z</dcterms:created>
  <dcterms:modified xsi:type="dcterms:W3CDTF">2026-07-14T20:45:28Z</dcterms:modified>
</cp:coreProperties>
</file>