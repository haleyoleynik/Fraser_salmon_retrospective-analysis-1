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ubcca-my.sharepoint.com/personal/haley_oleynik_ubc_ca/Documents/Documents/GitHub/Fraser_salmon_retrospective-analysis/data/"/>
    </mc:Choice>
  </mc:AlternateContent>
  <xr:revisionPtr revIDLastSave="4" documentId="13_ncr:1_{A457C650-4D6E-46D5-8063-F7C44E9D2737}" xr6:coauthVersionLast="47" xr6:coauthVersionMax="47" xr10:uidLastSave="{9D44C1EF-3D44-41A8-B065-49565832F014}"/>
  <bookViews>
    <workbookView xWindow="-52920" yWindow="-2610" windowWidth="24240" windowHeight="13020" xr2:uid="{00000000-000D-0000-FFFF-FFFF00000000}"/>
  </bookViews>
  <sheets>
    <sheet name="DATA" sheetId="1" r:id="rId1"/>
    <sheet name="notes" sheetId="2" r:id="rId2"/>
  </sheets>
  <definedNames>
    <definedName name="_xlnm._FilterDatabase" localSheetId="0" hidden="1">DATA!$A$1:$H$71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" l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H2" i="1"/>
  <c r="G2" i="1"/>
</calcChain>
</file>

<file path=xl/sharedStrings.xml><?xml version="1.0" encoding="utf-8"?>
<sst xmlns="http://schemas.openxmlformats.org/spreadsheetml/2006/main" count="157" uniqueCount="53">
  <si>
    <t>Farmed</t>
  </si>
  <si>
    <t>Atlantic Salmon</t>
  </si>
  <si>
    <t>Geoducks &amp; Other Clams</t>
  </si>
  <si>
    <t>Mussels</t>
  </si>
  <si>
    <t>Other</t>
  </si>
  <si>
    <t>Oysters</t>
  </si>
  <si>
    <t>Pacific Salmon</t>
  </si>
  <si>
    <t>Scallops &amp; Other Invertebrates</t>
  </si>
  <si>
    <t>Wild</t>
  </si>
  <si>
    <t>Arrowtooth Flounders</t>
  </si>
  <si>
    <t>Chinook Salmon</t>
  </si>
  <si>
    <t>Chum Salmon</t>
  </si>
  <si>
    <t>Clams (Excl. Geoduck)</t>
  </si>
  <si>
    <t>Coho Salmon</t>
  </si>
  <si>
    <t>Crabs</t>
  </si>
  <si>
    <t>Geoducks</t>
  </si>
  <si>
    <t>Hake</t>
  </si>
  <si>
    <t>Halibut</t>
  </si>
  <si>
    <t>Herring</t>
  </si>
  <si>
    <t>Lingcod</t>
  </si>
  <si>
    <t>Other Groundfish</t>
  </si>
  <si>
    <t>Other Invertebrates</t>
  </si>
  <si>
    <t>Pacific Cod</t>
  </si>
  <si>
    <t>Pink Salmon</t>
  </si>
  <si>
    <t>Pollock</t>
  </si>
  <si>
    <t>Prawns</t>
  </si>
  <si>
    <t>Rockfish</t>
  </si>
  <si>
    <t>Sablefish</t>
  </si>
  <si>
    <t>Sea Cucumbers</t>
  </si>
  <si>
    <t>Sea Urchins Green</t>
  </si>
  <si>
    <t>Sea Urchins Red</t>
  </si>
  <si>
    <t>Shrimp</t>
  </si>
  <si>
    <t>Skates</t>
  </si>
  <si>
    <t>Sockeye Salmon</t>
  </si>
  <si>
    <t>Soles</t>
  </si>
  <si>
    <t>Tuna</t>
  </si>
  <si>
    <t>Landed Value</t>
  </si>
  <si>
    <t>Wholesale Value</t>
  </si>
  <si>
    <t>Species</t>
  </si>
  <si>
    <t>Harvest (KG)</t>
  </si>
  <si>
    <t>Source</t>
  </si>
  <si>
    <t>Year</t>
  </si>
  <si>
    <t>Wholesale values include value of imported seafood. In addition, wholesale value of wild salmon and groundfish includes value of offal, meal, and oil that cannot be identified by species.</t>
  </si>
  <si>
    <t>Wild salmon wholesale values include those for steelhead and those from aboriginal commercial fisheries.</t>
  </si>
  <si>
    <t xml:space="preserve">Farmed Pacific Salmon includes chinook, coho, sockeye, and steelhead. </t>
  </si>
  <si>
    <t>Farmed Geoduck &amp; Other Clams include geoduck, butter clam, horse clam, littleneck clam, manila clam, other clam, razor clam, and varnish clam.</t>
  </si>
  <si>
    <t>Farmed Scallops &amp; Other Invertebrates include scallop and abalone.</t>
  </si>
  <si>
    <t>Wild Other Groundfish include flounders, dogfish, other groundfish, and groundfish meal &amp; oil from offal.</t>
  </si>
  <si>
    <t>Wild Other Invertebrates include abalone, gooseneck barnacles, lobster, octopus, scallop, squid, euphausiids/krill, other crustaceans, other shellfish.</t>
  </si>
  <si>
    <t>Wild Other includes american shad, arctic char, barramundi, floating kelp, food &amp; bait, hagfish, mackerel, other, other fish, other freshwater, other marine, perches, phytoplankton, rainbow trout, red snapper, sardine, sea asparagus / vegetables, smelt, special use, tilapia, white sturgeon, yellowtail, oil, other aquatic plant, other seaweed.</t>
  </si>
  <si>
    <t>Farmed Other includes arctic char, barramundi, rainbow trout, tilapia.</t>
  </si>
  <si>
    <t>landed value / kg</t>
  </si>
  <si>
    <t>wholesale value /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</si>
</sst>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&quot;$&quot;#,##0.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1" fontId="0" fillId="2" borderId="0" xfId="0" applyNumberFormat="1" applyFill="1"/>
    <xf numFmtId="164" fontId="0" fillId="2" borderId="0" xfId="0" applyNumberFormat="1" applyFill="1"/>
    <xf numFmtId="165" fontId="0" fillId="2" borderId="0" xfId="0" applyNumberFormat="1" applyFill="1"/>
    <xf numFmtId="0" fontId="0" fillId="0" borderId="0" xfId="0" applyFill="1"/>
    <xf numFmtId="1" fontId="0" fillId="0" borderId="0" xfId="0" applyNumberFormat="1" applyFill="1"/>
    <xf numFmtId="164" fontId="0" fillId="0" borderId="0" xfId="0" applyNumberFormat="1" applyFill="1"/>
    <xf numFmtId="165" fontId="0" fillId="0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71"/>
  <sheetViews>
    <sheetView tabSelected="1" workbookViewId="0">
      <selection activeCell="H73" sqref="H73"/>
    </sheetView>
  </sheetViews>
  <sheetFormatPr defaultRowHeight="14.5" x14ac:dyDescent="0.35"/>
  <cols>
    <col min="3" max="3" width="25.81640625" customWidth="1"/>
    <col min="4" max="4" width="23.26953125" style="3" customWidth="1"/>
    <col min="5" max="5" width="14.81640625" style="7" customWidth="1"/>
    <col min="6" max="6" width="19.6328125" style="7" customWidth="1"/>
    <col min="7" max="7" width="13.36328125" customWidth="1"/>
    <col min="8" max="8" width="14.36328125" customWidth="1"/>
  </cols>
  <sheetData>
    <row r="1" spans="1:8" x14ac:dyDescent="0.35">
      <c r="A1" s="1" t="s">
        <v>41</v>
      </c>
      <c r="B1" s="1" t="s">
        <v>40</v>
      </c>
      <c r="C1" s="1" t="s">
        <v>38</v>
      </c>
      <c r="D1" s="2" t="s">
        <v>39</v>
      </c>
      <c r="E1" s="6" t="s">
        <v>36</v>
      </c>
      <c r="F1" s="6" t="s">
        <v>37</v>
      </c>
      <c r="G1" t="s">
        <v>51</v>
      </c>
      <c r="H1" t="s">
        <v>52</v>
      </c>
    </row>
    <row r="2" spans="1:8" hidden="1" x14ac:dyDescent="0.35">
      <c r="A2">
        <v>2023</v>
      </c>
      <c r="B2" t="s">
        <v>0</v>
      </c>
      <c r="C2" t="s">
        <v>1</v>
      </c>
      <c r="D2" s="3">
        <v>47562461.918799996</v>
      </c>
      <c r="E2" s="7">
        <v>463819749</v>
      </c>
      <c r="F2" s="7">
        <v>553309948.01999998</v>
      </c>
      <c r="G2" s="8">
        <f>E2/D2</f>
        <v>9.7518027933845488</v>
      </c>
      <c r="H2" s="8">
        <f>F2/D2</f>
        <v>11.63333279435002</v>
      </c>
    </row>
    <row r="3" spans="1:8" hidden="1" x14ac:dyDescent="0.35">
      <c r="A3">
        <v>2023</v>
      </c>
      <c r="B3" t="s">
        <v>0</v>
      </c>
      <c r="C3" t="s">
        <v>2</v>
      </c>
      <c r="D3" s="3">
        <v>1403386.5095919999</v>
      </c>
      <c r="E3" s="7">
        <v>13219994</v>
      </c>
      <c r="F3" s="7">
        <v>16644111</v>
      </c>
      <c r="G3" s="8">
        <f t="shared" ref="G3:G66" si="0">E3/D3</f>
        <v>9.4200663250235941</v>
      </c>
      <c r="H3" s="8">
        <f t="shared" ref="H3:H66" si="1">F3/D3</f>
        <v>11.859962231530119</v>
      </c>
    </row>
    <row r="4" spans="1:8" hidden="1" x14ac:dyDescent="0.35">
      <c r="A4">
        <v>2023</v>
      </c>
      <c r="B4" t="s">
        <v>0</v>
      </c>
      <c r="C4" t="s">
        <v>3</v>
      </c>
      <c r="D4" s="3">
        <v>716979.26664000005</v>
      </c>
      <c r="E4" s="7">
        <v>4413864</v>
      </c>
      <c r="F4" s="7">
        <v>8491633</v>
      </c>
      <c r="G4" s="8">
        <f t="shared" si="0"/>
        <v>6.1561947539777737</v>
      </c>
      <c r="H4" s="8">
        <f t="shared" si="1"/>
        <v>11.843624209378573</v>
      </c>
    </row>
    <row r="5" spans="1:8" hidden="1" x14ac:dyDescent="0.35">
      <c r="A5">
        <v>2023</v>
      </c>
      <c r="B5" t="s">
        <v>0</v>
      </c>
      <c r="C5" t="s">
        <v>4</v>
      </c>
      <c r="D5" s="3">
        <v>1308377.3524032519</v>
      </c>
      <c r="E5" s="7">
        <v>18694763</v>
      </c>
      <c r="F5" s="7">
        <v>51357108.899999999</v>
      </c>
      <c r="G5" s="8">
        <f t="shared" si="0"/>
        <v>14.288510088974798</v>
      </c>
      <c r="H5" s="8">
        <f t="shared" si="1"/>
        <v>39.252520540550705</v>
      </c>
    </row>
    <row r="6" spans="1:8" hidden="1" x14ac:dyDescent="0.35">
      <c r="A6">
        <v>2023</v>
      </c>
      <c r="B6" t="s">
        <v>0</v>
      </c>
      <c r="C6" t="s">
        <v>5</v>
      </c>
      <c r="D6" s="3">
        <v>7371289.0411437498</v>
      </c>
      <c r="E6" s="7">
        <v>16102647</v>
      </c>
      <c r="F6" s="7">
        <v>22615750</v>
      </c>
      <c r="G6" s="8">
        <f t="shared" si="0"/>
        <v>2.1845089658160344</v>
      </c>
      <c r="H6" s="8">
        <f t="shared" si="1"/>
        <v>3.0680861751272306</v>
      </c>
    </row>
    <row r="7" spans="1:8" hidden="1" x14ac:dyDescent="0.35">
      <c r="A7">
        <v>2023</v>
      </c>
      <c r="B7" t="s">
        <v>0</v>
      </c>
      <c r="C7" t="s">
        <v>6</v>
      </c>
      <c r="D7" s="3">
        <v>2503089.3111999999</v>
      </c>
      <c r="E7" s="7">
        <v>40490780</v>
      </c>
      <c r="F7" s="7">
        <v>44114636</v>
      </c>
      <c r="G7" s="8">
        <f t="shared" si="0"/>
        <v>16.176322522262865</v>
      </c>
      <c r="H7" s="8">
        <f t="shared" si="1"/>
        <v>17.624075897975494</v>
      </c>
    </row>
    <row r="8" spans="1:8" hidden="1" x14ac:dyDescent="0.35">
      <c r="A8">
        <v>2023</v>
      </c>
      <c r="B8" t="s">
        <v>0</v>
      </c>
      <c r="C8" t="s">
        <v>7</v>
      </c>
      <c r="D8" s="3">
        <v>96050.42941666652</v>
      </c>
      <c r="E8" s="7">
        <v>1150712</v>
      </c>
      <c r="F8" s="7">
        <v>3924388</v>
      </c>
      <c r="G8" s="8">
        <f t="shared" si="0"/>
        <v>11.980290010034356</v>
      </c>
      <c r="H8" s="8">
        <f t="shared" si="1"/>
        <v>40.857578918007903</v>
      </c>
    </row>
    <row r="9" spans="1:8" hidden="1" x14ac:dyDescent="0.35">
      <c r="A9">
        <v>2023</v>
      </c>
      <c r="B9" t="s">
        <v>8</v>
      </c>
      <c r="C9" t="s">
        <v>9</v>
      </c>
      <c r="D9" s="3">
        <v>3436.2358599999998</v>
      </c>
      <c r="E9" s="7">
        <v>1136342.4920621859</v>
      </c>
      <c r="F9" s="7">
        <v>4324818</v>
      </c>
      <c r="G9" s="8">
        <f t="shared" si="0"/>
        <v>330.69397397598487</v>
      </c>
      <c r="H9" s="8">
        <f t="shared" si="1"/>
        <v>1258.591719603322</v>
      </c>
    </row>
    <row r="10" spans="1:8" x14ac:dyDescent="0.35">
      <c r="A10" s="13">
        <v>2023</v>
      </c>
      <c r="B10" s="13" t="s">
        <v>8</v>
      </c>
      <c r="C10" s="13" t="s">
        <v>10</v>
      </c>
      <c r="D10" s="14">
        <v>1486.4821085584999</v>
      </c>
      <c r="E10" s="15">
        <v>11027132.374535751</v>
      </c>
      <c r="F10" s="15">
        <v>21545145.350000001</v>
      </c>
      <c r="G10" s="16">
        <f t="shared" si="0"/>
        <v>7418.2745362668329</v>
      </c>
      <c r="H10" s="16">
        <f t="shared" si="1"/>
        <v>14494.049558990773</v>
      </c>
    </row>
    <row r="11" spans="1:8" x14ac:dyDescent="0.35">
      <c r="A11" s="9">
        <v>2023</v>
      </c>
      <c r="B11" s="9" t="s">
        <v>8</v>
      </c>
      <c r="C11" s="9" t="s">
        <v>11</v>
      </c>
      <c r="D11" s="10">
        <v>485.41812637534878</v>
      </c>
      <c r="E11" s="11">
        <v>1247682.9849467271</v>
      </c>
      <c r="F11" s="11">
        <v>8486750.9100000001</v>
      </c>
      <c r="G11" s="12">
        <f t="shared" si="0"/>
        <v>2570.3263169491906</v>
      </c>
      <c r="H11" s="12">
        <f t="shared" si="1"/>
        <v>17483.382776352348</v>
      </c>
    </row>
    <row r="12" spans="1:8" hidden="1" x14ac:dyDescent="0.35">
      <c r="A12">
        <v>2023</v>
      </c>
      <c r="B12" t="s">
        <v>8</v>
      </c>
      <c r="C12" t="s">
        <v>12</v>
      </c>
      <c r="D12" s="3">
        <v>270.01377436836998</v>
      </c>
      <c r="E12" s="7">
        <v>1723730.089012526</v>
      </c>
      <c r="F12" s="7">
        <v>12615274.5</v>
      </c>
      <c r="G12" s="8">
        <f t="shared" si="0"/>
        <v>6383.8598347242232</v>
      </c>
      <c r="H12" s="8">
        <f t="shared" si="1"/>
        <v>46720.855369361416</v>
      </c>
    </row>
    <row r="13" spans="1:8" x14ac:dyDescent="0.35">
      <c r="A13" s="13">
        <v>2023</v>
      </c>
      <c r="B13" s="13" t="s">
        <v>8</v>
      </c>
      <c r="C13" s="13" t="s">
        <v>13</v>
      </c>
      <c r="D13" s="14">
        <v>518.83008102422423</v>
      </c>
      <c r="E13" s="15">
        <v>2663207.459535569</v>
      </c>
      <c r="F13" s="15">
        <v>26072401.09</v>
      </c>
      <c r="G13" s="16">
        <f t="shared" si="0"/>
        <v>5133.1014853227516</v>
      </c>
      <c r="H13" s="16">
        <f t="shared" si="1"/>
        <v>50252.292693843781</v>
      </c>
    </row>
    <row r="14" spans="1:8" hidden="1" x14ac:dyDescent="0.35">
      <c r="A14">
        <v>2023</v>
      </c>
      <c r="B14" t="s">
        <v>8</v>
      </c>
      <c r="C14" t="s">
        <v>14</v>
      </c>
      <c r="D14" s="3">
        <v>7181.8209999999999</v>
      </c>
      <c r="E14" s="7">
        <v>113539118.31900419</v>
      </c>
      <c r="F14" s="7">
        <v>230911113.56999999</v>
      </c>
      <c r="G14" s="8">
        <f t="shared" si="0"/>
        <v>15809.238119274234</v>
      </c>
      <c r="H14" s="8">
        <f t="shared" si="1"/>
        <v>32152.167753832906</v>
      </c>
    </row>
    <row r="15" spans="1:8" hidden="1" x14ac:dyDescent="0.35">
      <c r="A15">
        <v>2023</v>
      </c>
      <c r="B15" t="s">
        <v>8</v>
      </c>
      <c r="C15" t="s">
        <v>15</v>
      </c>
      <c r="D15" s="3">
        <v>1444.3710000000001</v>
      </c>
      <c r="E15" s="7">
        <v>64800354.23772309</v>
      </c>
      <c r="F15" s="7">
        <v>71206281</v>
      </c>
      <c r="G15" s="8">
        <f t="shared" si="0"/>
        <v>44864.064868183508</v>
      </c>
      <c r="H15" s="8">
        <f t="shared" si="1"/>
        <v>49299.16274973673</v>
      </c>
    </row>
    <row r="16" spans="1:8" hidden="1" x14ac:dyDescent="0.35">
      <c r="A16">
        <v>2023</v>
      </c>
      <c r="B16" t="s">
        <v>8</v>
      </c>
      <c r="C16" t="s">
        <v>16</v>
      </c>
      <c r="D16" s="3">
        <v>30310.270779999999</v>
      </c>
      <c r="E16" s="7">
        <v>24724372.791791242</v>
      </c>
      <c r="F16" s="7">
        <v>34947474</v>
      </c>
      <c r="G16" s="8">
        <f t="shared" si="0"/>
        <v>815.709399999997</v>
      </c>
      <c r="H16" s="8">
        <f t="shared" si="1"/>
        <v>1152.9911512060733</v>
      </c>
    </row>
    <row r="17" spans="1:8" hidden="1" x14ac:dyDescent="0.35">
      <c r="A17">
        <v>2023</v>
      </c>
      <c r="B17" t="s">
        <v>8</v>
      </c>
      <c r="C17" t="s">
        <v>17</v>
      </c>
      <c r="D17" s="3">
        <v>3163.69139</v>
      </c>
      <c r="E17" s="7">
        <v>53647154.782881767</v>
      </c>
      <c r="F17" s="7">
        <v>61691439.259999998</v>
      </c>
      <c r="G17" s="8">
        <f t="shared" si="0"/>
        <v>16957.139040948543</v>
      </c>
      <c r="H17" s="8">
        <f t="shared" si="1"/>
        <v>19499.828414047679</v>
      </c>
    </row>
    <row r="18" spans="1:8" hidden="1" x14ac:dyDescent="0.35">
      <c r="A18">
        <v>2023</v>
      </c>
      <c r="B18" t="s">
        <v>8</v>
      </c>
      <c r="C18" t="s">
        <v>18</v>
      </c>
      <c r="D18" s="3">
        <v>4740.8786012</v>
      </c>
      <c r="E18" s="7">
        <v>3327804.920875533</v>
      </c>
      <c r="F18" s="7">
        <v>34685178.359999999</v>
      </c>
      <c r="G18" s="8">
        <f t="shared" si="0"/>
        <v>701.93843816907838</v>
      </c>
      <c r="H18" s="8">
        <f t="shared" si="1"/>
        <v>7316.1920558819138</v>
      </c>
    </row>
    <row r="19" spans="1:8" hidden="1" x14ac:dyDescent="0.35">
      <c r="A19">
        <v>2023</v>
      </c>
      <c r="B19" t="s">
        <v>8</v>
      </c>
      <c r="C19" t="s">
        <v>19</v>
      </c>
      <c r="D19" s="3">
        <v>2043.14705</v>
      </c>
      <c r="E19" s="7">
        <v>9997457.2290521003</v>
      </c>
      <c r="F19" s="7">
        <v>13457191.34</v>
      </c>
      <c r="G19" s="8">
        <f t="shared" si="0"/>
        <v>4893.1657802369637</v>
      </c>
      <c r="H19" s="8">
        <f t="shared" si="1"/>
        <v>6586.5016127938516</v>
      </c>
    </row>
    <row r="20" spans="1:8" hidden="1" x14ac:dyDescent="0.35">
      <c r="A20">
        <v>2023</v>
      </c>
      <c r="B20" t="s">
        <v>8</v>
      </c>
      <c r="C20" t="s">
        <v>4</v>
      </c>
      <c r="D20" s="3">
        <v>1655.2617814757859</v>
      </c>
      <c r="E20" s="7">
        <v>2149944.2943372889</v>
      </c>
      <c r="F20" s="7">
        <v>156009620.56</v>
      </c>
      <c r="G20" s="8">
        <f t="shared" si="0"/>
        <v>1298.8545488076561</v>
      </c>
      <c r="H20" s="8">
        <f t="shared" si="1"/>
        <v>94250.723544710927</v>
      </c>
    </row>
    <row r="21" spans="1:8" hidden="1" x14ac:dyDescent="0.35">
      <c r="A21">
        <v>2023</v>
      </c>
      <c r="B21" t="s">
        <v>8</v>
      </c>
      <c r="C21" t="s">
        <v>20</v>
      </c>
      <c r="D21" s="3">
        <v>183.93803</v>
      </c>
      <c r="E21" s="7">
        <v>244315.2374679803</v>
      </c>
      <c r="F21" s="7">
        <v>9100430.1600000001</v>
      </c>
      <c r="G21" s="8">
        <f t="shared" si="0"/>
        <v>1328.2475487422601</v>
      </c>
      <c r="H21" s="8">
        <f t="shared" si="1"/>
        <v>49475.522598562136</v>
      </c>
    </row>
    <row r="22" spans="1:8" hidden="1" x14ac:dyDescent="0.35">
      <c r="A22">
        <v>2023</v>
      </c>
      <c r="B22" t="s">
        <v>8</v>
      </c>
      <c r="C22" t="s">
        <v>21</v>
      </c>
      <c r="D22" s="3">
        <v>61.027999999999999</v>
      </c>
      <c r="E22" s="7">
        <v>516751.16653335211</v>
      </c>
      <c r="F22" s="7">
        <v>24395047.260000002</v>
      </c>
      <c r="G22" s="8">
        <f t="shared" si="0"/>
        <v>8467.44390334522</v>
      </c>
      <c r="H22" s="8">
        <f t="shared" si="1"/>
        <v>399735.32247492956</v>
      </c>
    </row>
    <row r="23" spans="1:8" hidden="1" x14ac:dyDescent="0.35">
      <c r="A23">
        <v>2023</v>
      </c>
      <c r="B23" t="s">
        <v>8</v>
      </c>
      <c r="C23" t="s">
        <v>22</v>
      </c>
      <c r="D23" s="3">
        <v>592.54512</v>
      </c>
      <c r="E23" s="7">
        <v>914958.73094262718</v>
      </c>
      <c r="F23" s="7">
        <v>8445764.6999999993</v>
      </c>
      <c r="G23" s="8">
        <f t="shared" si="0"/>
        <v>1544.1165576431163</v>
      </c>
      <c r="H23" s="8">
        <f t="shared" si="1"/>
        <v>14253.36976870217</v>
      </c>
    </row>
    <row r="24" spans="1:8" hidden="1" x14ac:dyDescent="0.35">
      <c r="A24">
        <v>2023</v>
      </c>
      <c r="B24" t="s">
        <v>8</v>
      </c>
      <c r="C24" t="s">
        <v>23</v>
      </c>
      <c r="D24" s="3">
        <v>3563.4588041762349</v>
      </c>
      <c r="E24" s="7">
        <v>2029559.562331558</v>
      </c>
      <c r="F24" s="7">
        <v>18139952.699999999</v>
      </c>
      <c r="G24" s="8">
        <f t="shared" si="0"/>
        <v>569.54764285558554</v>
      </c>
      <c r="H24" s="8">
        <f t="shared" si="1"/>
        <v>5090.5464877945778</v>
      </c>
    </row>
    <row r="25" spans="1:8" hidden="1" x14ac:dyDescent="0.35">
      <c r="A25">
        <v>2023</v>
      </c>
      <c r="B25" t="s">
        <v>8</v>
      </c>
      <c r="C25" t="s">
        <v>24</v>
      </c>
      <c r="D25" s="3">
        <v>5887.1595700000007</v>
      </c>
      <c r="E25" s="7">
        <v>2595789.7705490571</v>
      </c>
      <c r="F25" s="7">
        <v>7642580</v>
      </c>
      <c r="G25" s="8">
        <f t="shared" si="0"/>
        <v>440.92397015646998</v>
      </c>
      <c r="H25" s="8">
        <f t="shared" si="1"/>
        <v>1298.1778239790431</v>
      </c>
    </row>
    <row r="26" spans="1:8" hidden="1" x14ac:dyDescent="0.35">
      <c r="A26">
        <v>2023</v>
      </c>
      <c r="B26" t="s">
        <v>8</v>
      </c>
      <c r="C26" t="s">
        <v>25</v>
      </c>
      <c r="D26" s="3">
        <v>1596.5239999999999</v>
      </c>
      <c r="E26" s="7">
        <v>72506490.188071251</v>
      </c>
      <c r="F26" s="7">
        <v>82728000</v>
      </c>
      <c r="G26" s="8">
        <f t="shared" si="0"/>
        <v>45415.220935025878</v>
      </c>
      <c r="H26" s="8">
        <f t="shared" si="1"/>
        <v>51817.573678817236</v>
      </c>
    </row>
    <row r="27" spans="1:8" hidden="1" x14ac:dyDescent="0.35">
      <c r="A27">
        <v>2023</v>
      </c>
      <c r="B27" t="s">
        <v>8</v>
      </c>
      <c r="C27" t="s">
        <v>26</v>
      </c>
      <c r="D27" s="3">
        <v>19309.451110000002</v>
      </c>
      <c r="E27" s="7">
        <v>24903508.885349989</v>
      </c>
      <c r="F27" s="7">
        <v>37668055.369999997</v>
      </c>
      <c r="G27" s="8">
        <f t="shared" si="0"/>
        <v>1289.7056857536945</v>
      </c>
      <c r="H27" s="8">
        <f t="shared" si="1"/>
        <v>1950.7574376618309</v>
      </c>
    </row>
    <row r="28" spans="1:8" hidden="1" x14ac:dyDescent="0.35">
      <c r="A28">
        <v>2023</v>
      </c>
      <c r="B28" t="s">
        <v>8</v>
      </c>
      <c r="C28" t="s">
        <v>27</v>
      </c>
      <c r="D28" s="3">
        <v>3354.2578800000001</v>
      </c>
      <c r="E28" s="7">
        <v>25848984.929961398</v>
      </c>
      <c r="F28" s="7">
        <v>20852959.57</v>
      </c>
      <c r="G28" s="8">
        <f t="shared" si="0"/>
        <v>7706.3201026038578</v>
      </c>
      <c r="H28" s="8">
        <f t="shared" si="1"/>
        <v>6216.8623630094889</v>
      </c>
    </row>
    <row r="29" spans="1:8" hidden="1" x14ac:dyDescent="0.35">
      <c r="A29">
        <v>2023</v>
      </c>
      <c r="B29" t="s">
        <v>8</v>
      </c>
      <c r="C29" t="s">
        <v>28</v>
      </c>
      <c r="D29" s="3">
        <v>1651.93119</v>
      </c>
      <c r="E29" s="7">
        <v>8522009.5084609911</v>
      </c>
      <c r="F29" s="7">
        <v>15762078</v>
      </c>
      <c r="G29" s="8">
        <f t="shared" si="0"/>
        <v>5158.8162751869777</v>
      </c>
      <c r="H29" s="8">
        <f t="shared" si="1"/>
        <v>9541.606875283951</v>
      </c>
    </row>
    <row r="30" spans="1:8" hidden="1" x14ac:dyDescent="0.35">
      <c r="A30">
        <v>2023</v>
      </c>
      <c r="B30" t="s">
        <v>8</v>
      </c>
      <c r="C30" t="s">
        <v>29</v>
      </c>
      <c r="D30" s="3">
        <v>298.25739493165003</v>
      </c>
      <c r="E30" s="7">
        <v>1841125.671418624</v>
      </c>
      <c r="F30" s="7">
        <v>2637736</v>
      </c>
      <c r="G30" s="8">
        <f t="shared" si="0"/>
        <v>6172.9422395060628</v>
      </c>
      <c r="H30" s="8">
        <f t="shared" si="1"/>
        <v>8843.8243102219658</v>
      </c>
    </row>
    <row r="31" spans="1:8" hidden="1" x14ac:dyDescent="0.35">
      <c r="A31">
        <v>2023</v>
      </c>
      <c r="B31" t="s">
        <v>8</v>
      </c>
      <c r="C31" t="s">
        <v>30</v>
      </c>
      <c r="D31" s="3">
        <v>1981.05</v>
      </c>
      <c r="E31" s="7">
        <v>6114453.9193147253</v>
      </c>
      <c r="F31" s="7">
        <v>23538447.100000001</v>
      </c>
      <c r="G31" s="8">
        <f t="shared" si="0"/>
        <v>3086.4712749878727</v>
      </c>
      <c r="H31" s="8">
        <f t="shared" si="1"/>
        <v>11881.803639484113</v>
      </c>
    </row>
    <row r="32" spans="1:8" hidden="1" x14ac:dyDescent="0.35">
      <c r="A32">
        <v>2023</v>
      </c>
      <c r="B32" t="s">
        <v>8</v>
      </c>
      <c r="C32" t="s">
        <v>31</v>
      </c>
      <c r="D32" s="3">
        <v>80.513999999999996</v>
      </c>
      <c r="E32" s="7">
        <v>803032.06577608758</v>
      </c>
      <c r="F32" s="7">
        <v>1421281.22</v>
      </c>
      <c r="G32" s="8">
        <f t="shared" si="0"/>
        <v>9973.8190349018514</v>
      </c>
      <c r="H32" s="8">
        <f t="shared" si="1"/>
        <v>17652.597312268674</v>
      </c>
    </row>
    <row r="33" spans="1:8" hidden="1" x14ac:dyDescent="0.35">
      <c r="A33">
        <v>2023</v>
      </c>
      <c r="B33" t="s">
        <v>8</v>
      </c>
      <c r="C33" t="s">
        <v>32</v>
      </c>
      <c r="D33" s="3">
        <v>293.00493</v>
      </c>
      <c r="E33" s="7">
        <v>355280.49082712969</v>
      </c>
      <c r="F33" s="7">
        <v>488292</v>
      </c>
      <c r="G33" s="8">
        <f t="shared" si="0"/>
        <v>1212.540999999999</v>
      </c>
      <c r="H33" s="8">
        <f t="shared" si="1"/>
        <v>1666.4975568841112</v>
      </c>
    </row>
    <row r="34" spans="1:8" x14ac:dyDescent="0.35">
      <c r="A34" s="13">
        <v>2023</v>
      </c>
      <c r="B34" s="13" t="s">
        <v>8</v>
      </c>
      <c r="C34" s="13" t="s">
        <v>33</v>
      </c>
      <c r="D34" s="14">
        <v>1212.5930230872559</v>
      </c>
      <c r="E34" s="15">
        <v>6418695.0162571371</v>
      </c>
      <c r="F34" s="15">
        <v>154399578.5</v>
      </c>
      <c r="G34" s="16">
        <f t="shared" si="0"/>
        <v>5293.3629783842653</v>
      </c>
      <c r="H34" s="16">
        <f t="shared" si="1"/>
        <v>127330.08978304974</v>
      </c>
    </row>
    <row r="35" spans="1:8" hidden="1" x14ac:dyDescent="0.35">
      <c r="A35">
        <v>2023</v>
      </c>
      <c r="B35" t="s">
        <v>8</v>
      </c>
      <c r="C35" t="s">
        <v>34</v>
      </c>
      <c r="D35" s="3">
        <v>2441.02925</v>
      </c>
      <c r="E35" s="7">
        <v>3150629.9392782981</v>
      </c>
      <c r="F35" s="7">
        <v>7064900</v>
      </c>
      <c r="G35" s="8">
        <f t="shared" si="0"/>
        <v>1290.6973315777752</v>
      </c>
      <c r="H35" s="8">
        <f t="shared" si="1"/>
        <v>2894.229964675761</v>
      </c>
    </row>
    <row r="36" spans="1:8" hidden="1" x14ac:dyDescent="0.35">
      <c r="A36">
        <v>2023</v>
      </c>
      <c r="B36" t="s">
        <v>8</v>
      </c>
      <c r="C36" t="s">
        <v>35</v>
      </c>
      <c r="D36" s="3">
        <v>1143.4188214425899</v>
      </c>
      <c r="E36" s="7">
        <v>5545775.3998957761</v>
      </c>
      <c r="F36" s="7">
        <v>34142949</v>
      </c>
      <c r="G36" s="8">
        <f t="shared" si="0"/>
        <v>4850.1697679761564</v>
      </c>
      <c r="H36" s="8">
        <f t="shared" si="1"/>
        <v>29860.404918753815</v>
      </c>
    </row>
    <row r="37" spans="1:8" hidden="1" x14ac:dyDescent="0.35">
      <c r="A37">
        <v>2024</v>
      </c>
      <c r="B37" t="s">
        <v>0</v>
      </c>
      <c r="C37" t="s">
        <v>1</v>
      </c>
      <c r="D37" s="3">
        <v>50746008.452</v>
      </c>
      <c r="E37" s="7">
        <v>465446569</v>
      </c>
      <c r="F37" s="7">
        <v>516525613.36000001</v>
      </c>
      <c r="G37" s="8">
        <f t="shared" si="0"/>
        <v>9.1720823607291191</v>
      </c>
      <c r="H37" s="8">
        <f t="shared" si="1"/>
        <v>10.178645160802647</v>
      </c>
    </row>
    <row r="38" spans="1:8" hidden="1" x14ac:dyDescent="0.35">
      <c r="A38">
        <v>2024</v>
      </c>
      <c r="B38" t="s">
        <v>0</v>
      </c>
      <c r="C38" t="s">
        <v>2</v>
      </c>
      <c r="D38" s="3">
        <v>1796060.8801279999</v>
      </c>
      <c r="E38" s="7">
        <v>16237532</v>
      </c>
      <c r="F38" s="7">
        <v>24428543.98</v>
      </c>
      <c r="G38" s="8">
        <f t="shared" si="0"/>
        <v>9.0406356374973207</v>
      </c>
      <c r="H38" s="8">
        <f t="shared" si="1"/>
        <v>13.6011781394955</v>
      </c>
    </row>
    <row r="39" spans="1:8" hidden="1" x14ac:dyDescent="0.35">
      <c r="A39">
        <v>2024</v>
      </c>
      <c r="B39" t="s">
        <v>0</v>
      </c>
      <c r="C39" t="s">
        <v>3</v>
      </c>
      <c r="D39" s="3">
        <v>470747.3568319999</v>
      </c>
      <c r="E39" s="7">
        <v>3138367</v>
      </c>
      <c r="F39" s="7">
        <v>6332457.1699999999</v>
      </c>
      <c r="G39" s="8">
        <f t="shared" si="0"/>
        <v>6.6667756163738146</v>
      </c>
      <c r="H39" s="8">
        <f t="shared" si="1"/>
        <v>13.451922943584204</v>
      </c>
    </row>
    <row r="40" spans="1:8" hidden="1" x14ac:dyDescent="0.35">
      <c r="A40">
        <v>2024</v>
      </c>
      <c r="B40" t="s">
        <v>0</v>
      </c>
      <c r="C40" t="s">
        <v>4</v>
      </c>
      <c r="D40" s="3">
        <v>800807.25914475124</v>
      </c>
      <c r="E40" s="7">
        <v>13035423</v>
      </c>
      <c r="F40" s="7">
        <v>36478950.270000003</v>
      </c>
      <c r="G40" s="8">
        <f t="shared" si="0"/>
        <v>16.277853192691602</v>
      </c>
      <c r="H40" s="8">
        <f t="shared" si="1"/>
        <v>45.552721773475071</v>
      </c>
    </row>
    <row r="41" spans="1:8" hidden="1" x14ac:dyDescent="0.35">
      <c r="A41">
        <v>2024</v>
      </c>
      <c r="B41" t="s">
        <v>0</v>
      </c>
      <c r="C41" t="s">
        <v>5</v>
      </c>
      <c r="D41" s="3">
        <v>7195673.936412083</v>
      </c>
      <c r="E41" s="7">
        <v>16008490</v>
      </c>
      <c r="F41" s="7">
        <v>29228705.120000001</v>
      </c>
      <c r="G41" s="8">
        <f t="shared" si="0"/>
        <v>2.224738105348639</v>
      </c>
      <c r="H41" s="8">
        <f t="shared" si="1"/>
        <v>4.0619829884306933</v>
      </c>
    </row>
    <row r="42" spans="1:8" hidden="1" x14ac:dyDescent="0.35">
      <c r="A42">
        <v>2024</v>
      </c>
      <c r="B42" t="s">
        <v>0</v>
      </c>
      <c r="C42" t="s">
        <v>6</v>
      </c>
      <c r="D42" s="3">
        <v>3069975</v>
      </c>
      <c r="E42" s="7">
        <v>48368059</v>
      </c>
      <c r="F42" s="7">
        <v>78755482.299999997</v>
      </c>
      <c r="G42" s="8">
        <f t="shared" si="0"/>
        <v>15.755196377820667</v>
      </c>
      <c r="H42" s="8">
        <f t="shared" si="1"/>
        <v>25.653460467919118</v>
      </c>
    </row>
    <row r="43" spans="1:8" hidden="1" x14ac:dyDescent="0.35">
      <c r="A43">
        <v>2024</v>
      </c>
      <c r="B43" t="s">
        <v>0</v>
      </c>
      <c r="C43" t="s">
        <v>7</v>
      </c>
      <c r="D43" s="3">
        <v>74663.66966666645</v>
      </c>
      <c r="E43" s="7">
        <v>579846</v>
      </c>
      <c r="F43" s="7">
        <v>4761407.25</v>
      </c>
      <c r="G43" s="8">
        <f t="shared" si="0"/>
        <v>7.7661063618852895</v>
      </c>
      <c r="H43" s="8">
        <f t="shared" si="1"/>
        <v>63.771406779992859</v>
      </c>
    </row>
    <row r="44" spans="1:8" hidden="1" x14ac:dyDescent="0.35">
      <c r="A44">
        <v>2024</v>
      </c>
      <c r="B44" t="s">
        <v>8</v>
      </c>
      <c r="C44" t="s">
        <v>9</v>
      </c>
      <c r="D44" s="3">
        <v>3801.1160799999998</v>
      </c>
      <c r="E44" s="7">
        <v>838016.27742914588</v>
      </c>
      <c r="F44" s="7">
        <v>2354353.4900000002</v>
      </c>
      <c r="G44" s="8">
        <f t="shared" si="0"/>
        <v>220.46584734374804</v>
      </c>
      <c r="H44" s="8">
        <f t="shared" si="1"/>
        <v>619.3847913216058</v>
      </c>
    </row>
    <row r="45" spans="1:8" x14ac:dyDescent="0.35">
      <c r="A45" s="13">
        <v>2024</v>
      </c>
      <c r="B45" s="13" t="s">
        <v>8</v>
      </c>
      <c r="C45" s="13" t="s">
        <v>10</v>
      </c>
      <c r="D45" s="14">
        <v>1405.5379185013451</v>
      </c>
      <c r="E45" s="15">
        <v>14046530.6265535</v>
      </c>
      <c r="F45" s="15">
        <v>21873172.829999998</v>
      </c>
      <c r="G45" s="16">
        <f t="shared" si="0"/>
        <v>9993.7045039173427</v>
      </c>
      <c r="H45" s="16">
        <f t="shared" si="1"/>
        <v>15562.136419145683</v>
      </c>
    </row>
    <row r="46" spans="1:8" x14ac:dyDescent="0.35">
      <c r="A46" s="9">
        <v>2024</v>
      </c>
      <c r="B46" s="9" t="s">
        <v>8</v>
      </c>
      <c r="C46" s="9" t="s">
        <v>11</v>
      </c>
      <c r="D46" s="10">
        <v>1840.5923763752421</v>
      </c>
      <c r="E46" s="11">
        <v>5307168.9457571078</v>
      </c>
      <c r="F46" s="11">
        <v>20094200.77</v>
      </c>
      <c r="G46" s="12">
        <f t="shared" si="0"/>
        <v>2883.4026555128648</v>
      </c>
      <c r="H46" s="12">
        <f t="shared" si="1"/>
        <v>10917.246549489884</v>
      </c>
    </row>
    <row r="47" spans="1:8" hidden="1" x14ac:dyDescent="0.35">
      <c r="A47">
        <v>2024</v>
      </c>
      <c r="B47" t="s">
        <v>8</v>
      </c>
      <c r="C47" t="s">
        <v>12</v>
      </c>
      <c r="D47" s="3">
        <v>388.03928471570038</v>
      </c>
      <c r="E47" s="7">
        <v>2662351.2759407051</v>
      </c>
      <c r="F47" s="7">
        <v>5408898.5</v>
      </c>
      <c r="G47" s="8">
        <f t="shared" si="0"/>
        <v>6861.0354178219222</v>
      </c>
      <c r="H47" s="8">
        <f t="shared" si="1"/>
        <v>13939.048733075741</v>
      </c>
    </row>
    <row r="48" spans="1:8" x14ac:dyDescent="0.35">
      <c r="A48" s="13">
        <v>2024</v>
      </c>
      <c r="B48" s="13" t="s">
        <v>8</v>
      </c>
      <c r="C48" s="13" t="s">
        <v>13</v>
      </c>
      <c r="D48" s="14">
        <v>432.37594046442018</v>
      </c>
      <c r="E48" s="15">
        <v>1829941.1917179711</v>
      </c>
      <c r="F48" s="15">
        <v>19979898.809999999</v>
      </c>
      <c r="G48" s="16">
        <f t="shared" si="0"/>
        <v>4232.2919026262407</v>
      </c>
      <c r="H48" s="16">
        <f t="shared" si="1"/>
        <v>46209.55270670091</v>
      </c>
    </row>
    <row r="49" spans="1:8" hidden="1" x14ac:dyDescent="0.35">
      <c r="A49">
        <v>2024</v>
      </c>
      <c r="B49" t="s">
        <v>8</v>
      </c>
      <c r="C49" t="s">
        <v>14</v>
      </c>
      <c r="D49" s="3">
        <v>4459.0410000000002</v>
      </c>
      <c r="E49" s="7">
        <v>84576332.296048895</v>
      </c>
      <c r="F49" s="7">
        <v>177924993.34999999</v>
      </c>
      <c r="G49" s="8">
        <f t="shared" si="0"/>
        <v>18967.38161771755</v>
      </c>
      <c r="H49" s="8">
        <f t="shared" si="1"/>
        <v>39902.07610784471</v>
      </c>
    </row>
    <row r="50" spans="1:8" hidden="1" x14ac:dyDescent="0.35">
      <c r="A50">
        <v>2024</v>
      </c>
      <c r="B50" t="s">
        <v>8</v>
      </c>
      <c r="C50" t="s">
        <v>15</v>
      </c>
      <c r="D50" s="3">
        <v>1059.3499999999999</v>
      </c>
      <c r="E50" s="7">
        <v>46359014.095124424</v>
      </c>
      <c r="F50" s="7">
        <v>47424410.060000002</v>
      </c>
      <c r="G50" s="8">
        <f t="shared" si="0"/>
        <v>43761.753995491978</v>
      </c>
      <c r="H50" s="8">
        <f t="shared" si="1"/>
        <v>44767.461235663388</v>
      </c>
    </row>
    <row r="51" spans="1:8" hidden="1" x14ac:dyDescent="0.35">
      <c r="A51">
        <v>2024</v>
      </c>
      <c r="B51" t="s">
        <v>8</v>
      </c>
      <c r="C51" t="s">
        <v>16</v>
      </c>
      <c r="D51" s="3">
        <v>12363.950150000001</v>
      </c>
      <c r="E51" s="7">
        <v>4592451.2685408955</v>
      </c>
      <c r="F51" s="7">
        <v>10515542.560000001</v>
      </c>
      <c r="G51" s="8">
        <f t="shared" si="0"/>
        <v>371.43883733152188</v>
      </c>
      <c r="H51" s="8">
        <f t="shared" si="1"/>
        <v>850.50023919742182</v>
      </c>
    </row>
    <row r="52" spans="1:8" hidden="1" x14ac:dyDescent="0.35">
      <c r="A52">
        <v>2024</v>
      </c>
      <c r="B52" t="s">
        <v>8</v>
      </c>
      <c r="C52" t="s">
        <v>17</v>
      </c>
      <c r="D52" s="3">
        <v>2808.8801400000002</v>
      </c>
      <c r="E52" s="7">
        <v>45779717.037542634</v>
      </c>
      <c r="F52" s="7">
        <v>68540969.799999997</v>
      </c>
      <c r="G52" s="8">
        <f t="shared" si="0"/>
        <v>16298.209519735017</v>
      </c>
      <c r="H52" s="8">
        <f t="shared" si="1"/>
        <v>24401.528859825252</v>
      </c>
    </row>
    <row r="53" spans="1:8" hidden="1" x14ac:dyDescent="0.35">
      <c r="A53">
        <v>2024</v>
      </c>
      <c r="B53" t="s">
        <v>8</v>
      </c>
      <c r="C53" t="s">
        <v>18</v>
      </c>
      <c r="D53" s="3">
        <v>5710.820482000001</v>
      </c>
      <c r="E53" s="7">
        <v>6264940.5423750849</v>
      </c>
      <c r="F53" s="7">
        <v>17353515.370000001</v>
      </c>
      <c r="G53" s="8">
        <f t="shared" si="0"/>
        <v>1097.0298509857946</v>
      </c>
      <c r="H53" s="8">
        <f t="shared" si="1"/>
        <v>3038.7079097822702</v>
      </c>
    </row>
    <row r="54" spans="1:8" hidden="1" x14ac:dyDescent="0.35">
      <c r="A54">
        <v>2024</v>
      </c>
      <c r="B54" t="s">
        <v>8</v>
      </c>
      <c r="C54" t="s">
        <v>19</v>
      </c>
      <c r="D54" s="3">
        <v>1543.2899600000001</v>
      </c>
      <c r="E54" s="7">
        <v>7080719.0846261503</v>
      </c>
      <c r="F54" s="7">
        <v>12751988.939999999</v>
      </c>
      <c r="G54" s="8">
        <f t="shared" si="0"/>
        <v>4588.0678732764836</v>
      </c>
      <c r="H54" s="8">
        <f t="shared" si="1"/>
        <v>8262.8600396000747</v>
      </c>
    </row>
    <row r="55" spans="1:8" hidden="1" x14ac:dyDescent="0.35">
      <c r="A55">
        <v>2024</v>
      </c>
      <c r="B55" t="s">
        <v>8</v>
      </c>
      <c r="C55" t="s">
        <v>4</v>
      </c>
      <c r="D55" s="3">
        <v>1307.806459993865</v>
      </c>
      <c r="E55" s="7">
        <v>628554.00013437518</v>
      </c>
      <c r="F55" s="7">
        <v>132574121.87</v>
      </c>
      <c r="G55" s="8">
        <f t="shared" si="0"/>
        <v>480.61698681112478</v>
      </c>
      <c r="H55" s="8">
        <f t="shared" si="1"/>
        <v>101371.36183791439</v>
      </c>
    </row>
    <row r="56" spans="1:8" hidden="1" x14ac:dyDescent="0.35">
      <c r="A56">
        <v>2024</v>
      </c>
      <c r="B56" t="s">
        <v>8</v>
      </c>
      <c r="C56" t="s">
        <v>20</v>
      </c>
      <c r="D56" s="3">
        <v>164.80440999999999</v>
      </c>
      <c r="E56" s="7">
        <v>71921.914832220951</v>
      </c>
      <c r="F56" s="7">
        <v>12832294.630000001</v>
      </c>
      <c r="G56" s="8">
        <f t="shared" si="0"/>
        <v>436.40770797468923</v>
      </c>
      <c r="H56" s="8">
        <f t="shared" si="1"/>
        <v>77863.781861177151</v>
      </c>
    </row>
    <row r="57" spans="1:8" hidden="1" x14ac:dyDescent="0.35">
      <c r="A57">
        <v>2024</v>
      </c>
      <c r="B57" t="s">
        <v>8</v>
      </c>
      <c r="C57" t="s">
        <v>21</v>
      </c>
      <c r="D57" s="3">
        <v>63.678999999999988</v>
      </c>
      <c r="E57" s="7">
        <v>411102.67630246608</v>
      </c>
      <c r="F57" s="7">
        <v>7006812.7100000009</v>
      </c>
      <c r="G57" s="8">
        <f t="shared" si="0"/>
        <v>6455.8594874678647</v>
      </c>
      <c r="H57" s="8">
        <f t="shared" si="1"/>
        <v>110033.33453728863</v>
      </c>
    </row>
    <row r="58" spans="1:8" hidden="1" x14ac:dyDescent="0.35">
      <c r="A58">
        <v>2024</v>
      </c>
      <c r="B58" t="s">
        <v>8</v>
      </c>
      <c r="C58" t="s">
        <v>22</v>
      </c>
      <c r="D58" s="3">
        <v>495.13938999999999</v>
      </c>
      <c r="E58" s="7">
        <v>818334.3056489859</v>
      </c>
      <c r="F58" s="7">
        <v>3345832.33</v>
      </c>
      <c r="G58" s="8">
        <f t="shared" si="0"/>
        <v>1652.7352139141785</v>
      </c>
      <c r="H58" s="8">
        <f t="shared" si="1"/>
        <v>6757.3543886298366</v>
      </c>
    </row>
    <row r="59" spans="1:8" hidden="1" x14ac:dyDescent="0.35">
      <c r="A59">
        <v>2024</v>
      </c>
      <c r="B59" t="s">
        <v>8</v>
      </c>
      <c r="C59" t="s">
        <v>23</v>
      </c>
      <c r="D59" s="3">
        <v>3659.4158858670762</v>
      </c>
      <c r="E59" s="7">
        <v>2745303.759215923</v>
      </c>
      <c r="F59" s="7">
        <v>15182749.77</v>
      </c>
      <c r="G59" s="8">
        <f t="shared" si="0"/>
        <v>750.2027221935831</v>
      </c>
      <c r="H59" s="8">
        <f t="shared" si="1"/>
        <v>4148.9544352247185</v>
      </c>
    </row>
    <row r="60" spans="1:8" hidden="1" x14ac:dyDescent="0.35">
      <c r="A60">
        <v>2024</v>
      </c>
      <c r="B60" t="s">
        <v>8</v>
      </c>
      <c r="C60" t="s">
        <v>24</v>
      </c>
      <c r="D60" s="3">
        <v>9084.9905099999996</v>
      </c>
      <c r="E60" s="7">
        <v>2002895.1778156201</v>
      </c>
      <c r="F60" s="7">
        <v>20189800.719999999</v>
      </c>
      <c r="G60" s="8">
        <f t="shared" si="0"/>
        <v>220.46200000000002</v>
      </c>
      <c r="H60" s="8">
        <f t="shared" si="1"/>
        <v>2222.3249102766536</v>
      </c>
    </row>
    <row r="61" spans="1:8" hidden="1" x14ac:dyDescent="0.35">
      <c r="A61">
        <v>2024</v>
      </c>
      <c r="B61" t="s">
        <v>8</v>
      </c>
      <c r="C61" t="s">
        <v>25</v>
      </c>
      <c r="D61" s="3">
        <v>1665.8019999999999</v>
      </c>
      <c r="E61" s="7">
        <v>69042317.90732047</v>
      </c>
      <c r="F61" s="7">
        <v>73429462.549999997</v>
      </c>
      <c r="G61" s="8">
        <f t="shared" si="0"/>
        <v>41446.893392684411</v>
      </c>
      <c r="H61" s="8">
        <f t="shared" si="1"/>
        <v>44080.546517533294</v>
      </c>
    </row>
    <row r="62" spans="1:8" hidden="1" x14ac:dyDescent="0.35">
      <c r="A62">
        <v>2024</v>
      </c>
      <c r="B62" t="s">
        <v>8</v>
      </c>
      <c r="C62" t="s">
        <v>26</v>
      </c>
      <c r="D62" s="3">
        <v>15842.012220000001</v>
      </c>
      <c r="E62" s="7">
        <v>16353662.29525738</v>
      </c>
      <c r="F62" s="7">
        <v>17204438.789999999</v>
      </c>
      <c r="G62" s="8">
        <f t="shared" si="0"/>
        <v>1032.2970382898354</v>
      </c>
      <c r="H62" s="8">
        <f t="shared" si="1"/>
        <v>1086.0008533688656</v>
      </c>
    </row>
    <row r="63" spans="1:8" hidden="1" x14ac:dyDescent="0.35">
      <c r="A63">
        <v>2024</v>
      </c>
      <c r="B63" t="s">
        <v>8</v>
      </c>
      <c r="C63" t="s">
        <v>27</v>
      </c>
      <c r="D63" s="3">
        <v>2427.9181199999998</v>
      </c>
      <c r="E63" s="7">
        <v>19708262.963811658</v>
      </c>
      <c r="F63" s="7">
        <v>20263030.489999998</v>
      </c>
      <c r="G63" s="8">
        <f t="shared" si="0"/>
        <v>8117.35074649538</v>
      </c>
      <c r="H63" s="8">
        <f t="shared" si="1"/>
        <v>8345.8459010965325</v>
      </c>
    </row>
    <row r="64" spans="1:8" hidden="1" x14ac:dyDescent="0.35">
      <c r="A64">
        <v>2024</v>
      </c>
      <c r="B64" t="s">
        <v>8</v>
      </c>
      <c r="C64" t="s">
        <v>28</v>
      </c>
      <c r="D64" s="3">
        <v>1651.58448</v>
      </c>
      <c r="E64" s="7">
        <v>13217265.746035971</v>
      </c>
      <c r="F64" s="7">
        <v>10070302</v>
      </c>
      <c r="G64" s="8">
        <f t="shared" si="0"/>
        <v>8002.7790924966621</v>
      </c>
      <c r="H64" s="8">
        <f t="shared" si="1"/>
        <v>6097.3580957844797</v>
      </c>
    </row>
    <row r="65" spans="1:8" hidden="1" x14ac:dyDescent="0.35">
      <c r="A65">
        <v>2024</v>
      </c>
      <c r="B65" t="s">
        <v>8</v>
      </c>
      <c r="C65" t="s">
        <v>29</v>
      </c>
      <c r="D65" s="3">
        <v>347.12900000000002</v>
      </c>
      <c r="E65" s="7">
        <v>3252475.3790847631</v>
      </c>
      <c r="F65" s="7">
        <v>3323845</v>
      </c>
      <c r="G65" s="8">
        <f t="shared" si="0"/>
        <v>9369.6446539608132</v>
      </c>
      <c r="H65" s="8">
        <f t="shared" si="1"/>
        <v>9575.2443616062028</v>
      </c>
    </row>
    <row r="66" spans="1:8" hidden="1" x14ac:dyDescent="0.35">
      <c r="A66">
        <v>2024</v>
      </c>
      <c r="B66" t="s">
        <v>8</v>
      </c>
      <c r="C66" t="s">
        <v>30</v>
      </c>
      <c r="D66" s="3">
        <v>1844.3810000000001</v>
      </c>
      <c r="E66" s="7">
        <v>6709169.8923927965</v>
      </c>
      <c r="F66" s="7">
        <v>16375544.199999999</v>
      </c>
      <c r="G66" s="8">
        <f t="shared" si="0"/>
        <v>3637.6268744867771</v>
      </c>
      <c r="H66" s="8">
        <f t="shared" si="1"/>
        <v>8878.6124992612695</v>
      </c>
    </row>
    <row r="67" spans="1:8" hidden="1" x14ac:dyDescent="0.35">
      <c r="A67">
        <v>2024</v>
      </c>
      <c r="B67" t="s">
        <v>8</v>
      </c>
      <c r="C67" t="s">
        <v>31</v>
      </c>
      <c r="D67" s="3">
        <v>132.05500000000001</v>
      </c>
      <c r="E67" s="7">
        <v>1416918.7003736929</v>
      </c>
      <c r="F67" s="7">
        <v>2586724.36</v>
      </c>
      <c r="G67" s="8">
        <f t="shared" ref="G67:G71" si="2">E67/D67</f>
        <v>10729.761844486713</v>
      </c>
      <c r="H67" s="8">
        <f t="shared" ref="H67:H71" si="3">F67/D67</f>
        <v>19588.234902124113</v>
      </c>
    </row>
    <row r="68" spans="1:8" hidden="1" x14ac:dyDescent="0.35">
      <c r="A68">
        <v>2024</v>
      </c>
      <c r="B68" t="s">
        <v>8</v>
      </c>
      <c r="C68" t="s">
        <v>32</v>
      </c>
      <c r="D68" s="3">
        <v>253.24888000000001</v>
      </c>
      <c r="E68" s="7">
        <v>313343.3981307919</v>
      </c>
      <c r="F68" s="7">
        <v>305382.13</v>
      </c>
      <c r="G68" s="8">
        <f t="shared" si="2"/>
        <v>1237.2943095771711</v>
      </c>
      <c r="H68" s="8">
        <f t="shared" si="3"/>
        <v>1205.857771216994</v>
      </c>
    </row>
    <row r="69" spans="1:8" x14ac:dyDescent="0.35">
      <c r="A69" s="13">
        <v>2024</v>
      </c>
      <c r="B69" s="13" t="s">
        <v>8</v>
      </c>
      <c r="C69" s="13" t="s">
        <v>33</v>
      </c>
      <c r="D69" s="14">
        <v>1418.832411037441</v>
      </c>
      <c r="E69" s="15">
        <v>7627122.9939184003</v>
      </c>
      <c r="F69" s="15">
        <v>126104037.90000001</v>
      </c>
      <c r="G69" s="16">
        <f t="shared" si="2"/>
        <v>5375.633467762058</v>
      </c>
      <c r="H69" s="16">
        <f t="shared" si="3"/>
        <v>88878.740659577656</v>
      </c>
    </row>
    <row r="70" spans="1:8" hidden="1" x14ac:dyDescent="0.35">
      <c r="A70">
        <v>2024</v>
      </c>
      <c r="B70" t="s">
        <v>8</v>
      </c>
      <c r="C70" t="s">
        <v>34</v>
      </c>
      <c r="D70" s="3">
        <v>2782.8902600000001</v>
      </c>
      <c r="E70" s="7">
        <v>3045833.9225244671</v>
      </c>
      <c r="F70" s="7">
        <v>4908461.72</v>
      </c>
      <c r="G70" s="8">
        <f t="shared" si="2"/>
        <v>1094.4858179655519</v>
      </c>
      <c r="H70" s="8">
        <f t="shared" si="3"/>
        <v>1763.7999566680719</v>
      </c>
    </row>
    <row r="71" spans="1:8" hidden="1" x14ac:dyDescent="0.35">
      <c r="A71">
        <v>2024</v>
      </c>
      <c r="B71" t="s">
        <v>8</v>
      </c>
      <c r="C71" t="s">
        <v>35</v>
      </c>
      <c r="D71" s="3">
        <v>2884.42880750631</v>
      </c>
      <c r="E71" s="7">
        <v>17487461.75</v>
      </c>
      <c r="F71" s="7">
        <v>25762136.739999998</v>
      </c>
      <c r="G71" s="8">
        <f t="shared" si="2"/>
        <v>6062.712209949992</v>
      </c>
      <c r="H71" s="8">
        <f t="shared" si="3"/>
        <v>8931.4517567421844</v>
      </c>
    </row>
  </sheetData>
  <autoFilter ref="A1:H71" xr:uid="{00000000-0001-0000-0000-000000000000}">
    <filterColumn colId="2">
      <filters>
        <filter val="Chinook Salmon"/>
        <filter val="Chum Salmon"/>
        <filter val="Coho Salmon"/>
        <filter val="Sockeye Salmon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C1AC3-5A71-447C-9D08-471554C24338}">
  <dimension ref="A1:A9"/>
  <sheetViews>
    <sheetView workbookViewId="0"/>
  </sheetViews>
  <sheetFormatPr defaultRowHeight="14.5" x14ac:dyDescent="0.35"/>
  <cols>
    <col min="1" max="1" width="206.54296875" customWidth="1"/>
  </cols>
  <sheetData>
    <row r="1" spans="1:1" x14ac:dyDescent="0.35">
      <c r="A1" s="4" t="s">
        <v>42</v>
      </c>
    </row>
    <row r="2" spans="1:1" x14ac:dyDescent="0.35">
      <c r="A2" t="s">
        <v>44</v>
      </c>
    </row>
    <row r="3" spans="1:1" x14ac:dyDescent="0.35">
      <c r="A3" t="s">
        <v>45</v>
      </c>
    </row>
    <row r="4" spans="1:1" x14ac:dyDescent="0.35">
      <c r="A4" t="s">
        <v>46</v>
      </c>
    </row>
    <row r="5" spans="1:1" x14ac:dyDescent="0.35">
      <c r="A5" t="s">
        <v>50</v>
      </c>
    </row>
    <row r="6" spans="1:1" x14ac:dyDescent="0.35">
      <c r="A6" s="4" t="s">
        <v>43</v>
      </c>
    </row>
    <row r="7" spans="1:1" x14ac:dyDescent="0.35">
      <c r="A7" s="4" t="s">
        <v>47</v>
      </c>
    </row>
    <row r="8" spans="1:1" x14ac:dyDescent="0.35">
      <c r="A8" s="4" t="s">
        <v>48</v>
      </c>
    </row>
    <row r="9" spans="1:1" ht="29" x14ac:dyDescent="0.35">
      <c r="A9" s="5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Oleynik, Haley</cp:lastModifiedBy>
  <dcterms:created xsi:type="dcterms:W3CDTF">2026-06-03T18:04:43Z</dcterms:created>
  <dcterms:modified xsi:type="dcterms:W3CDTF">2026-07-20T22:07:42Z</dcterms:modified>
</cp:coreProperties>
</file>