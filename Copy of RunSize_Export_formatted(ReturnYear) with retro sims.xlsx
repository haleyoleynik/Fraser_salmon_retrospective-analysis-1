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walters\Dropbox\Backups\Assessments\fraser sockeye\"/>
    </mc:Choice>
  </mc:AlternateContent>
  <xr:revisionPtr revIDLastSave="0" documentId="13_ncr:1_{C32DDC8D-59F7-4352-BFFC-8BD5687D0035}" xr6:coauthVersionLast="36" xr6:coauthVersionMax="36" xr10:uidLastSave="{00000000-0000-0000-0000-000000000000}"/>
  <bookViews>
    <workbookView xWindow="0" yWindow="0" windowWidth="20736" windowHeight="8658" activeTab="1" xr2:uid="{00000000-000D-0000-FFFF-FFFF00000000}"/>
  </bookViews>
  <sheets>
    <sheet name="data" sheetId="1" r:id="rId1"/>
    <sheet name="Model" sheetId="2" r:id="rId2"/>
    <sheet name="Sheet2" sheetId="3" r:id="rId3"/>
  </sheets>
  <definedNames>
    <definedName name="_xlnm._FilterDatabase" localSheetId="0" hidden="1">data!#REF!</definedName>
    <definedName name="ra">Model!$Y$1</definedName>
    <definedName name="rb">Model!$Y$2</definedName>
    <definedName name="retroU">Model!$L$4</definedName>
    <definedName name="sbar">Model!$W$1</definedName>
    <definedName name="useretro">Model!$L$5</definedName>
    <definedName name="wt">Model!$Z$4:$Z$71</definedName>
    <definedName name="ybar">Model!$W$2</definedName>
    <definedName name="yrretro">Model!$L$6</definedName>
  </definedNames>
  <calcPr calcId="191029"/>
  <pivotCaches>
    <pivotCache cacheId="0" r:id="rId4"/>
    <pivotCache cacheId="1" r:id="rId5"/>
  </pivotCaches>
</workbook>
</file>

<file path=xl/calcChain.xml><?xml version="1.0" encoding="utf-8"?>
<calcChain xmlns="http://schemas.openxmlformats.org/spreadsheetml/2006/main">
  <c r="AA2" i="2" l="1"/>
  <c r="AA1" i="2"/>
  <c r="W1" i="2"/>
  <c r="W2" i="2"/>
  <c r="X72" i="2" l="1"/>
  <c r="X73" i="2"/>
  <c r="X74" i="2"/>
  <c r="X75" i="2"/>
  <c r="AD1" i="2" l="1"/>
  <c r="K8" i="3" l="1"/>
  <c r="I7" i="3"/>
  <c r="I9" i="3"/>
  <c r="I8" i="3"/>
  <c r="I4" i="3"/>
  <c r="I5" i="3"/>
  <c r="I2" i="3"/>
  <c r="I1" i="3"/>
  <c r="I3" i="3" s="1"/>
  <c r="J3" i="3" s="1"/>
  <c r="J2" i="3" l="1"/>
  <c r="J5" i="3"/>
  <c r="J4" i="3"/>
  <c r="J8" i="3"/>
  <c r="J7" i="3"/>
  <c r="J9" i="3"/>
  <c r="J10" i="3" s="1"/>
  <c r="I6" i="3"/>
  <c r="J6" i="3" s="1"/>
  <c r="W72" i="2"/>
  <c r="W73" i="2"/>
  <c r="W74" i="2"/>
  <c r="W75" i="2"/>
  <c r="Y75" i="2" l="1"/>
  <c r="AP27" i="2" s="1"/>
  <c r="AO27" i="2"/>
  <c r="AM27" i="2"/>
  <c r="Y74" i="2"/>
  <c r="AK27" i="2"/>
  <c r="Y73" i="2"/>
  <c r="AI27" i="2"/>
  <c r="Y72" i="2"/>
  <c r="W5" i="2"/>
  <c r="AK10" i="2" s="1"/>
  <c r="W6" i="2"/>
  <c r="AM10" i="2" s="1"/>
  <c r="W7" i="2"/>
  <c r="AO10" i="2" s="1"/>
  <c r="W8" i="2"/>
  <c r="AI11" i="2" s="1"/>
  <c r="W9" i="2"/>
  <c r="AK11" i="2" s="1"/>
  <c r="W10" i="2"/>
  <c r="AM11" i="2" s="1"/>
  <c r="W11" i="2"/>
  <c r="AO11" i="2" s="1"/>
  <c r="W12" i="2"/>
  <c r="AI12" i="2" s="1"/>
  <c r="W13" i="2"/>
  <c r="AK12" i="2" s="1"/>
  <c r="W14" i="2"/>
  <c r="AM12" i="2" s="1"/>
  <c r="W15" i="2"/>
  <c r="AO12" i="2" s="1"/>
  <c r="W16" i="2"/>
  <c r="AI13" i="2" s="1"/>
  <c r="W17" i="2"/>
  <c r="AK13" i="2" s="1"/>
  <c r="W18" i="2"/>
  <c r="AM13" i="2" s="1"/>
  <c r="W19" i="2"/>
  <c r="AO13" i="2" s="1"/>
  <c r="W20" i="2"/>
  <c r="AI14" i="2" s="1"/>
  <c r="W21" i="2"/>
  <c r="AK14" i="2" s="1"/>
  <c r="W22" i="2"/>
  <c r="AM14" i="2" s="1"/>
  <c r="W23" i="2"/>
  <c r="AO14" i="2" s="1"/>
  <c r="W24" i="2"/>
  <c r="AI15" i="2" s="1"/>
  <c r="W25" i="2"/>
  <c r="AK15" i="2" s="1"/>
  <c r="W26" i="2"/>
  <c r="AM15" i="2" s="1"/>
  <c r="W27" i="2"/>
  <c r="AO15" i="2" s="1"/>
  <c r="W28" i="2"/>
  <c r="AI16" i="2" s="1"/>
  <c r="W29" i="2"/>
  <c r="AK16" i="2" s="1"/>
  <c r="W30" i="2"/>
  <c r="AM16" i="2" s="1"/>
  <c r="W31" i="2"/>
  <c r="AO16" i="2" s="1"/>
  <c r="W32" i="2"/>
  <c r="AI17" i="2" s="1"/>
  <c r="W33" i="2"/>
  <c r="AK17" i="2" s="1"/>
  <c r="W34" i="2"/>
  <c r="AM17" i="2" s="1"/>
  <c r="W35" i="2"/>
  <c r="AO17" i="2" s="1"/>
  <c r="W36" i="2"/>
  <c r="AI18" i="2" s="1"/>
  <c r="W37" i="2"/>
  <c r="AK18" i="2" s="1"/>
  <c r="W38" i="2"/>
  <c r="AM18" i="2" s="1"/>
  <c r="W39" i="2"/>
  <c r="AO18" i="2" s="1"/>
  <c r="W40" i="2"/>
  <c r="AI19" i="2" s="1"/>
  <c r="W41" i="2"/>
  <c r="AK19" i="2" s="1"/>
  <c r="W42" i="2"/>
  <c r="AM19" i="2" s="1"/>
  <c r="W43" i="2"/>
  <c r="AO19" i="2" s="1"/>
  <c r="W44" i="2"/>
  <c r="AI20" i="2" s="1"/>
  <c r="W45" i="2"/>
  <c r="AK20" i="2" s="1"/>
  <c r="W46" i="2"/>
  <c r="AM20" i="2" s="1"/>
  <c r="W47" i="2"/>
  <c r="AO20" i="2" s="1"/>
  <c r="W48" i="2"/>
  <c r="AI21" i="2" s="1"/>
  <c r="W49" i="2"/>
  <c r="AK21" i="2" s="1"/>
  <c r="W50" i="2"/>
  <c r="AM21" i="2" s="1"/>
  <c r="W51" i="2"/>
  <c r="AO21" i="2" s="1"/>
  <c r="W52" i="2"/>
  <c r="AI22" i="2" s="1"/>
  <c r="W53" i="2"/>
  <c r="AK22" i="2" s="1"/>
  <c r="W54" i="2"/>
  <c r="AM22" i="2" s="1"/>
  <c r="W55" i="2"/>
  <c r="AO22" i="2" s="1"/>
  <c r="W56" i="2"/>
  <c r="AI23" i="2" s="1"/>
  <c r="W57" i="2"/>
  <c r="AK23" i="2" s="1"/>
  <c r="W58" i="2"/>
  <c r="AM23" i="2" s="1"/>
  <c r="W59" i="2"/>
  <c r="AO23" i="2" s="1"/>
  <c r="W60" i="2"/>
  <c r="AI24" i="2" s="1"/>
  <c r="W61" i="2"/>
  <c r="AK24" i="2" s="1"/>
  <c r="W62" i="2"/>
  <c r="AM24" i="2" s="1"/>
  <c r="W63" i="2"/>
  <c r="AO24" i="2" s="1"/>
  <c r="W64" i="2"/>
  <c r="AI25" i="2" s="1"/>
  <c r="W65" i="2"/>
  <c r="AK25" i="2" s="1"/>
  <c r="W66" i="2"/>
  <c r="AM25" i="2" s="1"/>
  <c r="W67" i="2"/>
  <c r="AO25" i="2" s="1"/>
  <c r="W68" i="2"/>
  <c r="AI26" i="2" s="1"/>
  <c r="W69" i="2"/>
  <c r="AK26" i="2" s="1"/>
  <c r="W70" i="2"/>
  <c r="AM26" i="2" s="1"/>
  <c r="W71" i="2"/>
  <c r="AO26" i="2" s="1"/>
  <c r="W4" i="2"/>
  <c r="AI10" i="2" s="1"/>
  <c r="AL27" i="2" l="1"/>
  <c r="AJ27" i="2"/>
  <c r="AN27" i="2"/>
  <c r="AK2" i="2"/>
  <c r="AJ2" i="2"/>
  <c r="AI2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4" i="2"/>
  <c r="Q2" i="2" l="1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4" i="2"/>
  <c r="L8" i="2" l="1"/>
  <c r="N5" i="2"/>
  <c r="O5" i="2"/>
  <c r="Q5" i="2" s="1"/>
  <c r="N6" i="2"/>
  <c r="O6" i="2"/>
  <c r="Q6" i="2" s="1"/>
  <c r="N7" i="2"/>
  <c r="O7" i="2"/>
  <c r="Q7" i="2" s="1"/>
  <c r="N8" i="2"/>
  <c r="O8" i="2"/>
  <c r="Q8" i="2" s="1"/>
  <c r="N9" i="2"/>
  <c r="O9" i="2"/>
  <c r="Q9" i="2" s="1"/>
  <c r="N10" i="2"/>
  <c r="O10" i="2"/>
  <c r="Q10" i="2" s="1"/>
  <c r="N11" i="2"/>
  <c r="O11" i="2"/>
  <c r="Q11" i="2" s="1"/>
  <c r="N12" i="2"/>
  <c r="O12" i="2"/>
  <c r="Q12" i="2" s="1"/>
  <c r="N13" i="2"/>
  <c r="O13" i="2"/>
  <c r="Q13" i="2" s="1"/>
  <c r="N14" i="2"/>
  <c r="O14" i="2"/>
  <c r="Q14" i="2" s="1"/>
  <c r="N15" i="2"/>
  <c r="O15" i="2"/>
  <c r="Q15" i="2" s="1"/>
  <c r="N16" i="2"/>
  <c r="O16" i="2"/>
  <c r="Q16" i="2" s="1"/>
  <c r="N17" i="2"/>
  <c r="O17" i="2"/>
  <c r="Q17" i="2" s="1"/>
  <c r="N18" i="2"/>
  <c r="O18" i="2"/>
  <c r="Q18" i="2" s="1"/>
  <c r="N19" i="2"/>
  <c r="O19" i="2"/>
  <c r="Q19" i="2" s="1"/>
  <c r="N20" i="2"/>
  <c r="O20" i="2"/>
  <c r="Q20" i="2" s="1"/>
  <c r="N21" i="2"/>
  <c r="O21" i="2"/>
  <c r="Q21" i="2" s="1"/>
  <c r="N22" i="2"/>
  <c r="O22" i="2"/>
  <c r="Q22" i="2" s="1"/>
  <c r="N23" i="2"/>
  <c r="O23" i="2"/>
  <c r="Q23" i="2" s="1"/>
  <c r="N24" i="2"/>
  <c r="O24" i="2"/>
  <c r="Q24" i="2" s="1"/>
  <c r="N25" i="2"/>
  <c r="O25" i="2"/>
  <c r="Q25" i="2" s="1"/>
  <c r="N26" i="2"/>
  <c r="O26" i="2"/>
  <c r="Q26" i="2" s="1"/>
  <c r="N27" i="2"/>
  <c r="O27" i="2"/>
  <c r="Q27" i="2" s="1"/>
  <c r="N28" i="2"/>
  <c r="O28" i="2"/>
  <c r="Q28" i="2" s="1"/>
  <c r="N29" i="2"/>
  <c r="O29" i="2"/>
  <c r="Q29" i="2" s="1"/>
  <c r="N30" i="2"/>
  <c r="O30" i="2"/>
  <c r="Q30" i="2" s="1"/>
  <c r="N31" i="2"/>
  <c r="O31" i="2"/>
  <c r="Q31" i="2" s="1"/>
  <c r="N32" i="2"/>
  <c r="O32" i="2"/>
  <c r="Q32" i="2" s="1"/>
  <c r="N33" i="2"/>
  <c r="O33" i="2"/>
  <c r="Q33" i="2" s="1"/>
  <c r="N34" i="2"/>
  <c r="O34" i="2"/>
  <c r="Q34" i="2" s="1"/>
  <c r="N35" i="2"/>
  <c r="O35" i="2"/>
  <c r="Q35" i="2" s="1"/>
  <c r="N36" i="2"/>
  <c r="O36" i="2"/>
  <c r="Q36" i="2" s="1"/>
  <c r="N37" i="2"/>
  <c r="O37" i="2"/>
  <c r="Q37" i="2" s="1"/>
  <c r="N38" i="2"/>
  <c r="O38" i="2"/>
  <c r="Q38" i="2" s="1"/>
  <c r="N39" i="2"/>
  <c r="O39" i="2"/>
  <c r="Q39" i="2" s="1"/>
  <c r="N40" i="2"/>
  <c r="O40" i="2"/>
  <c r="Q40" i="2" s="1"/>
  <c r="N41" i="2"/>
  <c r="O41" i="2"/>
  <c r="Q41" i="2" s="1"/>
  <c r="N42" i="2"/>
  <c r="AD42" i="2" s="1"/>
  <c r="O42" i="2"/>
  <c r="Q42" i="2" s="1"/>
  <c r="N43" i="2"/>
  <c r="AD43" i="2" s="1"/>
  <c r="O43" i="2"/>
  <c r="Q43" i="2" s="1"/>
  <c r="N44" i="2"/>
  <c r="AD44" i="2" s="1"/>
  <c r="O44" i="2"/>
  <c r="Q44" i="2" s="1"/>
  <c r="N45" i="2"/>
  <c r="AD45" i="2" s="1"/>
  <c r="O45" i="2"/>
  <c r="Q45" i="2" s="1"/>
  <c r="N46" i="2"/>
  <c r="AD46" i="2" s="1"/>
  <c r="O46" i="2"/>
  <c r="Q46" i="2" s="1"/>
  <c r="N47" i="2"/>
  <c r="AD47" i="2" s="1"/>
  <c r="O47" i="2"/>
  <c r="Q47" i="2" s="1"/>
  <c r="N48" i="2"/>
  <c r="AD48" i="2" s="1"/>
  <c r="O48" i="2"/>
  <c r="Q48" i="2" s="1"/>
  <c r="N49" i="2"/>
  <c r="AD49" i="2" s="1"/>
  <c r="O49" i="2"/>
  <c r="Q49" i="2" s="1"/>
  <c r="N50" i="2"/>
  <c r="AD50" i="2" s="1"/>
  <c r="O50" i="2"/>
  <c r="Q50" i="2" s="1"/>
  <c r="N51" i="2"/>
  <c r="AD51" i="2" s="1"/>
  <c r="O51" i="2"/>
  <c r="Q51" i="2" s="1"/>
  <c r="N52" i="2"/>
  <c r="AD52" i="2" s="1"/>
  <c r="O52" i="2"/>
  <c r="Q52" i="2" s="1"/>
  <c r="N53" i="2"/>
  <c r="AD53" i="2" s="1"/>
  <c r="O53" i="2"/>
  <c r="Q53" i="2" s="1"/>
  <c r="N54" i="2"/>
  <c r="AD54" i="2" s="1"/>
  <c r="O54" i="2"/>
  <c r="Q54" i="2" s="1"/>
  <c r="N55" i="2"/>
  <c r="AD55" i="2" s="1"/>
  <c r="O55" i="2"/>
  <c r="Q55" i="2" s="1"/>
  <c r="N56" i="2"/>
  <c r="AD56" i="2" s="1"/>
  <c r="O56" i="2"/>
  <c r="Q56" i="2" s="1"/>
  <c r="N57" i="2"/>
  <c r="AD57" i="2" s="1"/>
  <c r="O57" i="2"/>
  <c r="Q57" i="2" s="1"/>
  <c r="N58" i="2"/>
  <c r="AD58" i="2" s="1"/>
  <c r="O58" i="2"/>
  <c r="Q58" i="2" s="1"/>
  <c r="N59" i="2"/>
  <c r="AD59" i="2" s="1"/>
  <c r="O59" i="2"/>
  <c r="Q59" i="2" s="1"/>
  <c r="N60" i="2"/>
  <c r="AD60" i="2" s="1"/>
  <c r="O60" i="2"/>
  <c r="Q60" i="2" s="1"/>
  <c r="N61" i="2"/>
  <c r="AD61" i="2" s="1"/>
  <c r="O61" i="2"/>
  <c r="Q61" i="2" s="1"/>
  <c r="N62" i="2"/>
  <c r="AD62" i="2" s="1"/>
  <c r="O62" i="2"/>
  <c r="Q62" i="2" s="1"/>
  <c r="N63" i="2"/>
  <c r="AD63" i="2" s="1"/>
  <c r="O63" i="2"/>
  <c r="Q63" i="2" s="1"/>
  <c r="N64" i="2"/>
  <c r="AD64" i="2" s="1"/>
  <c r="O64" i="2"/>
  <c r="Q64" i="2" s="1"/>
  <c r="N65" i="2"/>
  <c r="AD65" i="2" s="1"/>
  <c r="O65" i="2"/>
  <c r="Q65" i="2" s="1"/>
  <c r="N66" i="2"/>
  <c r="AD66" i="2" s="1"/>
  <c r="O66" i="2"/>
  <c r="Q66" i="2" s="1"/>
  <c r="N67" i="2"/>
  <c r="AD67" i="2" s="1"/>
  <c r="O67" i="2"/>
  <c r="Q67" i="2" s="1"/>
  <c r="N68" i="2"/>
  <c r="AD68" i="2" s="1"/>
  <c r="O68" i="2"/>
  <c r="Q68" i="2" s="1"/>
  <c r="N69" i="2"/>
  <c r="AD69" i="2" s="1"/>
  <c r="O69" i="2"/>
  <c r="Q69" i="2" s="1"/>
  <c r="N70" i="2"/>
  <c r="O70" i="2"/>
  <c r="Q70" i="2" s="1"/>
  <c r="N71" i="2"/>
  <c r="O71" i="2"/>
  <c r="Q71" i="2" s="1"/>
  <c r="N72" i="2"/>
  <c r="O72" i="2"/>
  <c r="Q72" i="2" s="1"/>
  <c r="N73" i="2"/>
  <c r="O73" i="2"/>
  <c r="Q73" i="2" s="1"/>
  <c r="N74" i="2"/>
  <c r="O74" i="2"/>
  <c r="Q74" i="2" s="1"/>
  <c r="N75" i="2"/>
  <c r="O75" i="2"/>
  <c r="Q75" i="2" s="1"/>
  <c r="O4" i="2"/>
  <c r="Q4" i="2" s="1"/>
  <c r="N4" i="2"/>
  <c r="S1" i="2" l="1"/>
  <c r="U1" i="2" s="1"/>
  <c r="U2" i="2" s="1"/>
  <c r="R75" i="2"/>
  <c r="S75" i="2" s="1"/>
  <c r="X71" i="2"/>
  <c r="Y71" i="2" s="1"/>
  <c r="AD71" i="2"/>
  <c r="R39" i="2"/>
  <c r="S39" i="2" s="1"/>
  <c r="R23" i="2"/>
  <c r="S23" i="2" s="1"/>
  <c r="AC5" i="2"/>
  <c r="R64" i="2"/>
  <c r="S64" i="2" s="1"/>
  <c r="AD20" i="2"/>
  <c r="R13" i="2"/>
  <c r="S13" i="2" s="1"/>
  <c r="R24" i="2"/>
  <c r="S24" i="2" s="1"/>
  <c r="AC6" i="2"/>
  <c r="R69" i="2"/>
  <c r="S69" i="2" s="1"/>
  <c r="R30" i="2"/>
  <c r="S30" i="2" s="1"/>
  <c r="R56" i="2"/>
  <c r="S56" i="2" s="1"/>
  <c r="AC7" i="2"/>
  <c r="R61" i="2"/>
  <c r="S61" i="2" s="1"/>
  <c r="R60" i="2"/>
  <c r="S60" i="2" s="1"/>
  <c r="R28" i="2"/>
  <c r="S28" i="2" s="1"/>
  <c r="R27" i="2"/>
  <c r="S27" i="2" s="1"/>
  <c r="R11" i="2"/>
  <c r="S11" i="2" s="1"/>
  <c r="R52" i="2"/>
  <c r="S52" i="2" s="1"/>
  <c r="R45" i="2"/>
  <c r="S45" i="2" s="1"/>
  <c r="R4" i="2"/>
  <c r="S4" i="2" s="1"/>
  <c r="R55" i="2"/>
  <c r="S55" i="2" s="1"/>
  <c r="R14" i="2"/>
  <c r="S14" i="2" s="1"/>
  <c r="R46" i="2"/>
  <c r="S46" i="2" s="1"/>
  <c r="R36" i="2"/>
  <c r="S36" i="2" s="1"/>
  <c r="R43" i="2"/>
  <c r="S43" i="2" s="1"/>
  <c r="R68" i="2"/>
  <c r="S68" i="2" s="1"/>
  <c r="R6" i="2"/>
  <c r="S6" i="2" s="1"/>
  <c r="R62" i="2"/>
  <c r="S62" i="2" s="1"/>
  <c r="R48" i="2"/>
  <c r="S48" i="2" s="1"/>
  <c r="R15" i="2"/>
  <c r="S15" i="2" s="1"/>
  <c r="R32" i="2"/>
  <c r="S32" i="2" s="1"/>
  <c r="R71" i="2"/>
  <c r="S71" i="2" s="1"/>
  <c r="R63" i="2"/>
  <c r="S63" i="2" s="1"/>
  <c r="R44" i="2"/>
  <c r="S44" i="2" s="1"/>
  <c r="R67" i="2"/>
  <c r="S67" i="2" s="1"/>
  <c r="R59" i="2"/>
  <c r="S59" i="2" s="1"/>
  <c r="R74" i="2"/>
  <c r="S74" i="2" s="1"/>
  <c r="R66" i="2"/>
  <c r="S66" i="2" s="1"/>
  <c r="R58" i="2"/>
  <c r="S58" i="2" s="1"/>
  <c r="R50" i="2"/>
  <c r="S50" i="2" s="1"/>
  <c r="R42" i="2"/>
  <c r="S42" i="2" s="1"/>
  <c r="R34" i="2"/>
  <c r="S34" i="2" s="1"/>
  <c r="R26" i="2"/>
  <c r="R10" i="2"/>
  <c r="S10" i="2" s="1"/>
  <c r="R5" i="2"/>
  <c r="S5" i="2" s="1"/>
  <c r="R22" i="2"/>
  <c r="S22" i="2" s="1"/>
  <c r="AD16" i="2"/>
  <c r="R40" i="2"/>
  <c r="S40" i="2" s="1"/>
  <c r="R47" i="2"/>
  <c r="S47" i="2" s="1"/>
  <c r="R12" i="2"/>
  <c r="S12" i="2" s="1"/>
  <c r="R21" i="2"/>
  <c r="R38" i="2"/>
  <c r="S38" i="2" s="1"/>
  <c r="R35" i="2"/>
  <c r="S35" i="2" s="1"/>
  <c r="R19" i="2"/>
  <c r="S19" i="2" s="1"/>
  <c r="R57" i="2"/>
  <c r="S57" i="2" s="1"/>
  <c r="R9" i="2"/>
  <c r="S9" i="2" s="1"/>
  <c r="R37" i="2"/>
  <c r="S37" i="2" s="1"/>
  <c r="R51" i="2"/>
  <c r="S51" i="2" s="1"/>
  <c r="R8" i="2"/>
  <c r="S8" i="2" s="1"/>
  <c r="R31" i="2"/>
  <c r="S31" i="2" s="1"/>
  <c r="R54" i="2"/>
  <c r="S54" i="2" s="1"/>
  <c r="R29" i="2"/>
  <c r="R73" i="2"/>
  <c r="S73" i="2" s="1"/>
  <c r="R65" i="2"/>
  <c r="S65" i="2" s="1"/>
  <c r="R49" i="2"/>
  <c r="S49" i="2" s="1"/>
  <c r="R41" i="2"/>
  <c r="R33" i="2"/>
  <c r="R25" i="2"/>
  <c r="S25" i="2" s="1"/>
  <c r="R17" i="2"/>
  <c r="S17" i="2" s="1"/>
  <c r="R53" i="2"/>
  <c r="S53" i="2" s="1"/>
  <c r="R70" i="2"/>
  <c r="S70" i="2" s="1"/>
  <c r="R7" i="2"/>
  <c r="R72" i="2"/>
  <c r="R18" i="2"/>
  <c r="S18" i="2" s="1"/>
  <c r="N76" i="2"/>
  <c r="T4" i="2"/>
  <c r="V4" i="2" s="1"/>
  <c r="AC4" i="2"/>
  <c r="T39" i="2"/>
  <c r="V39" i="2" s="1"/>
  <c r="X35" i="2"/>
  <c r="X27" i="2"/>
  <c r="T7" i="2"/>
  <c r="V7" i="2" s="1"/>
  <c r="X59" i="2"/>
  <c r="T23" i="2"/>
  <c r="V23" i="2" s="1"/>
  <c r="X19" i="2"/>
  <c r="X53" i="2"/>
  <c r="Y53" i="2" s="1"/>
  <c r="AL22" i="2" s="1"/>
  <c r="T33" i="2"/>
  <c r="V33" i="2" s="1"/>
  <c r="X29" i="2"/>
  <c r="Y29" i="2" s="1"/>
  <c r="AL16" i="2" s="1"/>
  <c r="X5" i="2"/>
  <c r="Y5" i="2" s="1"/>
  <c r="AL10" i="2" s="1"/>
  <c r="T56" i="2"/>
  <c r="V56" i="2" s="1"/>
  <c r="X52" i="2"/>
  <c r="Y52" i="2" s="1"/>
  <c r="AJ22" i="2" s="1"/>
  <c r="T32" i="2"/>
  <c r="V32" i="2" s="1"/>
  <c r="X28" i="2"/>
  <c r="Y28" i="2" s="1"/>
  <c r="AJ16" i="2" s="1"/>
  <c r="X43" i="2"/>
  <c r="X11" i="2"/>
  <c r="T70" i="2"/>
  <c r="V70" i="2" s="1"/>
  <c r="X66" i="2"/>
  <c r="Y66" i="2" s="1"/>
  <c r="AN25" i="2" s="1"/>
  <c r="T62" i="2"/>
  <c r="V62" i="2" s="1"/>
  <c r="X58" i="2"/>
  <c r="Y58" i="2" s="1"/>
  <c r="AN23" i="2" s="1"/>
  <c r="T54" i="2"/>
  <c r="V54" i="2" s="1"/>
  <c r="X50" i="2"/>
  <c r="Y50" i="2" s="1"/>
  <c r="AN21" i="2" s="1"/>
  <c r="T46" i="2"/>
  <c r="V46" i="2" s="1"/>
  <c r="X42" i="2"/>
  <c r="Y42" i="2" s="1"/>
  <c r="AN19" i="2" s="1"/>
  <c r="T38" i="2"/>
  <c r="V38" i="2" s="1"/>
  <c r="X34" i="2"/>
  <c r="Y34" i="2" s="1"/>
  <c r="AN17" i="2" s="1"/>
  <c r="T30" i="2"/>
  <c r="V30" i="2" s="1"/>
  <c r="X26" i="2"/>
  <c r="Y26" i="2" s="1"/>
  <c r="AN15" i="2" s="1"/>
  <c r="T22" i="2"/>
  <c r="V22" i="2" s="1"/>
  <c r="X18" i="2"/>
  <c r="Y18" i="2" s="1"/>
  <c r="AN13" i="2" s="1"/>
  <c r="T14" i="2"/>
  <c r="V14" i="2" s="1"/>
  <c r="X10" i="2"/>
  <c r="Y10" i="2" s="1"/>
  <c r="AN11" i="2" s="1"/>
  <c r="T6" i="2"/>
  <c r="V6" i="2" s="1"/>
  <c r="X69" i="2"/>
  <c r="Y69" i="2" s="1"/>
  <c r="AL26" i="2" s="1"/>
  <c r="X37" i="2"/>
  <c r="Y37" i="2" s="1"/>
  <c r="AL18" i="2" s="1"/>
  <c r="T55" i="2"/>
  <c r="V55" i="2" s="1"/>
  <c r="X51" i="2"/>
  <c r="T65" i="2"/>
  <c r="V65" i="2" s="1"/>
  <c r="X61" i="2"/>
  <c r="Y61" i="2" s="1"/>
  <c r="AL24" i="2" s="1"/>
  <c r="T17" i="2"/>
  <c r="V17" i="2" s="1"/>
  <c r="X13" i="2"/>
  <c r="Y13" i="2" s="1"/>
  <c r="AL12" i="2" s="1"/>
  <c r="T64" i="2"/>
  <c r="V64" i="2" s="1"/>
  <c r="X60" i="2"/>
  <c r="Y60" i="2" s="1"/>
  <c r="AJ24" i="2" s="1"/>
  <c r="T40" i="2"/>
  <c r="V40" i="2" s="1"/>
  <c r="X36" i="2"/>
  <c r="Y36" i="2" s="1"/>
  <c r="AJ18" i="2" s="1"/>
  <c r="T16" i="2"/>
  <c r="V16" i="2" s="1"/>
  <c r="X12" i="2"/>
  <c r="Y12" i="2" s="1"/>
  <c r="AJ12" i="2" s="1"/>
  <c r="T71" i="2"/>
  <c r="V71" i="2" s="1"/>
  <c r="X67" i="2"/>
  <c r="T69" i="2"/>
  <c r="V69" i="2" s="1"/>
  <c r="X65" i="2"/>
  <c r="Y65" i="2" s="1"/>
  <c r="AL25" i="2" s="1"/>
  <c r="X57" i="2"/>
  <c r="Y57" i="2" s="1"/>
  <c r="AL23" i="2" s="1"/>
  <c r="X41" i="2"/>
  <c r="Y41" i="2" s="1"/>
  <c r="AL19" i="2" s="1"/>
  <c r="X25" i="2"/>
  <c r="Y25" i="2" s="1"/>
  <c r="AL15" i="2" s="1"/>
  <c r="X9" i="2"/>
  <c r="Y9" i="2" s="1"/>
  <c r="AL11" i="2" s="1"/>
  <c r="T5" i="2"/>
  <c r="V5" i="2" s="1"/>
  <c r="T68" i="2"/>
  <c r="V68" i="2" s="1"/>
  <c r="X64" i="2"/>
  <c r="Y64" i="2" s="1"/>
  <c r="AJ25" i="2" s="1"/>
  <c r="T60" i="2"/>
  <c r="V60" i="2" s="1"/>
  <c r="X56" i="2"/>
  <c r="Y56" i="2" s="1"/>
  <c r="AJ23" i="2" s="1"/>
  <c r="X48" i="2"/>
  <c r="Y48" i="2" s="1"/>
  <c r="AJ21" i="2" s="1"/>
  <c r="T44" i="2"/>
  <c r="V44" i="2" s="1"/>
  <c r="X40" i="2"/>
  <c r="Y40" i="2" s="1"/>
  <c r="AJ19" i="2" s="1"/>
  <c r="X32" i="2"/>
  <c r="Y32" i="2" s="1"/>
  <c r="AJ17" i="2" s="1"/>
  <c r="T28" i="2"/>
  <c r="V28" i="2" s="1"/>
  <c r="X24" i="2"/>
  <c r="Y24" i="2" s="1"/>
  <c r="AJ15" i="2" s="1"/>
  <c r="X16" i="2"/>
  <c r="Y16" i="2" s="1"/>
  <c r="AJ13" i="2" s="1"/>
  <c r="T12" i="2"/>
  <c r="V12" i="2" s="1"/>
  <c r="X8" i="2"/>
  <c r="Y8" i="2" s="1"/>
  <c r="AJ11" i="2" s="1"/>
  <c r="T11" i="2"/>
  <c r="V11" i="2" s="1"/>
  <c r="X7" i="2"/>
  <c r="T53" i="2"/>
  <c r="V53" i="2" s="1"/>
  <c r="X49" i="2"/>
  <c r="Y49" i="2" s="1"/>
  <c r="AL21" i="2" s="1"/>
  <c r="T21" i="2"/>
  <c r="V21" i="2" s="1"/>
  <c r="X17" i="2"/>
  <c r="Y17" i="2" s="1"/>
  <c r="AL13" i="2" s="1"/>
  <c r="X63" i="2"/>
  <c r="X47" i="2"/>
  <c r="T43" i="2"/>
  <c r="V43" i="2" s="1"/>
  <c r="X39" i="2"/>
  <c r="T27" i="2"/>
  <c r="V27" i="2" s="1"/>
  <c r="X23" i="2"/>
  <c r="X70" i="2"/>
  <c r="Y70" i="2" s="1"/>
  <c r="AN26" i="2" s="1"/>
  <c r="T66" i="2"/>
  <c r="V66" i="2" s="1"/>
  <c r="X62" i="2"/>
  <c r="Y62" i="2" s="1"/>
  <c r="AN24" i="2" s="1"/>
  <c r="X54" i="2"/>
  <c r="Y54" i="2" s="1"/>
  <c r="AN22" i="2" s="1"/>
  <c r="T50" i="2"/>
  <c r="V50" i="2" s="1"/>
  <c r="X46" i="2"/>
  <c r="Y46" i="2" s="1"/>
  <c r="AN20" i="2" s="1"/>
  <c r="X38" i="2"/>
  <c r="Y38" i="2" s="1"/>
  <c r="AN18" i="2" s="1"/>
  <c r="T34" i="2"/>
  <c r="V34" i="2" s="1"/>
  <c r="X30" i="2"/>
  <c r="Y30" i="2" s="1"/>
  <c r="AN16" i="2" s="1"/>
  <c r="X22" i="2"/>
  <c r="Y22" i="2" s="1"/>
  <c r="AN14" i="2" s="1"/>
  <c r="T18" i="2"/>
  <c r="V18" i="2" s="1"/>
  <c r="X14" i="2"/>
  <c r="Y14" i="2" s="1"/>
  <c r="AN12" i="2" s="1"/>
  <c r="X6" i="2"/>
  <c r="Y6" i="2" s="1"/>
  <c r="AN10" i="2" s="1"/>
  <c r="T49" i="2"/>
  <c r="V49" i="2" s="1"/>
  <c r="X45" i="2"/>
  <c r="Y45" i="2" s="1"/>
  <c r="AL20" i="2" s="1"/>
  <c r="X21" i="2"/>
  <c r="Y21" i="2" s="1"/>
  <c r="AL14" i="2" s="1"/>
  <c r="T72" i="2"/>
  <c r="V72" i="2" s="1"/>
  <c r="X68" i="2"/>
  <c r="Y68" i="2" s="1"/>
  <c r="AJ26" i="2" s="1"/>
  <c r="T48" i="2"/>
  <c r="V48" i="2" s="1"/>
  <c r="X44" i="2"/>
  <c r="Y44" i="2" s="1"/>
  <c r="AJ20" i="2" s="1"/>
  <c r="T24" i="2"/>
  <c r="V24" i="2" s="1"/>
  <c r="X20" i="2"/>
  <c r="Y20" i="2" s="1"/>
  <c r="AJ14" i="2" s="1"/>
  <c r="T8" i="2"/>
  <c r="V8" i="2" s="1"/>
  <c r="X4" i="2"/>
  <c r="Y4" i="2" s="1"/>
  <c r="T37" i="2"/>
  <c r="V37" i="2" s="1"/>
  <c r="X33" i="2"/>
  <c r="Y33" i="2" s="1"/>
  <c r="AL17" i="2" s="1"/>
  <c r="T75" i="2"/>
  <c r="V75" i="2" s="1"/>
  <c r="T59" i="2"/>
  <c r="V59" i="2" s="1"/>
  <c r="X55" i="2"/>
  <c r="X31" i="2"/>
  <c r="X15" i="2"/>
  <c r="AD33" i="2"/>
  <c r="T31" i="2"/>
  <c r="V31" i="2" s="1"/>
  <c r="T61" i="2"/>
  <c r="V61" i="2" s="1"/>
  <c r="T45" i="2"/>
  <c r="V45" i="2" s="1"/>
  <c r="AD29" i="2"/>
  <c r="T29" i="2"/>
  <c r="V29" i="2" s="1"/>
  <c r="T13" i="2"/>
  <c r="V13" i="2" s="1"/>
  <c r="T47" i="2"/>
  <c r="V47" i="2" s="1"/>
  <c r="T15" i="2"/>
  <c r="V15" i="2" s="1"/>
  <c r="T67" i="2"/>
  <c r="V67" i="2" s="1"/>
  <c r="T51" i="2"/>
  <c r="V51" i="2" s="1"/>
  <c r="T35" i="2"/>
  <c r="V35" i="2" s="1"/>
  <c r="T19" i="2"/>
  <c r="V19" i="2" s="1"/>
  <c r="T52" i="2"/>
  <c r="V52" i="2" s="1"/>
  <c r="T20" i="2"/>
  <c r="V20" i="2" s="1"/>
  <c r="T74" i="2"/>
  <c r="V74" i="2" s="1"/>
  <c r="T58" i="2"/>
  <c r="V58" i="2" s="1"/>
  <c r="T42" i="2"/>
  <c r="V42" i="2" s="1"/>
  <c r="AD26" i="2"/>
  <c r="T26" i="2"/>
  <c r="V26" i="2" s="1"/>
  <c r="T10" i="2"/>
  <c r="V10" i="2" s="1"/>
  <c r="T63" i="2"/>
  <c r="V63" i="2" s="1"/>
  <c r="T36" i="2"/>
  <c r="V36" i="2" s="1"/>
  <c r="T73" i="2"/>
  <c r="V73" i="2" s="1"/>
  <c r="T57" i="2"/>
  <c r="V57" i="2" s="1"/>
  <c r="AD41" i="2"/>
  <c r="T41" i="2"/>
  <c r="V41" i="2" s="1"/>
  <c r="T25" i="2"/>
  <c r="V25" i="2" s="1"/>
  <c r="T9" i="2"/>
  <c r="V9" i="2" s="1"/>
  <c r="AJ10" i="2" l="1"/>
  <c r="AI3" i="2" s="1"/>
  <c r="AJ3" i="2"/>
  <c r="AJ6" i="2" s="1"/>
  <c r="AK4" i="2"/>
  <c r="AK7" i="2" s="1"/>
  <c r="AK3" i="2"/>
  <c r="AK6" i="2" s="1"/>
  <c r="AJ4" i="2"/>
  <c r="AJ7" i="2" s="1"/>
  <c r="Y39" i="2"/>
  <c r="AP18" i="2" s="1"/>
  <c r="Y19" i="2"/>
  <c r="AP13" i="2" s="1"/>
  <c r="Y51" i="2"/>
  <c r="AP21" i="2" s="1"/>
  <c r="Y7" i="2"/>
  <c r="AP10" i="2" s="1"/>
  <c r="Y59" i="2"/>
  <c r="AP23" i="2" s="1"/>
  <c r="Y43" i="2"/>
  <c r="AP19" i="2" s="1"/>
  <c r="Y55" i="2"/>
  <c r="AP22" i="2" s="1"/>
  <c r="Y47" i="2"/>
  <c r="AP20" i="2" s="1"/>
  <c r="Y63" i="2"/>
  <c r="AP24" i="2" s="1"/>
  <c r="Y27" i="2"/>
  <c r="AP15" i="2" s="1"/>
  <c r="Y23" i="2"/>
  <c r="AP14" i="2" s="1"/>
  <c r="Y67" i="2"/>
  <c r="AP25" i="2" s="1"/>
  <c r="Y35" i="2"/>
  <c r="AP17" i="2" s="1"/>
  <c r="AP26" i="2"/>
  <c r="Y31" i="2"/>
  <c r="AP16" i="2" s="1"/>
  <c r="Y15" i="2"/>
  <c r="AP12" i="2" s="1"/>
  <c r="Y11" i="2"/>
  <c r="AP11" i="2" s="1"/>
  <c r="AD72" i="2"/>
  <c r="AD70" i="2"/>
  <c r="AD7" i="2"/>
  <c r="AF7" i="2" s="1"/>
  <c r="R20" i="2"/>
  <c r="S20" i="2" s="1"/>
  <c r="AD21" i="2"/>
  <c r="R16" i="2"/>
  <c r="S16" i="2" s="1"/>
  <c r="S41" i="2"/>
  <c r="S7" i="2"/>
  <c r="AD75" i="2"/>
  <c r="AD73" i="2"/>
  <c r="AD74" i="2"/>
  <c r="S26" i="2"/>
  <c r="AD30" i="2"/>
  <c r="S21" i="2"/>
  <c r="AD38" i="2"/>
  <c r="AD27" i="2"/>
  <c r="AD25" i="2"/>
  <c r="AD10" i="2"/>
  <c r="AD40" i="2"/>
  <c r="AD31" i="2"/>
  <c r="AD11" i="2"/>
  <c r="S29" i="2"/>
  <c r="AD24" i="2"/>
  <c r="AD5" i="2"/>
  <c r="S72" i="2"/>
  <c r="N77" i="2"/>
  <c r="AD77" i="2" s="1"/>
  <c r="AD76" i="2"/>
  <c r="AD22" i="2"/>
  <c r="AD19" i="2"/>
  <c r="AD36" i="2"/>
  <c r="AD13" i="2"/>
  <c r="AD28" i="2"/>
  <c r="S33" i="2"/>
  <c r="AD4" i="2"/>
  <c r="AD8" i="2"/>
  <c r="AD37" i="2"/>
  <c r="AD15" i="2"/>
  <c r="AD23" i="2"/>
  <c r="AD14" i="2"/>
  <c r="AD39" i="2"/>
  <c r="AD17" i="2"/>
  <c r="AD32" i="2"/>
  <c r="AD34" i="2"/>
  <c r="AD35" i="2"/>
  <c r="AD18" i="2"/>
  <c r="AD9" i="2"/>
  <c r="AD6" i="2"/>
  <c r="AD12" i="2"/>
  <c r="B2" i="2" l="1"/>
  <c r="AI6" i="2"/>
  <c r="AI4" i="2"/>
  <c r="S2" i="2"/>
  <c r="AK5" i="2"/>
  <c r="AJ5" i="2"/>
  <c r="AL3" i="2"/>
  <c r="AM3" i="2" s="1"/>
  <c r="AL4" i="2"/>
  <c r="AL2" i="2"/>
  <c r="AM2" i="2" s="1"/>
  <c r="Y1" i="2"/>
  <c r="Y2" i="2"/>
  <c r="AE7" i="2"/>
  <c r="AE6" i="2"/>
  <c r="AF6" i="2"/>
  <c r="AE5" i="2"/>
  <c r="AF5" i="2"/>
  <c r="AE4" i="2"/>
  <c r="AF4" i="2"/>
  <c r="AI7" i="2" l="1"/>
  <c r="AM4" i="2"/>
  <c r="AL7" i="2"/>
  <c r="AI5" i="2"/>
  <c r="AL6" i="2"/>
  <c r="AM6" i="2" s="1"/>
  <c r="AL5" i="2"/>
  <c r="C2" i="2"/>
  <c r="Z23" i="2"/>
  <c r="Z75" i="2"/>
  <c r="Z73" i="2"/>
  <c r="Z72" i="2"/>
  <c r="Z74" i="2"/>
  <c r="Z45" i="2"/>
  <c r="Z56" i="2"/>
  <c r="Z17" i="2"/>
  <c r="Z14" i="2"/>
  <c r="Z7" i="2"/>
  <c r="AC11" i="2" s="1"/>
  <c r="AF11" i="2" s="1"/>
  <c r="Z20" i="2"/>
  <c r="Z29" i="2"/>
  <c r="Z10" i="2"/>
  <c r="Z6" i="2"/>
  <c r="AC10" i="2" s="1"/>
  <c r="Z32" i="2"/>
  <c r="Z26" i="2"/>
  <c r="Z35" i="2"/>
  <c r="Z59" i="2"/>
  <c r="Z53" i="2"/>
  <c r="Z11" i="2"/>
  <c r="Z8" i="2"/>
  <c r="Z68" i="2"/>
  <c r="X78" i="2" s="1"/>
  <c r="Z15" i="2"/>
  <c r="Z27" i="2"/>
  <c r="Z9" i="2"/>
  <c r="Z46" i="2"/>
  <c r="Z49" i="2"/>
  <c r="Z64" i="2"/>
  <c r="Z61" i="2"/>
  <c r="Z24" i="2"/>
  <c r="Z50" i="2"/>
  <c r="Z37" i="2"/>
  <c r="Z36" i="2"/>
  <c r="Z55" i="2"/>
  <c r="Z57" i="2"/>
  <c r="Z60" i="2"/>
  <c r="Z47" i="2"/>
  <c r="Z38" i="2"/>
  <c r="Z48" i="2"/>
  <c r="Z67" i="2"/>
  <c r="Z54" i="2"/>
  <c r="Z12" i="2"/>
  <c r="Z13" i="2"/>
  <c r="Z16" i="2"/>
  <c r="Z28" i="2"/>
  <c r="Z43" i="2"/>
  <c r="Z33" i="2"/>
  <c r="Z5" i="2"/>
  <c r="AC9" i="2" s="1"/>
  <c r="AE9" i="2" s="1"/>
  <c r="Z40" i="2"/>
  <c r="Z31" i="2"/>
  <c r="Z30" i="2"/>
  <c r="Z71" i="2"/>
  <c r="X81" i="2" s="1"/>
  <c r="Z51" i="2"/>
  <c r="Z22" i="2"/>
  <c r="Z62" i="2"/>
  <c r="Z70" i="2"/>
  <c r="Z41" i="2"/>
  <c r="Z19" i="2"/>
  <c r="Z39" i="2"/>
  <c r="Z25" i="2"/>
  <c r="Z69" i="2"/>
  <c r="X79" i="2" s="1"/>
  <c r="Z58" i="2"/>
  <c r="Z65" i="2"/>
  <c r="Z18" i="2"/>
  <c r="Z52" i="2"/>
  <c r="Z4" i="2"/>
  <c r="AC8" i="2" s="1"/>
  <c r="Z63" i="2"/>
  <c r="Z21" i="2"/>
  <c r="Z44" i="2"/>
  <c r="Z66" i="2"/>
  <c r="Z34" i="2"/>
  <c r="Z42" i="2"/>
  <c r="X80" i="2"/>
  <c r="AM5" i="2" l="1"/>
  <c r="AM7" i="2"/>
  <c r="AC13" i="2"/>
  <c r="AE13" i="2" s="1"/>
  <c r="AC17" i="2" s="1"/>
  <c r="Z78" i="2"/>
  <c r="X82" i="2" s="1"/>
  <c r="AE11" i="2"/>
  <c r="AC15" i="2" s="1"/>
  <c r="AE15" i="2" s="1"/>
  <c r="AC19" i="2" s="1"/>
  <c r="AF9" i="2"/>
  <c r="AE10" i="2"/>
  <c r="AC14" i="2" s="1"/>
  <c r="AF10" i="2"/>
  <c r="AE8" i="2"/>
  <c r="AC12" i="2" s="1"/>
  <c r="AF8" i="2"/>
  <c r="AF13" i="2" l="1"/>
  <c r="Z79" i="2"/>
  <c r="X83" i="2" s="1"/>
  <c r="AF15" i="2"/>
  <c r="AE12" i="2"/>
  <c r="AC16" i="2" s="1"/>
  <c r="AF12" i="2"/>
  <c r="AE19" i="2"/>
  <c r="AC23" i="2" s="1"/>
  <c r="AF19" i="2"/>
  <c r="AE14" i="2"/>
  <c r="AC18" i="2" s="1"/>
  <c r="AF14" i="2"/>
  <c r="AE17" i="2"/>
  <c r="AC21" i="2" s="1"/>
  <c r="AF17" i="2"/>
  <c r="Z80" i="2" l="1"/>
  <c r="Z81" i="2" s="1"/>
  <c r="Z82" i="2" s="1"/>
  <c r="AE18" i="2"/>
  <c r="AC22" i="2" s="1"/>
  <c r="AF18" i="2"/>
  <c r="AE21" i="2"/>
  <c r="AC25" i="2" s="1"/>
  <c r="AF21" i="2"/>
  <c r="AE23" i="2"/>
  <c r="AC27" i="2" s="1"/>
  <c r="AF23" i="2"/>
  <c r="AE16" i="2"/>
  <c r="AC20" i="2" s="1"/>
  <c r="AF16" i="2"/>
  <c r="Z83" i="2" l="1"/>
  <c r="AE27" i="2"/>
  <c r="AC31" i="2" s="1"/>
  <c r="AF27" i="2"/>
  <c r="AE20" i="2"/>
  <c r="AC24" i="2" s="1"/>
  <c r="AF20" i="2"/>
  <c r="AE25" i="2"/>
  <c r="AC29" i="2" s="1"/>
  <c r="AF25" i="2"/>
  <c r="AE22" i="2"/>
  <c r="AC26" i="2" s="1"/>
  <c r="AF22" i="2"/>
  <c r="AE29" i="2" l="1"/>
  <c r="AC33" i="2" s="1"/>
  <c r="AF29" i="2"/>
  <c r="AE26" i="2"/>
  <c r="AC30" i="2" s="1"/>
  <c r="AF26" i="2"/>
  <c r="AE24" i="2"/>
  <c r="AC28" i="2" s="1"/>
  <c r="AF24" i="2"/>
  <c r="AE31" i="2"/>
  <c r="AC35" i="2" s="1"/>
  <c r="AF31" i="2"/>
  <c r="AE28" i="2" l="1"/>
  <c r="AC32" i="2" s="1"/>
  <c r="AF28" i="2"/>
  <c r="AE30" i="2"/>
  <c r="AC34" i="2" s="1"/>
  <c r="AF30" i="2"/>
  <c r="AE35" i="2"/>
  <c r="AC39" i="2" s="1"/>
  <c r="AF35" i="2"/>
  <c r="AE33" i="2"/>
  <c r="AC37" i="2" s="1"/>
  <c r="AF33" i="2"/>
  <c r="AE39" i="2" l="1"/>
  <c r="AC43" i="2" s="1"/>
  <c r="AF39" i="2"/>
  <c r="AE37" i="2"/>
  <c r="AC41" i="2" s="1"/>
  <c r="AF37" i="2"/>
  <c r="AE34" i="2"/>
  <c r="AC38" i="2" s="1"/>
  <c r="AF34" i="2"/>
  <c r="AE32" i="2"/>
  <c r="AC36" i="2" s="1"/>
  <c r="AF32" i="2"/>
  <c r="AE38" i="2" l="1"/>
  <c r="AC42" i="2" s="1"/>
  <c r="AE42" i="2" s="1"/>
  <c r="AF38" i="2"/>
  <c r="AE41" i="2"/>
  <c r="AC45" i="2" s="1"/>
  <c r="AF41" i="2"/>
  <c r="AE36" i="2"/>
  <c r="AC40" i="2" s="1"/>
  <c r="AF36" i="2"/>
  <c r="AE43" i="2"/>
  <c r="AC47" i="2" s="1"/>
  <c r="AF43" i="2"/>
  <c r="AE40" i="2" l="1"/>
  <c r="AC44" i="2" s="1"/>
  <c r="AF40" i="2"/>
  <c r="AE47" i="2"/>
  <c r="AC51" i="2" s="1"/>
  <c r="AF47" i="2"/>
  <c r="AE45" i="2"/>
  <c r="AC49" i="2" s="1"/>
  <c r="AF45" i="2"/>
  <c r="AC46" i="2"/>
  <c r="AF42" i="2"/>
  <c r="AE46" i="2" l="1"/>
  <c r="AC50" i="2" s="1"/>
  <c r="AF46" i="2"/>
  <c r="AE49" i="2"/>
  <c r="AC53" i="2" s="1"/>
  <c r="AF49" i="2"/>
  <c r="AE51" i="2"/>
  <c r="AC55" i="2" s="1"/>
  <c r="AF51" i="2"/>
  <c r="AE44" i="2"/>
  <c r="AC48" i="2" s="1"/>
  <c r="AF44" i="2"/>
  <c r="AE55" i="2" l="1"/>
  <c r="AC59" i="2" s="1"/>
  <c r="AF55" i="2"/>
  <c r="AE53" i="2"/>
  <c r="AC57" i="2" s="1"/>
  <c r="AF53" i="2"/>
  <c r="AE48" i="2"/>
  <c r="AC52" i="2" s="1"/>
  <c r="AF48" i="2"/>
  <c r="AE50" i="2"/>
  <c r="AC54" i="2" s="1"/>
  <c r="AF50" i="2"/>
  <c r="AE54" i="2" l="1"/>
  <c r="AC58" i="2" s="1"/>
  <c r="AF54" i="2"/>
  <c r="AE52" i="2"/>
  <c r="AC56" i="2" s="1"/>
  <c r="AF52" i="2"/>
  <c r="AE57" i="2"/>
  <c r="AC61" i="2" s="1"/>
  <c r="AF57" i="2"/>
  <c r="AE59" i="2"/>
  <c r="AC63" i="2" s="1"/>
  <c r="AF59" i="2"/>
  <c r="AE61" i="2" l="1"/>
  <c r="AC65" i="2" s="1"/>
  <c r="AF61" i="2"/>
  <c r="AE63" i="2"/>
  <c r="AC67" i="2" s="1"/>
  <c r="AF63" i="2"/>
  <c r="AE56" i="2"/>
  <c r="AC60" i="2" s="1"/>
  <c r="AF56" i="2"/>
  <c r="AE58" i="2"/>
  <c r="AC62" i="2" s="1"/>
  <c r="AF58" i="2"/>
  <c r="AE60" i="2" l="1"/>
  <c r="AC64" i="2" s="1"/>
  <c r="AF60" i="2"/>
  <c r="AE67" i="2"/>
  <c r="AC71" i="2" s="1"/>
  <c r="AF67" i="2"/>
  <c r="AE62" i="2"/>
  <c r="AC66" i="2" s="1"/>
  <c r="AF62" i="2"/>
  <c r="AE65" i="2"/>
  <c r="AC69" i="2" s="1"/>
  <c r="AF65" i="2"/>
  <c r="AE69" i="2" l="1"/>
  <c r="AC73" i="2" s="1"/>
  <c r="AE73" i="2" s="1"/>
  <c r="AC77" i="2" s="1"/>
  <c r="AF69" i="2"/>
  <c r="AE66" i="2"/>
  <c r="AC70" i="2" s="1"/>
  <c r="AF66" i="2"/>
  <c r="AF71" i="2"/>
  <c r="AE71" i="2"/>
  <c r="AC75" i="2" s="1"/>
  <c r="AE75" i="2" s="1"/>
  <c r="AE64" i="2"/>
  <c r="AC68" i="2" s="1"/>
  <c r="AF64" i="2"/>
  <c r="AE68" i="2" l="1"/>
  <c r="AC72" i="2" s="1"/>
  <c r="AF68" i="2"/>
  <c r="AF75" i="2"/>
  <c r="AE70" i="2"/>
  <c r="AC74" i="2" s="1"/>
  <c r="AF70" i="2"/>
  <c r="AF73" i="2"/>
  <c r="AE77" i="2" l="1"/>
  <c r="AF77" i="2"/>
  <c r="AE74" i="2"/>
  <c r="AF74" i="2"/>
  <c r="AF72" i="2"/>
  <c r="L9" i="2" s="1"/>
  <c r="L10" i="2" s="1"/>
  <c r="AE72" i="2"/>
  <c r="AC76" i="2" s="1"/>
  <c r="AE76" i="2" l="1"/>
  <c r="AF76" i="2"/>
</calcChain>
</file>

<file path=xl/sharedStrings.xml><?xml version="1.0" encoding="utf-8"?>
<sst xmlns="http://schemas.openxmlformats.org/spreadsheetml/2006/main" count="7891" uniqueCount="149">
  <si>
    <t>GroupName</t>
  </si>
  <si>
    <t>Year</t>
  </si>
  <si>
    <t>AdultCatch_RSA</t>
  </si>
  <si>
    <t>AdultLoss_RSA</t>
  </si>
  <si>
    <t>AdultEscape_RSA</t>
  </si>
  <si>
    <t>AdultCatch_Redistribution</t>
  </si>
  <si>
    <t>JackLoss_RSA</t>
  </si>
  <si>
    <t>JackEscape_RSA</t>
  </si>
  <si>
    <t>Total Escapement</t>
  </si>
  <si>
    <t>DBE</t>
  </si>
  <si>
    <t>Birkenhead</t>
  </si>
  <si>
    <t>RSA</t>
  </si>
  <si>
    <t>NA</t>
  </si>
  <si>
    <t>Bowron</t>
  </si>
  <si>
    <t>Chilko</t>
  </si>
  <si>
    <t>Chilliwack</t>
  </si>
  <si>
    <t>Cultus</t>
  </si>
  <si>
    <t>Early Shuswap</t>
  </si>
  <si>
    <t>Early Stuart</t>
  </si>
  <si>
    <t>Gates</t>
  </si>
  <si>
    <t>Harrison</t>
  </si>
  <si>
    <t>Harrison-Lillooet</t>
  </si>
  <si>
    <t>Late Shuswap</t>
  </si>
  <si>
    <t>Late Stuart</t>
  </si>
  <si>
    <t>Nadina</t>
  </si>
  <si>
    <t>Nahatlatch</t>
  </si>
  <si>
    <t>North Thompson River</t>
  </si>
  <si>
    <t>North Thompson Tributaries</t>
  </si>
  <si>
    <t>Portage</t>
  </si>
  <si>
    <t>Quesnel</t>
  </si>
  <si>
    <t>Raft</t>
  </si>
  <si>
    <t>Scotch Creek</t>
  </si>
  <si>
    <t>Seymour</t>
  </si>
  <si>
    <t>Stellako</t>
  </si>
  <si>
    <t>Taseko</t>
  </si>
  <si>
    <t>Upper Barriere</t>
  </si>
  <si>
    <t>Upper Pitt River</t>
  </si>
  <si>
    <t>Weaver</t>
  </si>
  <si>
    <t>Widgeon</t>
  </si>
  <si>
    <t>Alaska Catch</t>
  </si>
  <si>
    <t>Below Mission Catch (excluding Alaska catch)</t>
  </si>
  <si>
    <t>Above Mission Catch</t>
  </si>
  <si>
    <t>Run Size</t>
  </si>
  <si>
    <t>Run Size Method</t>
  </si>
  <si>
    <t>Adult Escapement</t>
  </si>
  <si>
    <t>Jack Escapement</t>
  </si>
  <si>
    <t>Adult Broodstock</t>
  </si>
  <si>
    <t>Jack Broodstock</t>
  </si>
  <si>
    <t>Row Labels</t>
  </si>
  <si>
    <t>Grand Total</t>
  </si>
  <si>
    <t>Sum of Adult Escapement</t>
  </si>
  <si>
    <t>Sum of Run Size</t>
  </si>
  <si>
    <t>Sum of DBE</t>
  </si>
  <si>
    <t>Sum of Total Escapement</t>
  </si>
  <si>
    <t>Sum of Below Mission Catch (excluding Alaska catch)</t>
  </si>
  <si>
    <t>Sum of Above Mission Catch</t>
  </si>
  <si>
    <t>Sum of Alaska Catch</t>
  </si>
  <si>
    <t>Run-Jacks</t>
  </si>
  <si>
    <t>Catch</t>
  </si>
  <si>
    <t>run-(catch+escapement)</t>
  </si>
  <si>
    <t>minus DBE</t>
  </si>
  <si>
    <t>adult return</t>
  </si>
  <si>
    <t>lnR/S</t>
  </si>
  <si>
    <t>ra</t>
  </si>
  <si>
    <t>rb</t>
  </si>
  <si>
    <t>wt</t>
  </si>
  <si>
    <t>ENS</t>
  </si>
  <si>
    <t>retro R</t>
  </si>
  <si>
    <t>retro u</t>
  </si>
  <si>
    <t>retro S</t>
  </si>
  <si>
    <t>retroU</t>
  </si>
  <si>
    <t>useretro</t>
  </si>
  <si>
    <t>migmort</t>
  </si>
  <si>
    <t>loss/(run-catch)</t>
  </si>
  <si>
    <t>yrretro</t>
  </si>
  <si>
    <t>Ut=C/Nadult</t>
  </si>
  <si>
    <t>Retro C</t>
  </si>
  <si>
    <t>hist catch</t>
  </si>
  <si>
    <t>retro catch</t>
  </si>
  <si>
    <t>retro-hist</t>
  </si>
  <si>
    <t>Adult spawners</t>
  </si>
  <si>
    <t>PARAMETERS FOR RETRO RUNS</t>
  </si>
  <si>
    <t>RETROSPECTIVE MODEL PREDICTIONS</t>
  </si>
  <si>
    <t>(blank)</t>
  </si>
  <si>
    <t>full data</t>
  </si>
  <si>
    <t>yes</t>
  </si>
  <si>
    <t>ok</t>
  </si>
  <si>
    <t>low-ok</t>
  </si>
  <si>
    <t>no</t>
  </si>
  <si>
    <t>extinct</t>
  </si>
  <si>
    <t>low!</t>
  </si>
  <si>
    <t>no stocks</t>
  </si>
  <si>
    <t>no ok</t>
  </si>
  <si>
    <t>no bad</t>
  </si>
  <si>
    <t>no full</t>
  </si>
  <si>
    <t>no low-ok</t>
  </si>
  <si>
    <t>no extinct</t>
  </si>
  <si>
    <t>status if 1990+ U=0.5</t>
  </si>
  <si>
    <t>yes weak</t>
  </si>
  <si>
    <t>wt or St recovery &gt;2016?</t>
  </si>
  <si>
    <t>late recov</t>
  </si>
  <si>
    <t>late rec weak</t>
  </si>
  <si>
    <t>no late rec</t>
  </si>
  <si>
    <t>10 out of 27 (37%)</t>
  </si>
  <si>
    <t>16 out of 27 stocks (63%) showed wt/St recovery after 2016,</t>
  </si>
  <si>
    <t>Sum of Jack Escapement</t>
  </si>
  <si>
    <t>STOCK:</t>
  </si>
  <si>
    <t xml:space="preserve">cycle </t>
  </si>
  <si>
    <t>line</t>
  </si>
  <si>
    <t>lnr/s</t>
  </si>
  <si>
    <t>ar</t>
  </si>
  <si>
    <t>br</t>
  </si>
  <si>
    <t>Sbar</t>
  </si>
  <si>
    <t>Ro (ar/br)</t>
  </si>
  <si>
    <t>WARNING: ESTIMATION HAS FAILED If X-AXES show 0-80 RATHER THAN CALENDAR YEARS</t>
  </si>
  <si>
    <t>timing group</t>
  </si>
  <si>
    <t>Chilko w</t>
  </si>
  <si>
    <t>Misc. Chilliwack</t>
  </si>
  <si>
    <t>Misc. Early Shuswap</t>
  </si>
  <si>
    <t>Misc. Harrison/Lillooet</t>
  </si>
  <si>
    <t>Misc. N. Thompson Main.</t>
  </si>
  <si>
    <t>Misc. N. Thompson Tribs.</t>
  </si>
  <si>
    <t>Misc. Nahatlatch</t>
  </si>
  <si>
    <t>Misc. Taseko</t>
  </si>
  <si>
    <t>Misc. Widgeon</t>
  </si>
  <si>
    <t>North Barriere</t>
  </si>
  <si>
    <t>Pitt</t>
  </si>
  <si>
    <t>Scotch</t>
  </si>
  <si>
    <t>stock</t>
  </si>
  <si>
    <t xml:space="preserve">timing </t>
  </si>
  <si>
    <t>groups</t>
  </si>
  <si>
    <t>lines 3, 4 b:</t>
  </si>
  <si>
    <t>b=S^p power</t>
  </si>
  <si>
    <t>slope ratio, So/Sbar</t>
  </si>
  <si>
    <t>S line 1</t>
  </si>
  <si>
    <t>S line 2</t>
  </si>
  <si>
    <t>S line 3</t>
  </si>
  <si>
    <t>S line 4</t>
  </si>
  <si>
    <t>ubar</t>
  </si>
  <si>
    <t>S/R</t>
  </si>
  <si>
    <t>obs lnR/S</t>
  </si>
  <si>
    <t>pred lnR/S</t>
  </si>
  <si>
    <t>app b (a-ybar)/Sbar</t>
  </si>
  <si>
    <t>app a</t>
  </si>
  <si>
    <t>mean</t>
  </si>
  <si>
    <t>sbar</t>
  </si>
  <si>
    <t>ybar</t>
  </si>
  <si>
    <t>app ra</t>
  </si>
  <si>
    <t>app 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</si>
</sst>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00"/>
  </numFmts>
  <fonts count="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4">
    <xf numFmtId="0" fontId="0" fillId="0" borderId="0"/>
    <xf numFmtId="0" fontId="1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6">
    <xf numFmtId="0" fontId="0" fillId="0" borderId="0" xfId="0"/>
    <xf numFmtId="1" fontId="0" fillId="0" borderId="0" xfId="0" applyNumberFormat="1"/>
    <xf numFmtId="0" fontId="2" fillId="0" borderId="1" xfId="0" applyFont="1" applyBorder="1" applyAlignment="1">
      <alignment horizontal="right" vertical="center" wrapText="1"/>
    </xf>
    <xf numFmtId="3" fontId="0" fillId="0" borderId="0" xfId="0" applyNumberFormat="1"/>
    <xf numFmtId="0" fontId="0" fillId="2" borderId="0" xfId="0" applyFill="1"/>
    <xf numFmtId="0" fontId="2" fillId="2" borderId="1" xfId="0" applyFont="1" applyFill="1" applyBorder="1" applyAlignment="1">
      <alignment horizontal="right" vertical="center" wrapText="1"/>
    </xf>
    <xf numFmtId="3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2" borderId="0" xfId="0" applyNumberFormat="1" applyFill="1"/>
    <xf numFmtId="0" fontId="0" fillId="2" borderId="0" xfId="0" applyFill="1" applyAlignment="1">
      <alignment horizontal="left"/>
    </xf>
    <xf numFmtId="0" fontId="0" fillId="2" borderId="0" xfId="0" applyNumberFormat="1" applyFill="1"/>
    <xf numFmtId="0" fontId="0" fillId="3" borderId="0" xfId="0" applyFill="1"/>
    <xf numFmtId="0" fontId="0" fillId="4" borderId="0" xfId="0" applyFill="1"/>
    <xf numFmtId="0" fontId="4" fillId="0" borderId="0" xfId="0" applyFont="1"/>
    <xf numFmtId="164" fontId="4" fillId="0" borderId="0" xfId="2" applyNumberFormat="1" applyFont="1"/>
    <xf numFmtId="0" fontId="0" fillId="0" borderId="0" xfId="0" applyAlignment="1">
      <alignment wrapText="1"/>
    </xf>
    <xf numFmtId="9" fontId="0" fillId="0" borderId="0" xfId="3" applyFont="1"/>
    <xf numFmtId="9" fontId="0" fillId="0" borderId="0" xfId="0" applyNumberFormat="1"/>
    <xf numFmtId="0" fontId="4" fillId="0" borderId="0" xfId="0" applyFont="1" applyAlignment="1"/>
    <xf numFmtId="164" fontId="0" fillId="0" borderId="0" xfId="2" applyNumberFormat="1" applyFont="1"/>
    <xf numFmtId="0" fontId="0" fillId="0" borderId="0" xfId="0" applyFont="1" applyAlignment="1">
      <alignment horizontal="left"/>
    </xf>
    <xf numFmtId="165" fontId="0" fillId="0" borderId="0" xfId="0" applyNumberFormat="1"/>
    <xf numFmtId="11" fontId="0" fillId="0" borderId="0" xfId="0" applyNumberFormat="1"/>
    <xf numFmtId="166" fontId="0" fillId="0" borderId="0" xfId="0" applyNumberFormat="1"/>
  </cellXfs>
  <cellStyles count="4">
    <cellStyle name="Comma" xfId="2" builtinId="3"/>
    <cellStyle name="Normal" xfId="0" builtinId="0"/>
    <cellStyle name="Normal 2" xfId="1" xr:uid="{CE8C20C2-95B1-4755-835F-151049190307}"/>
    <cellStyle name="Percent" xfId="3" builtinId="5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Model!$T$3</c:f>
              <c:strCache>
                <c:ptCount val="1"/>
                <c:pt idx="0">
                  <c:v>run-(catch+escapement)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Model!$N$4:$N$75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Model!$T$4:$T$75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24102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20800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132586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15000</c:v>
                </c:pt>
                <c:pt idx="24">
                  <c:v>0</c:v>
                </c:pt>
                <c:pt idx="25">
                  <c:v>138744.30489486712</c:v>
                </c:pt>
                <c:pt idx="26">
                  <c:v>43618.767409060703</c:v>
                </c:pt>
                <c:pt idx="27">
                  <c:v>30060.543969478691</c:v>
                </c:pt>
                <c:pt idx="28">
                  <c:v>19664.928540001969</c:v>
                </c:pt>
                <c:pt idx="29">
                  <c:v>72286.659229920013</c:v>
                </c:pt>
                <c:pt idx="30">
                  <c:v>44904.154053261998</c:v>
                </c:pt>
                <c:pt idx="31">
                  <c:v>25289.600392562701</c:v>
                </c:pt>
                <c:pt idx="32">
                  <c:v>-0.44073942097747931</c:v>
                </c:pt>
                <c:pt idx="33">
                  <c:v>0.10764721932355314</c:v>
                </c:pt>
                <c:pt idx="34">
                  <c:v>0.46185301279911073</c:v>
                </c:pt>
                <c:pt idx="35">
                  <c:v>13022.941346497129</c:v>
                </c:pt>
                <c:pt idx="36">
                  <c:v>-0.26567050820449367</c:v>
                </c:pt>
                <c:pt idx="37">
                  <c:v>0.56747257988899946</c:v>
                </c:pt>
                <c:pt idx="38">
                  <c:v>36241.959535175672</c:v>
                </c:pt>
                <c:pt idx="39">
                  <c:v>70320.108724875026</c:v>
                </c:pt>
                <c:pt idx="40">
                  <c:v>103211.38606643723</c:v>
                </c:pt>
                <c:pt idx="41">
                  <c:v>632.2256766948849</c:v>
                </c:pt>
                <c:pt idx="42">
                  <c:v>142277.21404941869</c:v>
                </c:pt>
                <c:pt idx="43">
                  <c:v>64833.209136781457</c:v>
                </c:pt>
                <c:pt idx="44">
                  <c:v>39612.850555746903</c:v>
                </c:pt>
                <c:pt idx="45">
                  <c:v>625618.02344753896</c:v>
                </c:pt>
                <c:pt idx="46">
                  <c:v>136121.99561423162</c:v>
                </c:pt>
                <c:pt idx="47">
                  <c:v>145920.017139061</c:v>
                </c:pt>
                <c:pt idx="48">
                  <c:v>80551.462513102451</c:v>
                </c:pt>
                <c:pt idx="49">
                  <c:v>8864.7035099556088</c:v>
                </c:pt>
                <c:pt idx="50">
                  <c:v>29259.557234452252</c:v>
                </c:pt>
                <c:pt idx="51">
                  <c:v>11960.243735426546</c:v>
                </c:pt>
                <c:pt idx="52">
                  <c:v>69425.66055717961</c:v>
                </c:pt>
                <c:pt idx="53">
                  <c:v>89350.863953733191</c:v>
                </c:pt>
                <c:pt idx="54">
                  <c:v>12934.67518998927</c:v>
                </c:pt>
                <c:pt idx="55">
                  <c:v>9788.8177691803321</c:v>
                </c:pt>
                <c:pt idx="56">
                  <c:v>2779.4683532497656</c:v>
                </c:pt>
                <c:pt idx="57">
                  <c:v>26850.280610217873</c:v>
                </c:pt>
                <c:pt idx="58">
                  <c:v>38482.605136783794</c:v>
                </c:pt>
                <c:pt idx="59">
                  <c:v>22226.843933265864</c:v>
                </c:pt>
                <c:pt idx="60">
                  <c:v>148664.35591925913</c:v>
                </c:pt>
                <c:pt idx="61">
                  <c:v>84396.392125112674</c:v>
                </c:pt>
                <c:pt idx="62">
                  <c:v>33355.388881655672</c:v>
                </c:pt>
                <c:pt idx="63">
                  <c:v>17845.689370098044</c:v>
                </c:pt>
                <c:pt idx="64">
                  <c:v>7568.7537505853634</c:v>
                </c:pt>
                <c:pt idx="65">
                  <c:v>3905.5301198834968</c:v>
                </c:pt>
                <c:pt idx="66">
                  <c:v>37640.58112052831</c:v>
                </c:pt>
                <c:pt idx="67">
                  <c:v>25461.3766042305</c:v>
                </c:pt>
                <c:pt idx="68">
                  <c:v>19997.809347843759</c:v>
                </c:pt>
                <c:pt idx="69">
                  <c:v>23148.902663952438</c:v>
                </c:pt>
                <c:pt idx="70">
                  <c:v>225364.28625473822</c:v>
                </c:pt>
                <c:pt idx="71">
                  <c:v>16116.465648709827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9E-4A7C-9857-5FC5A1860E8A}"/>
            </c:ext>
          </c:extLst>
        </c:ser>
        <c:ser>
          <c:idx val="1"/>
          <c:order val="1"/>
          <c:tx>
            <c:strRef>
              <c:f>Model!$U$3</c:f>
              <c:strCache>
                <c:ptCount val="1"/>
                <c:pt idx="0">
                  <c:v>minus DBE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Model!$N$4:$N$75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Model!$U$4:$U$75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138744.65201518999</c:v>
                </c:pt>
                <c:pt idx="26">
                  <c:v>43618.537115387597</c:v>
                </c:pt>
                <c:pt idx="27">
                  <c:v>30060.480911635601</c:v>
                </c:pt>
                <c:pt idx="28">
                  <c:v>19664.7615966087</c:v>
                </c:pt>
                <c:pt idx="29">
                  <c:v>72286.637537947507</c:v>
                </c:pt>
                <c:pt idx="30">
                  <c:v>44904.300468589201</c:v>
                </c:pt>
                <c:pt idx="31">
                  <c:v>25289.7784866367</c:v>
                </c:pt>
                <c:pt idx="32">
                  <c:v>-12177.640583112399</c:v>
                </c:pt>
                <c:pt idx="33">
                  <c:v>-9611.3626783306208</c:v>
                </c:pt>
                <c:pt idx="34">
                  <c:v>-14652.828161528299</c:v>
                </c:pt>
                <c:pt idx="35">
                  <c:v>13022.5529502473</c:v>
                </c:pt>
                <c:pt idx="36">
                  <c:v>-13559.503735317199</c:v>
                </c:pt>
                <c:pt idx="37">
                  <c:v>-120210.697503541</c:v>
                </c:pt>
                <c:pt idx="38">
                  <c:v>36242.083243653302</c:v>
                </c:pt>
                <c:pt idx="39">
                  <c:v>70320.007002752594</c:v>
                </c:pt>
                <c:pt idx="40">
                  <c:v>103211.386925777</c:v>
                </c:pt>
                <c:pt idx="41">
                  <c:v>-205495.31036294601</c:v>
                </c:pt>
                <c:pt idx="42">
                  <c:v>142277.69271671801</c:v>
                </c:pt>
                <c:pt idx="43">
                  <c:v>64832.719029431799</c:v>
                </c:pt>
                <c:pt idx="44">
                  <c:v>39612.839693132701</c:v>
                </c:pt>
                <c:pt idx="45">
                  <c:v>606725.92357469397</c:v>
                </c:pt>
                <c:pt idx="46">
                  <c:v>136121.86534716701</c:v>
                </c:pt>
                <c:pt idx="47">
                  <c:v>145922.023618229</c:v>
                </c:pt>
                <c:pt idx="48">
                  <c:v>80549.990902576494</c:v>
                </c:pt>
                <c:pt idx="49">
                  <c:v>8864.4694974959293</c:v>
                </c:pt>
                <c:pt idx="50">
                  <c:v>29259.221671683099</c:v>
                </c:pt>
                <c:pt idx="51">
                  <c:v>11960.6944480521</c:v>
                </c:pt>
                <c:pt idx="52">
                  <c:v>69425.579457382395</c:v>
                </c:pt>
                <c:pt idx="53">
                  <c:v>89328.719995117994</c:v>
                </c:pt>
                <c:pt idx="54">
                  <c:v>12868.811198035501</c:v>
                </c:pt>
                <c:pt idx="55">
                  <c:v>9789.0131575671003</c:v>
                </c:pt>
                <c:pt idx="56">
                  <c:v>2630.4687900469198</c:v>
                </c:pt>
                <c:pt idx="57">
                  <c:v>28716.700523379001</c:v>
                </c:pt>
                <c:pt idx="58">
                  <c:v>40415.324912550801</c:v>
                </c:pt>
                <c:pt idx="59">
                  <c:v>22288.354942403901</c:v>
                </c:pt>
                <c:pt idx="60">
                  <c:v>148582.54073487699</c:v>
                </c:pt>
                <c:pt idx="61">
                  <c:v>84719.028468158504</c:v>
                </c:pt>
                <c:pt idx="62">
                  <c:v>139257.076041878</c:v>
                </c:pt>
                <c:pt idx="63">
                  <c:v>18510.653566423702</c:v>
                </c:pt>
                <c:pt idx="64">
                  <c:v>7757.7424635206999</c:v>
                </c:pt>
                <c:pt idx="65">
                  <c:v>18478.4980949561</c:v>
                </c:pt>
                <c:pt idx="66">
                  <c:v>66321.276576344098</c:v>
                </c:pt>
                <c:pt idx="67">
                  <c:v>25499.0274918014</c:v>
                </c:pt>
                <c:pt idx="68">
                  <c:v>16636.989902377401</c:v>
                </c:pt>
                <c:pt idx="69">
                  <c:v>14189.810807305899</c:v>
                </c:pt>
                <c:pt idx="70">
                  <c:v>214662.63015631499</c:v>
                </c:pt>
                <c:pt idx="71">
                  <c:v>30616.095808169201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9E-4A7C-9857-5FC5A1860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28655"/>
        <c:axId val="196889791"/>
      </c:scatterChart>
      <c:valAx>
        <c:axId val="196828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89791"/>
        <c:crosses val="autoZero"/>
        <c:crossBetween val="midCat"/>
      </c:valAx>
      <c:valAx>
        <c:axId val="19688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28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Model!$Q$3</c:f>
              <c:strCache>
                <c:ptCount val="1"/>
                <c:pt idx="0">
                  <c:v>Ut=C/Nadult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Model!$N$4:$N$75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Model!$Q$4:$Q$75</c:f>
              <c:numCache>
                <c:formatCode>General</c:formatCode>
                <c:ptCount val="72"/>
                <c:pt idx="0">
                  <c:v>0.8396850092659951</c:v>
                </c:pt>
                <c:pt idx="1">
                  <c:v>0.84037505168463411</c:v>
                </c:pt>
                <c:pt idx="2">
                  <c:v>0.8418042886609105</c:v>
                </c:pt>
                <c:pt idx="3">
                  <c:v>0.81215038841757392</c:v>
                </c:pt>
                <c:pt idx="4">
                  <c:v>0.71098532979092066</c:v>
                </c:pt>
                <c:pt idx="5">
                  <c:v>0.54528380796009879</c:v>
                </c:pt>
                <c:pt idx="6">
                  <c:v>0.75387669417084724</c:v>
                </c:pt>
                <c:pt idx="7">
                  <c:v>0.67359413202933982</c:v>
                </c:pt>
                <c:pt idx="8">
                  <c:v>0.61428102429415632</c:v>
                </c:pt>
                <c:pt idx="9">
                  <c:v>0.8079221573018085</c:v>
                </c:pt>
                <c:pt idx="10">
                  <c:v>0.75384218479342502</c:v>
                </c:pt>
                <c:pt idx="11">
                  <c:v>0.69128191382429749</c:v>
                </c:pt>
                <c:pt idx="12">
                  <c:v>0.21839133707800104</c:v>
                </c:pt>
                <c:pt idx="13">
                  <c:v>0.91009460645664686</c:v>
                </c:pt>
                <c:pt idx="14">
                  <c:v>0.84757856811112831</c:v>
                </c:pt>
                <c:pt idx="15">
                  <c:v>0.78855139013092446</c:v>
                </c:pt>
                <c:pt idx="16">
                  <c:v>0.9458979098535476</c:v>
                </c:pt>
                <c:pt idx="17">
                  <c:v>0.7466124097643938</c:v>
                </c:pt>
                <c:pt idx="18">
                  <c:v>0.60749870483488155</c:v>
                </c:pt>
                <c:pt idx="19">
                  <c:v>0.70584808589701964</c:v>
                </c:pt>
                <c:pt idx="20">
                  <c:v>0.80399006692200803</c:v>
                </c:pt>
                <c:pt idx="21">
                  <c:v>0.78057346558299212</c:v>
                </c:pt>
                <c:pt idx="22">
                  <c:v>0.78873141586772333</c:v>
                </c:pt>
                <c:pt idx="23">
                  <c:v>0.81051088040354269</c:v>
                </c:pt>
                <c:pt idx="24">
                  <c:v>0.72838337182448032</c:v>
                </c:pt>
                <c:pt idx="25">
                  <c:v>0.82774294510346802</c:v>
                </c:pt>
                <c:pt idx="26">
                  <c:v>0.5072174694767001</c:v>
                </c:pt>
                <c:pt idx="27">
                  <c:v>0.5141934816408994</c:v>
                </c:pt>
                <c:pt idx="28">
                  <c:v>0.29333316846206475</c:v>
                </c:pt>
                <c:pt idx="29">
                  <c:v>0.74936971211525882</c:v>
                </c:pt>
                <c:pt idx="30">
                  <c:v>0.57630630940000682</c:v>
                </c:pt>
                <c:pt idx="31">
                  <c:v>0.57179542677454376</c:v>
                </c:pt>
                <c:pt idx="32">
                  <c:v>0.19310651468136991</c:v>
                </c:pt>
                <c:pt idx="33">
                  <c:v>0.35365061130341036</c:v>
                </c:pt>
                <c:pt idx="34">
                  <c:v>0.35508738458559214</c:v>
                </c:pt>
                <c:pt idx="35">
                  <c:v>0.1546708893034259</c:v>
                </c:pt>
                <c:pt idx="36">
                  <c:v>0.18939155101055466</c:v>
                </c:pt>
                <c:pt idx="37">
                  <c:v>0.68256570396366001</c:v>
                </c:pt>
                <c:pt idx="38">
                  <c:v>0.30317801815722939</c:v>
                </c:pt>
                <c:pt idx="39">
                  <c:v>0.6371825785045987</c:v>
                </c:pt>
                <c:pt idx="40">
                  <c:v>0.55143890298996634</c:v>
                </c:pt>
                <c:pt idx="41">
                  <c:v>0.40206404972397858</c:v>
                </c:pt>
                <c:pt idx="42">
                  <c:v>0.21355650459554795</c:v>
                </c:pt>
                <c:pt idx="43">
                  <c:v>7.5886947756391127E-2</c:v>
                </c:pt>
                <c:pt idx="44">
                  <c:v>6.964013692524279E-2</c:v>
                </c:pt>
                <c:pt idx="45">
                  <c:v>0.47433262417736938</c:v>
                </c:pt>
                <c:pt idx="46">
                  <c:v>0.13321037928736112</c:v>
                </c:pt>
                <c:pt idx="47">
                  <c:v>5.4283511103252635E-2</c:v>
                </c:pt>
                <c:pt idx="48">
                  <c:v>0.58497957279355473</c:v>
                </c:pt>
                <c:pt idx="49">
                  <c:v>0.19929074872686814</c:v>
                </c:pt>
                <c:pt idx="50">
                  <c:v>0.13250563771423571</c:v>
                </c:pt>
                <c:pt idx="51">
                  <c:v>0.13702968349270003</c:v>
                </c:pt>
                <c:pt idx="52">
                  <c:v>0.3663368954167604</c:v>
                </c:pt>
                <c:pt idx="53">
                  <c:v>0.10100210072999521</c:v>
                </c:pt>
                <c:pt idx="54">
                  <c:v>0.12277908392433026</c:v>
                </c:pt>
                <c:pt idx="55">
                  <c:v>6.6957356110200164E-2</c:v>
                </c:pt>
                <c:pt idx="56">
                  <c:v>8.5968352514215501E-2</c:v>
                </c:pt>
                <c:pt idx="57">
                  <c:v>9.6758968773876144E-2</c:v>
                </c:pt>
                <c:pt idx="58">
                  <c:v>3.3658839575826056E-2</c:v>
                </c:pt>
                <c:pt idx="59">
                  <c:v>8.9063297797714561E-2</c:v>
                </c:pt>
                <c:pt idx="60">
                  <c:v>4.7717192176441367E-2</c:v>
                </c:pt>
                <c:pt idx="61">
                  <c:v>6.258435982514518E-2</c:v>
                </c:pt>
                <c:pt idx="62">
                  <c:v>0.19992632993326001</c:v>
                </c:pt>
                <c:pt idx="63">
                  <c:v>2.8090140219274775E-2</c:v>
                </c:pt>
                <c:pt idx="64">
                  <c:v>9.2468232786234894E-2</c:v>
                </c:pt>
                <c:pt idx="65">
                  <c:v>0.13282201445181499</c:v>
                </c:pt>
                <c:pt idx="66">
                  <c:v>8.825747487981718E-2</c:v>
                </c:pt>
                <c:pt idx="67">
                  <c:v>7.482554316493765E-3</c:v>
                </c:pt>
                <c:pt idx="68">
                  <c:v>6.9019017283801646E-3</c:v>
                </c:pt>
                <c:pt idx="69">
                  <c:v>1.8840103054283436E-2</c:v>
                </c:pt>
                <c:pt idx="70">
                  <c:v>1.8800158945551433E-2</c:v>
                </c:pt>
                <c:pt idx="71">
                  <c:v>2.7030850513586887E-2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62-4084-A324-C912AFC4BC0B}"/>
            </c:ext>
          </c:extLst>
        </c:ser>
        <c:ser>
          <c:idx val="1"/>
          <c:order val="1"/>
          <c:tx>
            <c:strRef>
              <c:f>Model!$S$3</c:f>
              <c:strCache>
                <c:ptCount val="1"/>
                <c:pt idx="0">
                  <c:v>migmort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Model!$N$4:$N$75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Model!$S$4:$S$75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0.91778683218460833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0.59012114506199098</c:v>
                </c:pt>
                <c:pt idx="9">
                  <c:v>0</c:v>
                </c:pt>
                <c:pt idx="10">
                  <c:v>0</c:v>
                </c:pt>
                <c:pt idx="11">
                  <c:v>1.7763568394002505E-15</c:v>
                </c:pt>
                <c:pt idx="12">
                  <c:v>0.98229314841156945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2.4424906541753444E-15</c:v>
                </c:pt>
                <c:pt idx="21">
                  <c:v>0</c:v>
                </c:pt>
                <c:pt idx="22">
                  <c:v>0</c:v>
                </c:pt>
                <c:pt idx="23">
                  <c:v>0.18572401411502537</c:v>
                </c:pt>
                <c:pt idx="24">
                  <c:v>0</c:v>
                </c:pt>
                <c:pt idx="25">
                  <c:v>0.54156946540685569</c:v>
                </c:pt>
                <c:pt idx="26">
                  <c:v>0.46589914628863371</c:v>
                </c:pt>
                <c:pt idx="27">
                  <c:v>0.24477965911124144</c:v>
                </c:pt>
                <c:pt idx="28">
                  <c:v>0.53723546418006718</c:v>
                </c:pt>
                <c:pt idx="29">
                  <c:v>0.34370228108565992</c:v>
                </c:pt>
                <c:pt idx="30">
                  <c:v>0.90786709110966524</c:v>
                </c:pt>
                <c:pt idx="31">
                  <c:v>0.51447008520932969</c:v>
                </c:pt>
                <c:pt idx="32">
                  <c:v>0</c:v>
                </c:pt>
                <c:pt idx="33">
                  <c:v>4.5319018293632496E-7</c:v>
                </c:pt>
                <c:pt idx="34">
                  <c:v>1.6157484971190961E-5</c:v>
                </c:pt>
                <c:pt idx="35">
                  <c:v>8.0778987851577222E-2</c:v>
                </c:pt>
                <c:pt idx="36">
                  <c:v>0</c:v>
                </c:pt>
                <c:pt idx="37">
                  <c:v>1.4747224995614872E-6</c:v>
                </c:pt>
                <c:pt idx="38">
                  <c:v>0.27192966932600504</c:v>
                </c:pt>
                <c:pt idx="39">
                  <c:v>0.33257853359747025</c:v>
                </c:pt>
                <c:pt idx="40">
                  <c:v>0.60960226992930533</c:v>
                </c:pt>
                <c:pt idx="41">
                  <c:v>9.180716762737795E-4</c:v>
                </c:pt>
                <c:pt idx="42">
                  <c:v>0.83007804093124093</c:v>
                </c:pt>
                <c:pt idx="43">
                  <c:v>0.34542853814005492</c:v>
                </c:pt>
                <c:pt idx="44">
                  <c:v>0.31136095175360012</c:v>
                </c:pt>
                <c:pt idx="45">
                  <c:v>0.70092622113781178</c:v>
                </c:pt>
                <c:pt idx="46">
                  <c:v>0.80692622740392639</c:v>
                </c:pt>
                <c:pt idx="47">
                  <c:v>0.85597636250193521</c:v>
                </c:pt>
                <c:pt idx="48">
                  <c:v>0.47269360119546777</c:v>
                </c:pt>
                <c:pt idx="49">
                  <c:v>4.9290604873776567E-2</c:v>
                </c:pt>
                <c:pt idx="50">
                  <c:v>0.54288360399667024</c:v>
                </c:pt>
                <c:pt idx="51">
                  <c:v>0.4760060382031277</c:v>
                </c:pt>
                <c:pt idx="52">
                  <c:v>0.88208113602714167</c:v>
                </c:pt>
                <c:pt idx="53">
                  <c:v>0.47555420596902187</c:v>
                </c:pt>
                <c:pt idx="54">
                  <c:v>0.26532299582684238</c:v>
                </c:pt>
                <c:pt idx="55">
                  <c:v>0.64673200473597126</c:v>
                </c:pt>
                <c:pt idx="56">
                  <c:v>8.5138408331787763E-2</c:v>
                </c:pt>
                <c:pt idx="57">
                  <c:v>0.3721592883767707</c:v>
                </c:pt>
                <c:pt idx="58">
                  <c:v>0.38971855812757172</c:v>
                </c:pt>
                <c:pt idx="59">
                  <c:v>0.96706382090837517</c:v>
                </c:pt>
                <c:pt idx="60">
                  <c:v>0.85002374798127156</c:v>
                </c:pt>
                <c:pt idx="61">
                  <c:v>0.49453408692166856</c:v>
                </c:pt>
                <c:pt idx="62">
                  <c:v>0.327124617946282</c:v>
                </c:pt>
                <c:pt idx="63">
                  <c:v>0.63888188973317628</c:v>
                </c:pt>
                <c:pt idx="64">
                  <c:v>0.46787840547498494</c:v>
                </c:pt>
                <c:pt idx="65">
                  <c:v>0.2020603789144747</c:v>
                </c:pt>
                <c:pt idx="66">
                  <c:v>0.43702268873053862</c:v>
                </c:pt>
                <c:pt idx="67">
                  <c:v>0.99651668539456029</c:v>
                </c:pt>
                <c:pt idx="68">
                  <c:v>0.99850208280501584</c:v>
                </c:pt>
                <c:pt idx="69">
                  <c:v>0.30031955859253612</c:v>
                </c:pt>
                <c:pt idx="70">
                  <c:v>0.90040084425345601</c:v>
                </c:pt>
                <c:pt idx="71">
                  <c:v>0.62140645041827303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F6-47DE-8CE6-38D90DB40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4910623"/>
        <c:axId val="1615229855"/>
      </c:scatterChart>
      <c:valAx>
        <c:axId val="1784910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229855"/>
        <c:crosses val="autoZero"/>
        <c:crossBetween val="midCat"/>
      </c:valAx>
      <c:valAx>
        <c:axId val="161522985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Ut,migmort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910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lnR/S vs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Model!$Y$3</c:f>
              <c:strCache>
                <c:ptCount val="1"/>
                <c:pt idx="0">
                  <c:v>lnR/S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0058180227471565E-2"/>
                  <c:y val="-0.26658646835812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Model!$W$4:$W$71</c:f>
              <c:numCache>
                <c:formatCode>General</c:formatCode>
                <c:ptCount val="68"/>
                <c:pt idx="0">
                  <c:v>30191</c:v>
                </c:pt>
                <c:pt idx="1">
                  <c:v>154036</c:v>
                </c:pt>
                <c:pt idx="2">
                  <c:v>35050</c:v>
                </c:pt>
                <c:pt idx="3">
                  <c:v>2159</c:v>
                </c:pt>
                <c:pt idx="4">
                  <c:v>25020</c:v>
                </c:pt>
                <c:pt idx="5">
                  <c:v>234850</c:v>
                </c:pt>
                <c:pt idx="6">
                  <c:v>38807</c:v>
                </c:pt>
                <c:pt idx="7">
                  <c:v>2670</c:v>
                </c:pt>
                <c:pt idx="8">
                  <c:v>14447</c:v>
                </c:pt>
                <c:pt idx="9">
                  <c:v>198921</c:v>
                </c:pt>
                <c:pt idx="10">
                  <c:v>26716</c:v>
                </c:pt>
                <c:pt idx="11">
                  <c:v>4607</c:v>
                </c:pt>
                <c:pt idx="12">
                  <c:v>2390</c:v>
                </c:pt>
                <c:pt idx="13">
                  <c:v>23045</c:v>
                </c:pt>
                <c:pt idx="14">
                  <c:v>10830</c:v>
                </c:pt>
                <c:pt idx="15">
                  <c:v>21044</c:v>
                </c:pt>
                <c:pt idx="16">
                  <c:v>1522</c:v>
                </c:pt>
                <c:pt idx="17">
                  <c:v>109655</c:v>
                </c:pt>
                <c:pt idx="18">
                  <c:v>32578</c:v>
                </c:pt>
                <c:pt idx="19">
                  <c:v>95940</c:v>
                </c:pt>
                <c:pt idx="20">
                  <c:v>4657</c:v>
                </c:pt>
                <c:pt idx="21">
                  <c:v>299892</c:v>
                </c:pt>
                <c:pt idx="22">
                  <c:v>39533</c:v>
                </c:pt>
                <c:pt idx="23">
                  <c:v>65765</c:v>
                </c:pt>
                <c:pt idx="24">
                  <c:v>11761</c:v>
                </c:pt>
                <c:pt idx="25">
                  <c:v>117445</c:v>
                </c:pt>
                <c:pt idx="26">
                  <c:v>50004</c:v>
                </c:pt>
                <c:pt idx="27">
                  <c:v>92746</c:v>
                </c:pt>
                <c:pt idx="28">
                  <c:v>16939</c:v>
                </c:pt>
                <c:pt idx="29">
                  <c:v>138031</c:v>
                </c:pt>
                <c:pt idx="30">
                  <c:v>4557</c:v>
                </c:pt>
                <c:pt idx="31">
                  <c:v>23867</c:v>
                </c:pt>
                <c:pt idx="32">
                  <c:v>45201</c:v>
                </c:pt>
                <c:pt idx="33">
                  <c:v>237532</c:v>
                </c:pt>
                <c:pt idx="34">
                  <c:v>28584</c:v>
                </c:pt>
                <c:pt idx="35">
                  <c:v>148194</c:v>
                </c:pt>
                <c:pt idx="36">
                  <c:v>179807</c:v>
                </c:pt>
                <c:pt idx="37">
                  <c:v>384799</c:v>
                </c:pt>
                <c:pt idx="38">
                  <c:v>97035</c:v>
                </c:pt>
                <c:pt idx="39">
                  <c:v>141119</c:v>
                </c:pt>
                <c:pt idx="40">
                  <c:v>66098</c:v>
                </c:pt>
                <c:pt idx="41">
                  <c:v>688013</c:v>
                </c:pt>
                <c:pt idx="42">
                  <c:v>29125</c:v>
                </c:pt>
                <c:pt idx="43">
                  <c:v>122856</c:v>
                </c:pt>
                <c:pt idx="44">
                  <c:v>87612</c:v>
                </c:pt>
                <c:pt idx="45">
                  <c:v>266941</c:v>
                </c:pt>
                <c:pt idx="46">
                  <c:v>32570</c:v>
                </c:pt>
                <c:pt idx="47">
                  <c:v>24552</c:v>
                </c:pt>
                <c:pt idx="48">
                  <c:v>89858</c:v>
                </c:pt>
                <c:pt idx="49">
                  <c:v>170981</c:v>
                </c:pt>
                <c:pt idx="50">
                  <c:v>24637</c:v>
                </c:pt>
                <c:pt idx="51">
                  <c:v>13166</c:v>
                </c:pt>
                <c:pt idx="52">
                  <c:v>9281</c:v>
                </c:pt>
                <c:pt idx="53">
                  <c:v>98537</c:v>
                </c:pt>
                <c:pt idx="54">
                  <c:v>35816</c:v>
                </c:pt>
                <c:pt idx="55">
                  <c:v>5347</c:v>
                </c:pt>
                <c:pt idx="56">
                  <c:v>29867</c:v>
                </c:pt>
                <c:pt idx="57">
                  <c:v>45297</c:v>
                </c:pt>
                <c:pt idx="58">
                  <c:v>60262</c:v>
                </c:pt>
                <c:pt idx="59">
                  <c:v>757</c:v>
                </c:pt>
                <c:pt idx="60">
                  <c:v>26230</c:v>
                </c:pt>
                <c:pt idx="61">
                  <c:v>86262</c:v>
                </c:pt>
                <c:pt idx="62">
                  <c:v>68610</c:v>
                </c:pt>
                <c:pt idx="63">
                  <c:v>10087</c:v>
                </c:pt>
                <c:pt idx="64">
                  <c:v>8608</c:v>
                </c:pt>
                <c:pt idx="65">
                  <c:v>15423</c:v>
                </c:pt>
                <c:pt idx="66">
                  <c:v>48489</c:v>
                </c:pt>
                <c:pt idx="67">
                  <c:v>89</c:v>
                </c:pt>
              </c:numCache>
            </c:numRef>
          </c:xVal>
          <c:yVal>
            <c:numRef>
              <c:f>Model!$Y$4:$Y$71</c:f>
              <c:numCache>
                <c:formatCode>General</c:formatCode>
                <c:ptCount val="68"/>
                <c:pt idx="0">
                  <c:v>1.0534094685066628</c:v>
                </c:pt>
                <c:pt idx="1">
                  <c:v>1.2098424795496308</c:v>
                </c:pt>
                <c:pt idx="2">
                  <c:v>1.5037476546696587</c:v>
                </c:pt>
                <c:pt idx="3">
                  <c:v>1.3320469990819854</c:v>
                </c:pt>
                <c:pt idx="4">
                  <c:v>1.2953511310963604</c:v>
                </c:pt>
                <c:pt idx="5">
                  <c:v>1.4838153069069242</c:v>
                </c:pt>
                <c:pt idx="6">
                  <c:v>1.028444417644522</c:v>
                </c:pt>
                <c:pt idx="7">
                  <c:v>1.7208251745371728</c:v>
                </c:pt>
                <c:pt idx="8">
                  <c:v>2.4810112990493343</c:v>
                </c:pt>
                <c:pt idx="9">
                  <c:v>0.25353840957566159</c:v>
                </c:pt>
                <c:pt idx="10">
                  <c:v>0.97816344057438731</c:v>
                </c:pt>
                <c:pt idx="11">
                  <c:v>3.0728118872772812</c:v>
                </c:pt>
                <c:pt idx="12">
                  <c:v>2.4656143525023526</c:v>
                </c:pt>
                <c:pt idx="13">
                  <c:v>2.9327252326057556</c:v>
                </c:pt>
                <c:pt idx="14">
                  <c:v>2.0365325949038908</c:v>
                </c:pt>
                <c:pt idx="15">
                  <c:v>2.7407664426638623</c:v>
                </c:pt>
                <c:pt idx="16">
                  <c:v>2.7479361466271572</c:v>
                </c:pt>
                <c:pt idx="17">
                  <c:v>2.5228211340099227</c:v>
                </c:pt>
                <c:pt idx="18">
                  <c:v>1.7481235966117361</c:v>
                </c:pt>
                <c:pt idx="19">
                  <c:v>1.4912443797773771</c:v>
                </c:pt>
                <c:pt idx="20">
                  <c:v>2.2297811710082041</c:v>
                </c:pt>
                <c:pt idx="21">
                  <c:v>1.6012616462273703</c:v>
                </c:pt>
                <c:pt idx="22">
                  <c:v>1.569825146114441</c:v>
                </c:pt>
                <c:pt idx="23">
                  <c:v>1.3464673667470295</c:v>
                </c:pt>
                <c:pt idx="24">
                  <c:v>1.482562565612541</c:v>
                </c:pt>
                <c:pt idx="25">
                  <c:v>1.9664252942549343</c:v>
                </c:pt>
                <c:pt idx="26">
                  <c:v>0.84782910531217082</c:v>
                </c:pt>
                <c:pt idx="27">
                  <c:v>0.21330077726690147</c:v>
                </c:pt>
                <c:pt idx="28">
                  <c:v>1.1960544120552368</c:v>
                </c:pt>
                <c:pt idx="29">
                  <c:v>0.97923957885011381</c:v>
                </c:pt>
                <c:pt idx="30">
                  <c:v>2.2748392173971359</c:v>
                </c:pt>
                <c:pt idx="31">
                  <c:v>2.078283415408968</c:v>
                </c:pt>
                <c:pt idx="32">
                  <c:v>1.5907335071185702</c:v>
                </c:pt>
                <c:pt idx="33">
                  <c:v>1.6299046672011435</c:v>
                </c:pt>
                <c:pt idx="34">
                  <c:v>1.900807551920735</c:v>
                </c:pt>
                <c:pt idx="35">
                  <c:v>1.3692703711488139</c:v>
                </c:pt>
                <c:pt idx="36">
                  <c:v>0.74155405615912051</c:v>
                </c:pt>
                <c:pt idx="37">
                  <c:v>1.0962767437599368</c:v>
                </c:pt>
                <c:pt idx="38">
                  <c:v>0.80917558751870933</c:v>
                </c:pt>
                <c:pt idx="39">
                  <c:v>0.36410480983811</c:v>
                </c:pt>
                <c:pt idx="40">
                  <c:v>0.7270013267528207</c:v>
                </c:pt>
                <c:pt idx="41">
                  <c:v>0.90337154270573183</c:v>
                </c:pt>
                <c:pt idx="42">
                  <c:v>1.8994366127349733</c:v>
                </c:pt>
                <c:pt idx="43">
                  <c:v>0.3833706725390657</c:v>
                </c:pt>
                <c:pt idx="44">
                  <c:v>1.5447137069502515</c:v>
                </c:pt>
                <c:pt idx="45">
                  <c:v>-0.17267099965116334</c:v>
                </c:pt>
                <c:pt idx="46">
                  <c:v>0.64582124937384811</c:v>
                </c:pt>
                <c:pt idx="47">
                  <c:v>0.17049453393857641</c:v>
                </c:pt>
                <c:pt idx="48">
                  <c:v>0.3237349840917752</c:v>
                </c:pt>
                <c:pt idx="49">
                  <c:v>0.20076745857655276</c:v>
                </c:pt>
                <c:pt idx="50">
                  <c:v>0.81346608798012998</c:v>
                </c:pt>
                <c:pt idx="51">
                  <c:v>0.20873059660246795</c:v>
                </c:pt>
                <c:pt idx="52">
                  <c:v>1.3476574663058238</c:v>
                </c:pt>
                <c:pt idx="53">
                  <c:v>-0.20995667998168166</c:v>
                </c:pt>
                <c:pt idx="54">
                  <c:v>1.0483803888018113</c:v>
                </c:pt>
                <c:pt idx="55">
                  <c:v>1.5515377412556484</c:v>
                </c:pt>
                <c:pt idx="56">
                  <c:v>1.8163211404738366</c:v>
                </c:pt>
                <c:pt idx="57">
                  <c:v>1.3910515554235137</c:v>
                </c:pt>
                <c:pt idx="58">
                  <c:v>0.74898317631804801</c:v>
                </c:pt>
                <c:pt idx="59">
                  <c:v>3.6366819061955673</c:v>
                </c:pt>
                <c:pt idx="60">
                  <c:v>-0.38630182757842257</c:v>
                </c:pt>
                <c:pt idx="61">
                  <c:v>-1.3532958934444546</c:v>
                </c:pt>
                <c:pt idx="62">
                  <c:v>0.31981227046095567</c:v>
                </c:pt>
                <c:pt idx="63">
                  <c:v>0.93691527942039521</c:v>
                </c:pt>
                <c:pt idx="64">
                  <c:v>0.85135560173827618</c:v>
                </c:pt>
                <c:pt idx="65">
                  <c:v>1.6280154913479548</c:v>
                </c:pt>
                <c:pt idx="66">
                  <c:v>1.6602755357773129</c:v>
                </c:pt>
                <c:pt idx="67">
                  <c:v>5.7021331752344295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C8-4F42-B960-F896C7F1F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2598128"/>
        <c:axId val="857304864"/>
      </c:scatterChart>
      <c:valAx>
        <c:axId val="144259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304864"/>
        <c:crosses val="autoZero"/>
        <c:crossBetween val="midCat"/>
      </c:valAx>
      <c:valAx>
        <c:axId val="85730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59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Model!$Z$3</c:f>
              <c:strCache>
                <c:ptCount val="1"/>
                <c:pt idx="0">
                  <c:v>wt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Model!$N$4:$N$71</c:f>
              <c:numCache>
                <c:formatCode>General</c:formatCode>
                <c:ptCount val="68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</c:numCache>
            </c:numRef>
          </c:xVal>
          <c:yVal>
            <c:numRef>
              <c:f>Model!$Z$4:$Z$71</c:f>
              <c:numCache>
                <c:formatCode>General</c:formatCode>
                <c:ptCount val="68"/>
                <c:pt idx="0">
                  <c:v>-0.41687466658018368</c:v>
                </c:pt>
                <c:pt idx="1">
                  <c:v>4.8954438870314032E-2</c:v>
                </c:pt>
                <c:pt idx="2">
                  <c:v>4.5602529011744997E-2</c:v>
                </c:pt>
                <c:pt idx="3">
                  <c:v>-0.20826815315074421</c:v>
                </c:pt>
                <c:pt idx="4">
                  <c:v>-0.18785146823354282</c:v>
                </c:pt>
                <c:pt idx="5">
                  <c:v>0.5248210526013013</c:v>
                </c:pt>
                <c:pt idx="6">
                  <c:v>-0.42031477295998565</c:v>
                </c:pt>
                <c:pt idx="7">
                  <c:v>0.18178662938783163</c:v>
                </c:pt>
                <c:pt idx="8">
                  <c:v>0.97139467488055331</c:v>
                </c:pt>
                <c:pt idx="9">
                  <c:v>-0.79521556273204563</c:v>
                </c:pt>
                <c:pt idx="10">
                  <c:v>-0.50080212233002297</c:v>
                </c:pt>
                <c:pt idx="11">
                  <c:v>1.5386124574322915</c:v>
                </c:pt>
                <c:pt idx="12">
                  <c:v>0.92587629662238768</c:v>
                </c:pt>
                <c:pt idx="13">
                  <c:v>1.4445885843723452</c:v>
                </c:pt>
                <c:pt idx="14">
                  <c:v>0.51787979104701565</c:v>
                </c:pt>
                <c:pt idx="15">
                  <c:v>1.2476307909591007</c:v>
                </c:pt>
                <c:pt idx="16">
                  <c:v>1.2060296074822585</c:v>
                </c:pt>
                <c:pt idx="17">
                  <c:v>1.2510581442741193</c:v>
                </c:pt>
                <c:pt idx="18">
                  <c:v>0.28380279050345769</c:v>
                </c:pt>
                <c:pt idx="19">
                  <c:v>0.1852178555040529</c:v>
                </c:pt>
                <c:pt idx="20">
                  <c:v>0.69570665379368291</c:v>
                </c:pt>
                <c:pt idx="21">
                  <c:v>0.80475873814044463</c:v>
                </c:pt>
                <c:pt idx="22">
                  <c:v>0.1228796869043367</c:v>
                </c:pt>
                <c:pt idx="23">
                  <c:v>-3.4943930014059488E-2</c:v>
                </c:pt>
                <c:pt idx="24">
                  <c:v>-3.3764365065009905E-2</c:v>
                </c:pt>
                <c:pt idx="25">
                  <c:v>0.7141236923461296</c:v>
                </c:pt>
                <c:pt idx="26">
                  <c:v>-0.5729571508252117</c:v>
                </c:pt>
                <c:pt idx="27">
                  <c:v>-1.1007051658407532</c:v>
                </c:pt>
                <c:pt idx="28">
                  <c:v>-0.30733656661099196</c:v>
                </c:pt>
                <c:pt idx="29">
                  <c:v>-0.22163299484218291</c:v>
                </c:pt>
                <c:pt idx="30">
                  <c:v>0.74051487492167767</c:v>
                </c:pt>
                <c:pt idx="31">
                  <c:v>0.59220033082046042</c:v>
                </c:pt>
                <c:pt idx="32">
                  <c:v>0.15794814369837962</c:v>
                </c:pt>
                <c:pt idx="33">
                  <c:v>0.67761072639385311</c:v>
                </c:pt>
                <c:pt idx="34">
                  <c:v>0.42650872489062963</c:v>
                </c:pt>
                <c:pt idx="35">
                  <c:v>0.19378753872555277</c:v>
                </c:pt>
                <c:pt idx="36">
                  <c:v>-0.35495151652410084</c:v>
                </c:pt>
                <c:pt idx="37">
                  <c:v>0.51189296997685962</c:v>
                </c:pt>
                <c:pt idx="38">
                  <c:v>-0.49411535014735375</c:v>
                </c:pt>
                <c:pt idx="39">
                  <c:v>-0.82905315979644978</c:v>
                </c:pt>
                <c:pt idx="40">
                  <c:v>-0.65357805188934759</c:v>
                </c:pt>
                <c:pt idx="41">
                  <c:v>1.07649293562042</c:v>
                </c:pt>
                <c:pt idx="42">
                  <c:v>0.42648934036653752</c:v>
                </c:pt>
                <c:pt idx="43">
                  <c:v>-0.8554128845004334</c:v>
                </c:pt>
                <c:pt idx="44">
                  <c:v>0.21788173494608709</c:v>
                </c:pt>
                <c:pt idx="45">
                  <c:v>-1.0514938294694671</c:v>
                </c:pt>
                <c:pt idx="46">
                  <c:v>-0.81851954275530525</c:v>
                </c:pt>
                <c:pt idx="47">
                  <c:v>-1.3138772476125122</c:v>
                </c:pt>
                <c:pt idx="48">
                  <c:v>-0.99748591255174235</c:v>
                </c:pt>
                <c:pt idx="49">
                  <c:v>-0.91778769163697527</c:v>
                </c:pt>
                <c:pt idx="50">
                  <c:v>-0.6706933420991622</c:v>
                </c:pt>
                <c:pt idx="51">
                  <c:v>-1.3040862891589169</c:v>
                </c:pt>
                <c:pt idx="52">
                  <c:v>-0.17486513084296673</c:v>
                </c:pt>
                <c:pt idx="53">
                  <c:v>-1.5094952422284698</c:v>
                </c:pt>
                <c:pt idx="54">
                  <c:v>-0.40785107535732434</c:v>
                </c:pt>
                <c:pt idx="55">
                  <c:v>1.9187018341592976E-2</c:v>
                </c:pt>
                <c:pt idx="56">
                  <c:v>0.34522757154155381</c:v>
                </c:pt>
                <c:pt idx="57">
                  <c:v>-4.1493975746177192E-2</c:v>
                </c:pt>
                <c:pt idx="58">
                  <c:v>-0.64617600455240842</c:v>
                </c:pt>
                <c:pt idx="59">
                  <c:v>2.0928642038045</c:v>
                </c:pt>
                <c:pt idx="60">
                  <c:v>-1.866481541250987</c:v>
                </c:pt>
                <c:pt idx="61">
                  <c:v>-2.6835005064712698</c:v>
                </c:pt>
                <c:pt idx="62">
                  <c:v>-1.0544914976264732</c:v>
                </c:pt>
                <c:pt idx="63">
                  <c:v>-0.58359372612524241</c:v>
                </c:pt>
                <c:pt idx="64">
                  <c:v>-0.67284831941662082</c:v>
                </c:pt>
                <c:pt idx="65">
                  <c:v>0.12083716172591985</c:v>
                </c:pt>
                <c:pt idx="66">
                  <c:v>0.23570442693673366</c:v>
                </c:pt>
                <c:pt idx="67">
                  <c:v>4.1566466401003019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BA-46FC-B0AB-8EA9D5D2C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726144"/>
        <c:axId val="817176368"/>
      </c:scatterChart>
      <c:valAx>
        <c:axId val="143872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Brood year spawners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176368"/>
        <c:crosses val="autoZero"/>
        <c:crossBetween val="midCat"/>
      </c:valAx>
      <c:valAx>
        <c:axId val="81717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Brood year 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72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observed and retro run sizes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Model!$O$3</c:f>
              <c:strCache>
                <c:ptCount val="1"/>
                <c:pt idx="0">
                  <c:v>Run-Jacks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Model!$N$4:$N$75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Model!$O$4:$O$75</c:f>
              <c:numCache>
                <c:formatCode>General</c:formatCode>
                <c:ptCount val="72"/>
                <c:pt idx="0">
                  <c:v>188323</c:v>
                </c:pt>
                <c:pt idx="1">
                  <c:v>964987</c:v>
                </c:pt>
                <c:pt idx="2">
                  <c:v>221561</c:v>
                </c:pt>
                <c:pt idx="3">
                  <c:v>139798</c:v>
                </c:pt>
                <c:pt idx="4">
                  <c:v>86570</c:v>
                </c:pt>
                <c:pt idx="5">
                  <c:v>516476</c:v>
                </c:pt>
                <c:pt idx="6">
                  <c:v>157673</c:v>
                </c:pt>
                <c:pt idx="7">
                  <c:v>8180</c:v>
                </c:pt>
                <c:pt idx="8">
                  <c:v>91380</c:v>
                </c:pt>
                <c:pt idx="9">
                  <c:v>1035627</c:v>
                </c:pt>
                <c:pt idx="10">
                  <c:v>108532</c:v>
                </c:pt>
                <c:pt idx="11">
                  <c:v>14923</c:v>
                </c:pt>
                <c:pt idx="12">
                  <c:v>172690</c:v>
                </c:pt>
                <c:pt idx="13">
                  <c:v>256325</c:v>
                </c:pt>
                <c:pt idx="14">
                  <c:v>71053</c:v>
                </c:pt>
                <c:pt idx="15">
                  <c:v>99523</c:v>
                </c:pt>
                <c:pt idx="16">
                  <c:v>28132</c:v>
                </c:pt>
                <c:pt idx="17">
                  <c:v>432756</c:v>
                </c:pt>
                <c:pt idx="18">
                  <c:v>83001</c:v>
                </c:pt>
                <c:pt idx="19">
                  <c:v>326158</c:v>
                </c:pt>
                <c:pt idx="20">
                  <c:v>23759</c:v>
                </c:pt>
                <c:pt idx="21">
                  <c:v>1366708</c:v>
                </c:pt>
                <c:pt idx="22">
                  <c:v>187122</c:v>
                </c:pt>
                <c:pt idx="23">
                  <c:v>426225</c:v>
                </c:pt>
                <c:pt idx="24">
                  <c:v>43300</c:v>
                </c:pt>
                <c:pt idx="25">
                  <c:v>1487250</c:v>
                </c:pt>
                <c:pt idx="26">
                  <c:v>189988</c:v>
                </c:pt>
                <c:pt idx="27">
                  <c:v>252789</c:v>
                </c:pt>
                <c:pt idx="28">
                  <c:v>51798</c:v>
                </c:pt>
                <c:pt idx="29">
                  <c:v>839155</c:v>
                </c:pt>
                <c:pt idx="30">
                  <c:v>116738</c:v>
                </c:pt>
                <c:pt idx="31">
                  <c:v>114797</c:v>
                </c:pt>
                <c:pt idx="32">
                  <c:v>56018</c:v>
                </c:pt>
                <c:pt idx="33">
                  <c:v>367498</c:v>
                </c:pt>
                <c:pt idx="34">
                  <c:v>44323</c:v>
                </c:pt>
                <c:pt idx="35">
                  <c:v>190715</c:v>
                </c:pt>
                <c:pt idx="36">
                  <c:v>221817</c:v>
                </c:pt>
                <c:pt idx="37">
                  <c:v>1212218</c:v>
                </c:pt>
                <c:pt idx="38">
                  <c:v>191264</c:v>
                </c:pt>
                <c:pt idx="39">
                  <c:v>582770</c:v>
                </c:pt>
                <c:pt idx="40">
                  <c:v>377450</c:v>
                </c:pt>
                <c:pt idx="41">
                  <c:v>1151704</c:v>
                </c:pt>
                <c:pt idx="42">
                  <c:v>217946</c:v>
                </c:pt>
                <c:pt idx="43">
                  <c:v>203102</c:v>
                </c:pt>
                <c:pt idx="44">
                  <c:v>136748</c:v>
                </c:pt>
                <c:pt idx="45">
                  <c:v>1697954</c:v>
                </c:pt>
                <c:pt idx="46">
                  <c:v>194617</c:v>
                </c:pt>
                <c:pt idx="47">
                  <c:v>180257</c:v>
                </c:pt>
                <c:pt idx="48">
                  <c:v>410605</c:v>
                </c:pt>
                <c:pt idx="49">
                  <c:v>224608</c:v>
                </c:pt>
                <c:pt idx="50">
                  <c:v>62129</c:v>
                </c:pt>
                <c:pt idx="51">
                  <c:v>29116</c:v>
                </c:pt>
                <c:pt idx="52">
                  <c:v>124209</c:v>
                </c:pt>
                <c:pt idx="53">
                  <c:v>208997</c:v>
                </c:pt>
                <c:pt idx="54">
                  <c:v>55574</c:v>
                </c:pt>
                <c:pt idx="55">
                  <c:v>16222</c:v>
                </c:pt>
                <c:pt idx="56">
                  <c:v>35717</c:v>
                </c:pt>
                <c:pt idx="57">
                  <c:v>79876</c:v>
                </c:pt>
                <c:pt idx="58">
                  <c:v>102184</c:v>
                </c:pt>
                <c:pt idx="59">
                  <c:v>25231</c:v>
                </c:pt>
                <c:pt idx="60">
                  <c:v>183658</c:v>
                </c:pt>
                <c:pt idx="61">
                  <c:v>182052</c:v>
                </c:pt>
                <c:pt idx="62">
                  <c:v>127445</c:v>
                </c:pt>
                <c:pt idx="63">
                  <c:v>28740</c:v>
                </c:pt>
                <c:pt idx="64">
                  <c:v>17825</c:v>
                </c:pt>
                <c:pt idx="65">
                  <c:v>22289</c:v>
                </c:pt>
                <c:pt idx="66">
                  <c:v>94467</c:v>
                </c:pt>
                <c:pt idx="67">
                  <c:v>25743</c:v>
                </c:pt>
                <c:pt idx="68">
                  <c:v>20167</c:v>
                </c:pt>
                <c:pt idx="69">
                  <c:v>78561</c:v>
                </c:pt>
                <c:pt idx="70">
                  <c:v>255089</c:v>
                </c:pt>
                <c:pt idx="71">
                  <c:v>26656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F3-4F21-BAF4-3F34740F72C6}"/>
            </c:ext>
          </c:extLst>
        </c:ser>
        <c:ser>
          <c:idx val="1"/>
          <c:order val="1"/>
          <c:tx>
            <c:strRef>
              <c:f>Model!$AC$3</c:f>
              <c:strCache>
                <c:ptCount val="1"/>
                <c:pt idx="0">
                  <c:v>retro 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Model!$N$4:$N$75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Model!$AC$4:$AC$75</c:f>
              <c:numCache>
                <c:formatCode>General</c:formatCode>
                <c:ptCount val="72"/>
                <c:pt idx="0">
                  <c:v>188323</c:v>
                </c:pt>
                <c:pt idx="1">
                  <c:v>964987</c:v>
                </c:pt>
                <c:pt idx="2">
                  <c:v>221561</c:v>
                </c:pt>
                <c:pt idx="3">
                  <c:v>139798</c:v>
                </c:pt>
                <c:pt idx="4">
                  <c:v>86569.999999999971</c:v>
                </c:pt>
                <c:pt idx="5">
                  <c:v>516475.99999999994</c:v>
                </c:pt>
                <c:pt idx="6">
                  <c:v>157673</c:v>
                </c:pt>
                <c:pt idx="7">
                  <c:v>8180</c:v>
                </c:pt>
                <c:pt idx="8">
                  <c:v>91379.999999999956</c:v>
                </c:pt>
                <c:pt idx="9">
                  <c:v>1035626.9999999999</c:v>
                </c:pt>
                <c:pt idx="10">
                  <c:v>108531.99999999997</c:v>
                </c:pt>
                <c:pt idx="11">
                  <c:v>14923</c:v>
                </c:pt>
                <c:pt idx="12">
                  <c:v>172689.99999999991</c:v>
                </c:pt>
                <c:pt idx="13">
                  <c:v>256325</c:v>
                </c:pt>
                <c:pt idx="14">
                  <c:v>71052.999999999971</c:v>
                </c:pt>
                <c:pt idx="15">
                  <c:v>99523.000000000029</c:v>
                </c:pt>
                <c:pt idx="16">
                  <c:v>28131.999999999985</c:v>
                </c:pt>
                <c:pt idx="17">
                  <c:v>432755.99999999983</c:v>
                </c:pt>
                <c:pt idx="18">
                  <c:v>83000.999999999971</c:v>
                </c:pt>
                <c:pt idx="19">
                  <c:v>326158.00000000012</c:v>
                </c:pt>
                <c:pt idx="20">
                  <c:v>23758.999999999971</c:v>
                </c:pt>
                <c:pt idx="21">
                  <c:v>1366707.9999999998</c:v>
                </c:pt>
                <c:pt idx="22">
                  <c:v>187121.99999999994</c:v>
                </c:pt>
                <c:pt idx="23">
                  <c:v>426224.99999999965</c:v>
                </c:pt>
                <c:pt idx="24">
                  <c:v>43299.999999999942</c:v>
                </c:pt>
                <c:pt idx="25">
                  <c:v>1487250.0000000002</c:v>
                </c:pt>
                <c:pt idx="26">
                  <c:v>189987.99999999939</c:v>
                </c:pt>
                <c:pt idx="27">
                  <c:v>252788.99999999983</c:v>
                </c:pt>
                <c:pt idx="28">
                  <c:v>51797.999999999935</c:v>
                </c:pt>
                <c:pt idx="29">
                  <c:v>839155.00000000023</c:v>
                </c:pt>
                <c:pt idx="30">
                  <c:v>116737.99999999965</c:v>
                </c:pt>
                <c:pt idx="31">
                  <c:v>114796.99999999993</c:v>
                </c:pt>
                <c:pt idx="32">
                  <c:v>56017.999999999935</c:v>
                </c:pt>
                <c:pt idx="33">
                  <c:v>367498.00000000006</c:v>
                </c:pt>
                <c:pt idx="34">
                  <c:v>44322.999999999862</c:v>
                </c:pt>
                <c:pt idx="35">
                  <c:v>190714.99999999991</c:v>
                </c:pt>
                <c:pt idx="36">
                  <c:v>221815.08137430626</c:v>
                </c:pt>
                <c:pt idx="37">
                  <c:v>1212218.0000000002</c:v>
                </c:pt>
                <c:pt idx="38">
                  <c:v>191263.99999999948</c:v>
                </c:pt>
                <c:pt idx="39">
                  <c:v>582769.99999999988</c:v>
                </c:pt>
                <c:pt idx="40">
                  <c:v>377447.89457910653</c:v>
                </c:pt>
                <c:pt idx="41">
                  <c:v>1151703.9999999998</c:v>
                </c:pt>
                <c:pt idx="42">
                  <c:v>218698.0662509659</c:v>
                </c:pt>
                <c:pt idx="43">
                  <c:v>282378.2452901185</c:v>
                </c:pt>
                <c:pt idx="44">
                  <c:v>194534.30343550886</c:v>
                </c:pt>
                <c:pt idx="45">
                  <c:v>1482347.1743185834</c:v>
                </c:pt>
                <c:pt idx="46">
                  <c:v>175179.64642215465</c:v>
                </c:pt>
                <c:pt idx="47">
                  <c:v>186765.86910522761</c:v>
                </c:pt>
                <c:pt idx="48">
                  <c:v>432772.92499569693</c:v>
                </c:pt>
                <c:pt idx="49">
                  <c:v>234292.39414913917</c:v>
                </c:pt>
                <c:pt idx="50">
                  <c:v>46177.621557969826</c:v>
                </c:pt>
                <c:pt idx="51">
                  <c:v>22650.791974642565</c:v>
                </c:pt>
                <c:pt idx="52">
                  <c:v>185436.0251043732</c:v>
                </c:pt>
                <c:pt idx="53">
                  <c:v>197895.63081461273</c:v>
                </c:pt>
                <c:pt idx="54">
                  <c:v>34161.67932572795</c:v>
                </c:pt>
                <c:pt idx="55">
                  <c:v>10361.648298958156</c:v>
                </c:pt>
                <c:pt idx="56">
                  <c:v>58025.397446371229</c:v>
                </c:pt>
                <c:pt idx="57">
                  <c:v>62825.907721146919</c:v>
                </c:pt>
                <c:pt idx="58">
                  <c:v>52461.135052166472</c:v>
                </c:pt>
                <c:pt idx="59">
                  <c:v>12175.219204596764</c:v>
                </c:pt>
                <c:pt idx="60">
                  <c:v>224376.54324584053</c:v>
                </c:pt>
                <c:pt idx="61">
                  <c:v>115984.75860724933</c:v>
                </c:pt>
                <c:pt idx="62">
                  <c:v>52096.957771329318</c:v>
                </c:pt>
                <c:pt idx="63">
                  <c:v>10669.785768750375</c:v>
                </c:pt>
                <c:pt idx="64">
                  <c:v>16115.013577071149</c:v>
                </c:pt>
                <c:pt idx="65">
                  <c:v>11872.12431105695</c:v>
                </c:pt>
                <c:pt idx="66">
                  <c:v>37718.508140948565</c:v>
                </c:pt>
                <c:pt idx="67">
                  <c:v>7011.6136579841632</c:v>
                </c:pt>
                <c:pt idx="68">
                  <c:v>14154.855378922601</c:v>
                </c:pt>
                <c:pt idx="69">
                  <c:v>34528.163618445789</c:v>
                </c:pt>
                <c:pt idx="70">
                  <c:v>85049.941288409842</c:v>
                </c:pt>
                <c:pt idx="71">
                  <c:v>5121.4354795122163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F3-4F21-BAF4-3F34740F7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083280"/>
        <c:axId val="1623471120"/>
      </c:scatterChart>
      <c:valAx>
        <c:axId val="144408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471120"/>
        <c:crosses val="autoZero"/>
        <c:crossBetween val="midCat"/>
      </c:valAx>
      <c:valAx>
        <c:axId val="16234711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083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Observed and retro Catch</a:t>
            </a:r>
          </a:p>
        </c:rich>
      </c:tx>
      <c:layout>
        <c:manualLayout>
          <c:xMode val="edge"/>
          <c:yMode val="edge"/>
          <c:x val="0.36786571749579261"/>
          <c:y val="3.16135540594824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Model!$P$3</c:f>
              <c:strCache>
                <c:ptCount val="1"/>
                <c:pt idx="0">
                  <c:v>Catch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Model!$N$4:$N$75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Model!$P$4:$P$75</c:f>
              <c:numCache>
                <c:formatCode>General</c:formatCode>
                <c:ptCount val="72"/>
                <c:pt idx="0">
                  <c:v>158132</c:v>
                </c:pt>
                <c:pt idx="1">
                  <c:v>810951</c:v>
                </c:pt>
                <c:pt idx="2">
                  <c:v>186511</c:v>
                </c:pt>
                <c:pt idx="3">
                  <c:v>113537</c:v>
                </c:pt>
                <c:pt idx="4">
                  <c:v>61550</c:v>
                </c:pt>
                <c:pt idx="5">
                  <c:v>281626</c:v>
                </c:pt>
                <c:pt idx="6">
                  <c:v>118866</c:v>
                </c:pt>
                <c:pt idx="7">
                  <c:v>5510</c:v>
                </c:pt>
                <c:pt idx="8">
                  <c:v>56133</c:v>
                </c:pt>
                <c:pt idx="9">
                  <c:v>836706</c:v>
                </c:pt>
                <c:pt idx="10">
                  <c:v>81816</c:v>
                </c:pt>
                <c:pt idx="11">
                  <c:v>10315.999999999991</c:v>
                </c:pt>
                <c:pt idx="12">
                  <c:v>37714</c:v>
                </c:pt>
                <c:pt idx="13">
                  <c:v>233280</c:v>
                </c:pt>
                <c:pt idx="14">
                  <c:v>60223</c:v>
                </c:pt>
                <c:pt idx="15">
                  <c:v>78479</c:v>
                </c:pt>
                <c:pt idx="16">
                  <c:v>26610</c:v>
                </c:pt>
                <c:pt idx="17">
                  <c:v>323101</c:v>
                </c:pt>
                <c:pt idx="18">
                  <c:v>50423</c:v>
                </c:pt>
                <c:pt idx="19">
                  <c:v>230218.00000000012</c:v>
                </c:pt>
                <c:pt idx="20">
                  <c:v>19101.999999999989</c:v>
                </c:pt>
                <c:pt idx="21">
                  <c:v>1066816</c:v>
                </c:pt>
                <c:pt idx="22">
                  <c:v>147589.00000000012</c:v>
                </c:pt>
                <c:pt idx="23">
                  <c:v>345460</c:v>
                </c:pt>
                <c:pt idx="24">
                  <c:v>31539</c:v>
                </c:pt>
                <c:pt idx="25">
                  <c:v>1231060.6951051329</c:v>
                </c:pt>
                <c:pt idx="26">
                  <c:v>96365.232590939297</c:v>
                </c:pt>
                <c:pt idx="27">
                  <c:v>129982.45603052131</c:v>
                </c:pt>
                <c:pt idx="28">
                  <c:v>15194.071459998031</c:v>
                </c:pt>
                <c:pt idx="29">
                  <c:v>628837.34077007999</c:v>
                </c:pt>
                <c:pt idx="30">
                  <c:v>67276.845946738002</c:v>
                </c:pt>
                <c:pt idx="31">
                  <c:v>65640.399607437299</c:v>
                </c:pt>
                <c:pt idx="32">
                  <c:v>10817.440739420979</c:v>
                </c:pt>
                <c:pt idx="33">
                  <c:v>129965.89235278071</c:v>
                </c:pt>
                <c:pt idx="34">
                  <c:v>15738.538146987199</c:v>
                </c:pt>
                <c:pt idx="35">
                  <c:v>29498.058653502871</c:v>
                </c:pt>
                <c:pt idx="36">
                  <c:v>42010.265670508204</c:v>
                </c:pt>
                <c:pt idx="37">
                  <c:v>827418.43252741999</c:v>
                </c:pt>
                <c:pt idx="38">
                  <c:v>57987.04046482432</c:v>
                </c:pt>
                <c:pt idx="39">
                  <c:v>371330.89127512497</c:v>
                </c:pt>
                <c:pt idx="40">
                  <c:v>208140.6139335628</c:v>
                </c:pt>
                <c:pt idx="41">
                  <c:v>463058.774323305</c:v>
                </c:pt>
                <c:pt idx="42">
                  <c:v>46543.785950581296</c:v>
                </c:pt>
                <c:pt idx="43">
                  <c:v>15412.79086321855</c:v>
                </c:pt>
                <c:pt idx="44">
                  <c:v>9523.1494442531002</c:v>
                </c:pt>
                <c:pt idx="45">
                  <c:v>805394.97655246104</c:v>
                </c:pt>
                <c:pt idx="46">
                  <c:v>25925.004385768359</c:v>
                </c:pt>
                <c:pt idx="47">
                  <c:v>9784.9828609390097</c:v>
                </c:pt>
                <c:pt idx="48">
                  <c:v>240195.53748689752</c:v>
                </c:pt>
                <c:pt idx="49">
                  <c:v>44762.296490044399</c:v>
                </c:pt>
                <c:pt idx="50">
                  <c:v>8232.4427655477502</c:v>
                </c:pt>
                <c:pt idx="51">
                  <c:v>3989.7562645734538</c:v>
                </c:pt>
                <c:pt idx="52">
                  <c:v>45502.33944282039</c:v>
                </c:pt>
                <c:pt idx="53">
                  <c:v>21109.136046266809</c:v>
                </c:pt>
                <c:pt idx="54">
                  <c:v>6823.3248100107303</c:v>
                </c:pt>
                <c:pt idx="55">
                  <c:v>1086.182230819667</c:v>
                </c:pt>
                <c:pt idx="56">
                  <c:v>3070.5316467502353</c:v>
                </c:pt>
                <c:pt idx="57">
                  <c:v>7728.7193897821307</c:v>
                </c:pt>
                <c:pt idx="58">
                  <c:v>3439.3948632162101</c:v>
                </c:pt>
                <c:pt idx="59">
                  <c:v>2247.1560667341359</c:v>
                </c:pt>
                <c:pt idx="60">
                  <c:v>8763.644080740869</c:v>
                </c:pt>
                <c:pt idx="61">
                  <c:v>11393.60787488733</c:v>
                </c:pt>
                <c:pt idx="62">
                  <c:v>25479.611118344321</c:v>
                </c:pt>
                <c:pt idx="63">
                  <c:v>807.31062990195699</c:v>
                </c:pt>
                <c:pt idx="64">
                  <c:v>1648.2462494146371</c:v>
                </c:pt>
                <c:pt idx="65">
                  <c:v>2960.4698801165041</c:v>
                </c:pt>
                <c:pt idx="66">
                  <c:v>8337.4188794716902</c:v>
                </c:pt>
                <c:pt idx="67">
                  <c:v>192.62339576949898</c:v>
                </c:pt>
                <c:pt idx="68">
                  <c:v>139.19065215624278</c:v>
                </c:pt>
                <c:pt idx="69">
                  <c:v>1480.0973360475609</c:v>
                </c:pt>
                <c:pt idx="70">
                  <c:v>4795.7137452617699</c:v>
                </c:pt>
                <c:pt idx="71">
                  <c:v>720.53435129017203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98-4116-A0F6-F531FD05FC83}"/>
            </c:ext>
          </c:extLst>
        </c:ser>
        <c:ser>
          <c:idx val="1"/>
          <c:order val="1"/>
          <c:tx>
            <c:strRef>
              <c:f>Model!$AF$3</c:f>
              <c:strCache>
                <c:ptCount val="1"/>
                <c:pt idx="0">
                  <c:v>Retro 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Model!$N$4:$N$75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Model!$AF$4:$AF$75</c:f>
              <c:numCache>
                <c:formatCode>General</c:formatCode>
                <c:ptCount val="72"/>
                <c:pt idx="0">
                  <c:v>158132</c:v>
                </c:pt>
                <c:pt idx="1">
                  <c:v>810951</c:v>
                </c:pt>
                <c:pt idx="2">
                  <c:v>186511</c:v>
                </c:pt>
                <c:pt idx="3">
                  <c:v>113537</c:v>
                </c:pt>
                <c:pt idx="4">
                  <c:v>61549.999999999978</c:v>
                </c:pt>
                <c:pt idx="5">
                  <c:v>281625.99999999994</c:v>
                </c:pt>
                <c:pt idx="6">
                  <c:v>118866</c:v>
                </c:pt>
                <c:pt idx="7">
                  <c:v>5510</c:v>
                </c:pt>
                <c:pt idx="8">
                  <c:v>56132.999999999978</c:v>
                </c:pt>
                <c:pt idx="9">
                  <c:v>836705.99999999988</c:v>
                </c:pt>
                <c:pt idx="10">
                  <c:v>81815.999999999985</c:v>
                </c:pt>
                <c:pt idx="11">
                  <c:v>10315.999999999991</c:v>
                </c:pt>
                <c:pt idx="12">
                  <c:v>37713.999999999978</c:v>
                </c:pt>
                <c:pt idx="13">
                  <c:v>233280</c:v>
                </c:pt>
                <c:pt idx="14">
                  <c:v>60222.999999999978</c:v>
                </c:pt>
                <c:pt idx="15">
                  <c:v>78479.000000000015</c:v>
                </c:pt>
                <c:pt idx="16">
                  <c:v>26609.999999999989</c:v>
                </c:pt>
                <c:pt idx="17">
                  <c:v>323100.99999999988</c:v>
                </c:pt>
                <c:pt idx="18">
                  <c:v>50422.999999999985</c:v>
                </c:pt>
                <c:pt idx="19">
                  <c:v>230218.0000000002</c:v>
                </c:pt>
                <c:pt idx="20">
                  <c:v>19101.999999999964</c:v>
                </c:pt>
                <c:pt idx="21">
                  <c:v>1066815.9999999998</c:v>
                </c:pt>
                <c:pt idx="22">
                  <c:v>147589.00000000009</c:v>
                </c:pt>
                <c:pt idx="23">
                  <c:v>345459.99999999971</c:v>
                </c:pt>
                <c:pt idx="24">
                  <c:v>31538.999999999956</c:v>
                </c:pt>
                <c:pt idx="25">
                  <c:v>1231060.6951051331</c:v>
                </c:pt>
                <c:pt idx="26">
                  <c:v>96365.232590938991</c:v>
                </c:pt>
                <c:pt idx="27">
                  <c:v>129982.45603052122</c:v>
                </c:pt>
                <c:pt idx="28">
                  <c:v>15194.071459998011</c:v>
                </c:pt>
                <c:pt idx="29">
                  <c:v>628837.34077008022</c:v>
                </c:pt>
                <c:pt idx="30">
                  <c:v>67276.845946737798</c:v>
                </c:pt>
                <c:pt idx="31">
                  <c:v>65640.399607437255</c:v>
                </c:pt>
                <c:pt idx="32">
                  <c:v>10817.440739420967</c:v>
                </c:pt>
                <c:pt idx="33">
                  <c:v>129965.89235278072</c:v>
                </c:pt>
                <c:pt idx="34">
                  <c:v>15738.538146987152</c:v>
                </c:pt>
                <c:pt idx="35">
                  <c:v>29498.058653502856</c:v>
                </c:pt>
                <c:pt idx="36">
                  <c:v>42009.902299012254</c:v>
                </c:pt>
                <c:pt idx="37">
                  <c:v>827418.43252742011</c:v>
                </c:pt>
                <c:pt idx="38">
                  <c:v>57379.199999999844</c:v>
                </c:pt>
                <c:pt idx="39">
                  <c:v>174830.99999999997</c:v>
                </c:pt>
                <c:pt idx="40">
                  <c:v>113234.36837373195</c:v>
                </c:pt>
                <c:pt idx="41">
                  <c:v>345511.1999999999</c:v>
                </c:pt>
                <c:pt idx="42">
                  <c:v>65609.419875289765</c:v>
                </c:pt>
                <c:pt idx="43">
                  <c:v>84713.473587035551</c:v>
                </c:pt>
                <c:pt idx="44">
                  <c:v>58360.291030652654</c:v>
                </c:pt>
                <c:pt idx="45">
                  <c:v>444704.15229557501</c:v>
                </c:pt>
                <c:pt idx="46">
                  <c:v>52553.893926646393</c:v>
                </c:pt>
                <c:pt idx="47">
                  <c:v>56029.760731568284</c:v>
                </c:pt>
                <c:pt idx="48">
                  <c:v>129831.87749870907</c:v>
                </c:pt>
                <c:pt idx="49">
                  <c:v>70287.718244741744</c:v>
                </c:pt>
                <c:pt idx="50">
                  <c:v>13853.286467390948</c:v>
                </c:pt>
                <c:pt idx="51">
                  <c:v>6795.2375923927693</c:v>
                </c:pt>
                <c:pt idx="52">
                  <c:v>55630.807531311955</c:v>
                </c:pt>
                <c:pt idx="53">
                  <c:v>59368.689244383815</c:v>
                </c:pt>
                <c:pt idx="54">
                  <c:v>10248.503797718384</c:v>
                </c:pt>
                <c:pt idx="55">
                  <c:v>3108.4944896874467</c:v>
                </c:pt>
                <c:pt idx="56">
                  <c:v>17407.61923391137</c:v>
                </c:pt>
                <c:pt idx="57">
                  <c:v>18847.772316344075</c:v>
                </c:pt>
                <c:pt idx="58">
                  <c:v>15738.340515649941</c:v>
                </c:pt>
                <c:pt idx="59">
                  <c:v>3652.565761379029</c:v>
                </c:pt>
                <c:pt idx="60">
                  <c:v>67312.962973752161</c:v>
                </c:pt>
                <c:pt idx="61">
                  <c:v>34795.427582174794</c:v>
                </c:pt>
                <c:pt idx="62">
                  <c:v>15629.087331398794</c:v>
                </c:pt>
                <c:pt idx="63">
                  <c:v>3200.9357306251122</c:v>
                </c:pt>
                <c:pt idx="64">
                  <c:v>4834.5040731213448</c:v>
                </c:pt>
                <c:pt idx="65">
                  <c:v>3561.6372933170851</c:v>
                </c:pt>
                <c:pt idx="66">
                  <c:v>11315.552442284568</c:v>
                </c:pt>
                <c:pt idx="67">
                  <c:v>2103.4840973952487</c:v>
                </c:pt>
                <c:pt idx="68">
                  <c:v>4246.4566136767799</c:v>
                </c:pt>
                <c:pt idx="69">
                  <c:v>10358.449085533737</c:v>
                </c:pt>
                <c:pt idx="70">
                  <c:v>25514.982386522952</c:v>
                </c:pt>
                <c:pt idx="71">
                  <c:v>1536.4306438536648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98-4116-A0F6-F531FD05F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585568"/>
        <c:axId val="729615312"/>
      </c:scatterChart>
      <c:valAx>
        <c:axId val="73458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615312"/>
        <c:crosses val="autoZero"/>
        <c:crossBetween val="midCat"/>
      </c:valAx>
      <c:valAx>
        <c:axId val="729615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585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observed and retro adult spawers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Model!$W$3</c:f>
              <c:strCache>
                <c:ptCount val="1"/>
                <c:pt idx="0">
                  <c:v>Adult spawners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Model!$N$4:$N$75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Model!$W$4:$W$75</c:f>
              <c:numCache>
                <c:formatCode>General</c:formatCode>
                <c:ptCount val="72"/>
                <c:pt idx="0">
                  <c:v>30191</c:v>
                </c:pt>
                <c:pt idx="1">
                  <c:v>154036</c:v>
                </c:pt>
                <c:pt idx="2">
                  <c:v>35050</c:v>
                </c:pt>
                <c:pt idx="3">
                  <c:v>2159</c:v>
                </c:pt>
                <c:pt idx="4">
                  <c:v>25020</c:v>
                </c:pt>
                <c:pt idx="5">
                  <c:v>234850</c:v>
                </c:pt>
                <c:pt idx="6">
                  <c:v>38807</c:v>
                </c:pt>
                <c:pt idx="7">
                  <c:v>2670</c:v>
                </c:pt>
                <c:pt idx="8">
                  <c:v>14447</c:v>
                </c:pt>
                <c:pt idx="9">
                  <c:v>198921</c:v>
                </c:pt>
                <c:pt idx="10">
                  <c:v>26716</c:v>
                </c:pt>
                <c:pt idx="11">
                  <c:v>4607</c:v>
                </c:pt>
                <c:pt idx="12">
                  <c:v>2390</c:v>
                </c:pt>
                <c:pt idx="13">
                  <c:v>23045</c:v>
                </c:pt>
                <c:pt idx="14">
                  <c:v>10830</c:v>
                </c:pt>
                <c:pt idx="15">
                  <c:v>21044</c:v>
                </c:pt>
                <c:pt idx="16">
                  <c:v>1522</c:v>
                </c:pt>
                <c:pt idx="17">
                  <c:v>109655</c:v>
                </c:pt>
                <c:pt idx="18">
                  <c:v>32578</c:v>
                </c:pt>
                <c:pt idx="19">
                  <c:v>95940</c:v>
                </c:pt>
                <c:pt idx="20">
                  <c:v>4657</c:v>
                </c:pt>
                <c:pt idx="21">
                  <c:v>299892</c:v>
                </c:pt>
                <c:pt idx="22">
                  <c:v>39533</c:v>
                </c:pt>
                <c:pt idx="23">
                  <c:v>65765</c:v>
                </c:pt>
                <c:pt idx="24">
                  <c:v>11761</c:v>
                </c:pt>
                <c:pt idx="25">
                  <c:v>117445</c:v>
                </c:pt>
                <c:pt idx="26">
                  <c:v>50004</c:v>
                </c:pt>
                <c:pt idx="27">
                  <c:v>92746</c:v>
                </c:pt>
                <c:pt idx="28">
                  <c:v>16939</c:v>
                </c:pt>
                <c:pt idx="29">
                  <c:v>138031</c:v>
                </c:pt>
                <c:pt idx="30">
                  <c:v>4557</c:v>
                </c:pt>
                <c:pt idx="31">
                  <c:v>23867</c:v>
                </c:pt>
                <c:pt idx="32">
                  <c:v>45201</c:v>
                </c:pt>
                <c:pt idx="33">
                  <c:v>237532</c:v>
                </c:pt>
                <c:pt idx="34">
                  <c:v>28584</c:v>
                </c:pt>
                <c:pt idx="35">
                  <c:v>148194</c:v>
                </c:pt>
                <c:pt idx="36">
                  <c:v>179807</c:v>
                </c:pt>
                <c:pt idx="37">
                  <c:v>384799</c:v>
                </c:pt>
                <c:pt idx="38">
                  <c:v>97035</c:v>
                </c:pt>
                <c:pt idx="39">
                  <c:v>141119</c:v>
                </c:pt>
                <c:pt idx="40">
                  <c:v>66098</c:v>
                </c:pt>
                <c:pt idx="41">
                  <c:v>688013</c:v>
                </c:pt>
                <c:pt idx="42">
                  <c:v>29125</c:v>
                </c:pt>
                <c:pt idx="43">
                  <c:v>122856</c:v>
                </c:pt>
                <c:pt idx="44">
                  <c:v>87612</c:v>
                </c:pt>
                <c:pt idx="45">
                  <c:v>266941</c:v>
                </c:pt>
                <c:pt idx="46">
                  <c:v>32570</c:v>
                </c:pt>
                <c:pt idx="47">
                  <c:v>24552</c:v>
                </c:pt>
                <c:pt idx="48">
                  <c:v>89858</c:v>
                </c:pt>
                <c:pt idx="49">
                  <c:v>170981</c:v>
                </c:pt>
                <c:pt idx="50">
                  <c:v>24637</c:v>
                </c:pt>
                <c:pt idx="51">
                  <c:v>13166</c:v>
                </c:pt>
                <c:pt idx="52">
                  <c:v>9281</c:v>
                </c:pt>
                <c:pt idx="53">
                  <c:v>98537</c:v>
                </c:pt>
                <c:pt idx="54">
                  <c:v>35816</c:v>
                </c:pt>
                <c:pt idx="55">
                  <c:v>5347</c:v>
                </c:pt>
                <c:pt idx="56">
                  <c:v>29867</c:v>
                </c:pt>
                <c:pt idx="57">
                  <c:v>45297</c:v>
                </c:pt>
                <c:pt idx="58">
                  <c:v>60262</c:v>
                </c:pt>
                <c:pt idx="59">
                  <c:v>757</c:v>
                </c:pt>
                <c:pt idx="60">
                  <c:v>26230</c:v>
                </c:pt>
                <c:pt idx="61">
                  <c:v>86262</c:v>
                </c:pt>
                <c:pt idx="62">
                  <c:v>68610</c:v>
                </c:pt>
                <c:pt idx="63">
                  <c:v>10087</c:v>
                </c:pt>
                <c:pt idx="64">
                  <c:v>8608</c:v>
                </c:pt>
                <c:pt idx="65">
                  <c:v>15423</c:v>
                </c:pt>
                <c:pt idx="66">
                  <c:v>48489</c:v>
                </c:pt>
                <c:pt idx="67">
                  <c:v>89</c:v>
                </c:pt>
                <c:pt idx="68">
                  <c:v>30</c:v>
                </c:pt>
                <c:pt idx="69">
                  <c:v>53932</c:v>
                </c:pt>
                <c:pt idx="70">
                  <c:v>24929</c:v>
                </c:pt>
                <c:pt idx="71">
                  <c:v>9819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F3-4F21-BAF4-3F34740F72C6}"/>
            </c:ext>
          </c:extLst>
        </c:ser>
        <c:ser>
          <c:idx val="1"/>
          <c:order val="1"/>
          <c:tx>
            <c:strRef>
              <c:f>Model!$AE$3</c:f>
              <c:strCache>
                <c:ptCount val="1"/>
                <c:pt idx="0">
                  <c:v>retro 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Model!$N$4:$N$75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Model!$AE$4:$AE$75</c:f>
              <c:numCache>
                <c:formatCode>General</c:formatCode>
                <c:ptCount val="72"/>
                <c:pt idx="0">
                  <c:v>30190.999999999996</c:v>
                </c:pt>
                <c:pt idx="1">
                  <c:v>154035.99999999997</c:v>
                </c:pt>
                <c:pt idx="2">
                  <c:v>35050</c:v>
                </c:pt>
                <c:pt idx="3">
                  <c:v>2159</c:v>
                </c:pt>
                <c:pt idx="4">
                  <c:v>25019.999999999989</c:v>
                </c:pt>
                <c:pt idx="5">
                  <c:v>234849.99999999997</c:v>
                </c:pt>
                <c:pt idx="6">
                  <c:v>38806.999999999993</c:v>
                </c:pt>
                <c:pt idx="7">
                  <c:v>2670</c:v>
                </c:pt>
                <c:pt idx="8">
                  <c:v>14446.999999999993</c:v>
                </c:pt>
                <c:pt idx="9">
                  <c:v>198920.99999999994</c:v>
                </c:pt>
                <c:pt idx="10">
                  <c:v>26715.999999999989</c:v>
                </c:pt>
                <c:pt idx="11">
                  <c:v>4607</c:v>
                </c:pt>
                <c:pt idx="12">
                  <c:v>2389.9999999999986</c:v>
                </c:pt>
                <c:pt idx="13">
                  <c:v>23044.999999999993</c:v>
                </c:pt>
                <c:pt idx="14">
                  <c:v>10829.999999999996</c:v>
                </c:pt>
                <c:pt idx="15">
                  <c:v>21044.000000000007</c:v>
                </c:pt>
                <c:pt idx="16">
                  <c:v>1521.999999999998</c:v>
                </c:pt>
                <c:pt idx="17">
                  <c:v>109654.99999999996</c:v>
                </c:pt>
                <c:pt idx="18">
                  <c:v>32577.999999999985</c:v>
                </c:pt>
                <c:pt idx="19">
                  <c:v>95939.999999999898</c:v>
                </c:pt>
                <c:pt idx="20">
                  <c:v>4656.9999999999936</c:v>
                </c:pt>
                <c:pt idx="21">
                  <c:v>299891.99999999994</c:v>
                </c:pt>
                <c:pt idx="22">
                  <c:v>39532.999999999862</c:v>
                </c:pt>
                <c:pt idx="23">
                  <c:v>65764.999999999942</c:v>
                </c:pt>
                <c:pt idx="24">
                  <c:v>11760.999999999985</c:v>
                </c:pt>
                <c:pt idx="25">
                  <c:v>117445.00000000003</c:v>
                </c:pt>
                <c:pt idx="26">
                  <c:v>50003.99999999984</c:v>
                </c:pt>
                <c:pt idx="27">
                  <c:v>92745.999999999942</c:v>
                </c:pt>
                <c:pt idx="28">
                  <c:v>16938.999999999978</c:v>
                </c:pt>
                <c:pt idx="29">
                  <c:v>138031.00000000003</c:v>
                </c:pt>
                <c:pt idx="30">
                  <c:v>4556.9999999999854</c:v>
                </c:pt>
                <c:pt idx="31">
                  <c:v>23866.999999999985</c:v>
                </c:pt>
                <c:pt idx="32">
                  <c:v>45200.559260578964</c:v>
                </c:pt>
                <c:pt idx="33">
                  <c:v>237532.00000000003</c:v>
                </c:pt>
                <c:pt idx="34">
                  <c:v>28583.999999999909</c:v>
                </c:pt>
                <c:pt idx="35">
                  <c:v>148193.99999999994</c:v>
                </c:pt>
                <c:pt idx="36">
                  <c:v>179805.17907529403</c:v>
                </c:pt>
                <c:pt idx="37">
                  <c:v>384799.00000000012</c:v>
                </c:pt>
                <c:pt idx="38">
                  <c:v>97477.550608221412</c:v>
                </c:pt>
                <c:pt idx="39">
                  <c:v>272267.2455827815</c:v>
                </c:pt>
                <c:pt idx="40">
                  <c:v>103148.36088455225</c:v>
                </c:pt>
                <c:pt idx="41">
                  <c:v>805452.65722470393</c:v>
                </c:pt>
                <c:pt idx="42">
                  <c:v>26013.122703339366</c:v>
                </c:pt>
                <c:pt idx="43">
                  <c:v>129385.71857189931</c:v>
                </c:pt>
                <c:pt idx="44">
                  <c:v>93774.742298373618</c:v>
                </c:pt>
                <c:pt idx="45">
                  <c:v>310331.8197064019</c:v>
                </c:pt>
                <c:pt idx="46">
                  <c:v>23675.816651740162</c:v>
                </c:pt>
                <c:pt idx="47">
                  <c:v>18829.08988031562</c:v>
                </c:pt>
                <c:pt idx="48">
                  <c:v>159742.75280570943</c:v>
                </c:pt>
                <c:pt idx="49">
                  <c:v>155920.78622694197</c:v>
                </c:pt>
                <c:pt idx="50">
                  <c:v>14775.983559809381</c:v>
                </c:pt>
                <c:pt idx="51">
                  <c:v>8308.2147572408303</c:v>
                </c:pt>
                <c:pt idx="52">
                  <c:v>15306.483793965095</c:v>
                </c:pt>
                <c:pt idx="53">
                  <c:v>72649.871866481612</c:v>
                </c:pt>
                <c:pt idx="54">
                  <c:v>17568.460157184934</c:v>
                </c:pt>
                <c:pt idx="55">
                  <c:v>2562.3071055427167</c:v>
                </c:pt>
                <c:pt idx="56">
                  <c:v>37159.645225477463</c:v>
                </c:pt>
                <c:pt idx="57">
                  <c:v>27611.263828414154</c:v>
                </c:pt>
                <c:pt idx="58">
                  <c:v>22411.239999330239</c:v>
                </c:pt>
                <c:pt idx="59">
                  <c:v>280.70364014167257</c:v>
                </c:pt>
                <c:pt idx="60">
                  <c:v>23555.807097850506</c:v>
                </c:pt>
                <c:pt idx="61">
                  <c:v>41038.439338808203</c:v>
                </c:pt>
                <c:pt idx="62">
                  <c:v>24538.332254953737</c:v>
                </c:pt>
                <c:pt idx="63">
                  <c:v>2697.1370116340886</c:v>
                </c:pt>
                <c:pt idx="64">
                  <c:v>6002.6027042963569</c:v>
                </c:pt>
                <c:pt idx="65">
                  <c:v>6631.2668619715241</c:v>
                </c:pt>
                <c:pt idx="66">
                  <c:v>14864.265008800559</c:v>
                </c:pt>
                <c:pt idx="67">
                  <c:v>17.096559383789526</c:v>
                </c:pt>
                <c:pt idx="68">
                  <c:v>14.841960885221701</c:v>
                </c:pt>
                <c:pt idx="69">
                  <c:v>16911.076533080297</c:v>
                </c:pt>
                <c:pt idx="70">
                  <c:v>5929.6316440331302</c:v>
                </c:pt>
                <c:pt idx="71">
                  <c:v>1357.2597059996265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F3-4F21-BAF4-3F34740F7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083280"/>
        <c:axId val="1623471120"/>
      </c:scatterChart>
      <c:valAx>
        <c:axId val="144408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471120"/>
        <c:crosses val="autoZero"/>
        <c:crossBetween val="midCat"/>
      </c:valAx>
      <c:valAx>
        <c:axId val="16234711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083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Ricker parameters by cycle line (1=1952)</a:t>
            </a:r>
          </a:p>
        </c:rich>
      </c:tx>
      <c:layout>
        <c:manualLayout>
          <c:xMode val="edge"/>
          <c:yMode val="edge"/>
          <c:x val="0.1410755679184052"/>
          <c:y val="8.3333333333333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Model!$AH$3</c:f>
              <c:strCache>
                <c:ptCount val="1"/>
                <c:pt idx="0">
                  <c:v>ar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9633374-22C3-4770-8109-9DD0EAFAB7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C7E-407C-8542-AF4987D9059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B06D0EB-9E5E-4C2F-AC07-D6B2C9AE94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C7E-407C-8542-AF4987D9059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3EB18B0-F70E-4A3F-8E25-71262B3F27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C7E-407C-8542-AF4987D9059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ED42DD2-ED0D-4CE9-9F60-DFA5C83539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C7E-407C-8542-AF4987D905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Model!$AI$2:$AL$2</c:f>
              <c:numCache>
                <c:formatCode>_(* #,##0_);_(* \(#,##0\);_(* "-"??_);_(@_)</c:formatCode>
                <c:ptCount val="4"/>
                <c:pt idx="0">
                  <c:v>38205.23529411765</c:v>
                </c:pt>
                <c:pt idx="1">
                  <c:v>192332.9411764706</c:v>
                </c:pt>
                <c:pt idx="2">
                  <c:v>39011.941176470587</c:v>
                </c:pt>
                <c:pt idx="3">
                  <c:v>48429.75</c:v>
                </c:pt>
              </c:numCache>
            </c:numRef>
          </c:xVal>
          <c:yVal>
            <c:numRef>
              <c:f>Model!$AI$3:$AL$3</c:f>
              <c:numCache>
                <c:formatCode>General</c:formatCode>
                <c:ptCount val="4"/>
                <c:pt idx="0">
                  <c:v>1.6763366529562145</c:v>
                </c:pt>
                <c:pt idx="1">
                  <c:v>1.2121712395792803</c:v>
                </c:pt>
                <c:pt idx="2">
                  <c:v>1.9284517261368515</c:v>
                </c:pt>
                <c:pt idx="3">
                  <c:v>1.8432436419201681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Model!$AI$1:$AL$1</c15:f>
                <c15:dlblRangeCache>
                  <c:ptCount val="4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9C7E-407C-8542-AF4987D90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8167408"/>
        <c:axId val="23983296"/>
      </c:scatterChart>
      <c:scatterChart>
        <c:scatterStyle val="lineMarker"/>
        <c:varyColors val="0"/>
        <c:ser>
          <c:idx val="1"/>
          <c:order val="1"/>
          <c:tx>
            <c:strRef>
              <c:f>Model!$AH$4</c:f>
              <c:strCache>
                <c:ptCount val="1"/>
                <c:pt idx="0">
                  <c:v>br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CC56554-83FA-46D5-AB9F-C147237D3F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C7E-407C-8542-AF4987D9059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4ECE019-5085-45E1-9AD1-913C8CCC72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C7E-407C-8542-AF4987D9059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BC7EFD8-1F89-4D34-93DF-344F48644C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C7E-407C-8542-AF4987D9059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825AE43-490F-4930-BBB9-88F8520C9D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C7E-407C-8542-AF4987D905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2.9507299070230964E-2"/>
                  <c:y val="1.797900262467276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Model!$AI$2:$AL$2</c:f>
              <c:numCache>
                <c:formatCode>_(* #,##0_);_(* \(#,##0\);_(* "-"??_);_(@_)</c:formatCode>
                <c:ptCount val="4"/>
                <c:pt idx="0">
                  <c:v>38205.23529411765</c:v>
                </c:pt>
                <c:pt idx="1">
                  <c:v>192332.9411764706</c:v>
                </c:pt>
                <c:pt idx="2">
                  <c:v>39011.941176470587</c:v>
                </c:pt>
                <c:pt idx="3">
                  <c:v>48429.75</c:v>
                </c:pt>
              </c:numCache>
            </c:numRef>
          </c:xVal>
          <c:yVal>
            <c:numRef>
              <c:f>Model!$AI$4:$AL$4</c:f>
              <c:numCache>
                <c:formatCode>General</c:formatCode>
                <c:ptCount val="4"/>
                <c:pt idx="0">
                  <c:v>7.6817815109813172E-6</c:v>
                </c:pt>
                <c:pt idx="1">
                  <c:v>7.7799468597037979E-7</c:v>
                </c:pt>
                <c:pt idx="2">
                  <c:v>1.6510805455059772E-5</c:v>
                </c:pt>
                <c:pt idx="3">
                  <c:v>8.8724465811606867E-6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Model!$AI$1:$AL$1</c15:f>
                <c15:dlblRangeCache>
                  <c:ptCount val="4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9C7E-407C-8542-AF4987D90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8136720"/>
        <c:axId val="788143792"/>
      </c:scatterChart>
      <c:valAx>
        <c:axId val="78816740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Sbar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83296"/>
        <c:crosses val="autoZero"/>
        <c:crossBetween val="midCat"/>
      </c:valAx>
      <c:valAx>
        <c:axId val="2398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167408"/>
        <c:crosses val="autoZero"/>
        <c:crossBetween val="midCat"/>
      </c:valAx>
      <c:valAx>
        <c:axId val="788143792"/>
        <c:scaling>
          <c:logBase val="10"/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136720"/>
        <c:crosses val="max"/>
        <c:crossBetween val="midCat"/>
      </c:valAx>
      <c:valAx>
        <c:axId val="788136720"/>
        <c:scaling>
          <c:logBase val="10"/>
          <c:orientation val="minMax"/>
        </c:scaling>
        <c:delete val="1"/>
        <c:axPos val="b"/>
        <c:numFmt formatCode="_(* #,##0_);_(* \(#,##0\);_(* &quot;-&quot;??_);_(@_)" sourceLinked="1"/>
        <c:majorTickMark val="out"/>
        <c:minorTickMark val="none"/>
        <c:tickLblPos val="nextTo"/>
        <c:crossAx val="788143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 R/S vs S for cycle line 4 (1955)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22B51E9-6909-45DB-A419-EAFE300143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A10-4B93-B6FE-340C6931F6B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167990A-2EF9-44A1-85BA-0FFE3BDE53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A10-4B93-B6FE-340C6931F6B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AA43829-F8FB-49BC-A228-19C70D36F8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A10-4B93-B6FE-340C6931F6B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93F3C4D-A320-4549-95BB-34983BF65F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A10-4B93-B6FE-340C6931F6B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F35E65B-3F91-4C7B-AF28-E7CBB2463D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A10-4B93-B6FE-340C6931F6B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220C172-F15F-4169-8A92-80C26B71A0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A10-4B93-B6FE-340C6931F6B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7C3AC08-4376-40B8-8A92-D4843A906D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A10-4B93-B6FE-340C6931F6B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FE3F8D5-0142-46A0-9D6C-928EF15023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A10-4B93-B6FE-340C6931F6B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F438F34-3311-4705-B98D-FFAB8D5CBA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A10-4B93-B6FE-340C6931F6B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967165F-3B69-4F1C-98B7-97A8FD0E00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A10-4B93-B6FE-340C6931F6B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4FC2B68-4E2E-4CB3-8E47-095B0AC444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A10-4B93-B6FE-340C6931F6B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FE89D36-8159-436E-B0F1-63DC1CF937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A10-4B93-B6FE-340C6931F6B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2DE789C-A158-4CB2-BE56-028165067F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A10-4B93-B6FE-340C6931F6B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8D08D5F-EABD-4EE7-8996-CC08A90C7D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A10-4B93-B6FE-340C6931F6B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66A0FCF-5700-464F-AE72-CA0D8790EF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A10-4B93-B6FE-340C6931F6B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1EBF340-39D7-47B0-924B-5AF900E36E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A10-4B93-B6FE-340C6931F6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Model!$AO$10:$AO$25</c:f>
              <c:numCache>
                <c:formatCode>General</c:formatCode>
                <c:ptCount val="16"/>
                <c:pt idx="0">
                  <c:v>2159</c:v>
                </c:pt>
                <c:pt idx="1">
                  <c:v>2670</c:v>
                </c:pt>
                <c:pt idx="2">
                  <c:v>4607</c:v>
                </c:pt>
                <c:pt idx="3">
                  <c:v>21044</c:v>
                </c:pt>
                <c:pt idx="4">
                  <c:v>95940</c:v>
                </c:pt>
                <c:pt idx="5">
                  <c:v>65765</c:v>
                </c:pt>
                <c:pt idx="6">
                  <c:v>92746</c:v>
                </c:pt>
                <c:pt idx="7">
                  <c:v>23867</c:v>
                </c:pt>
                <c:pt idx="8">
                  <c:v>148194</c:v>
                </c:pt>
                <c:pt idx="9">
                  <c:v>141119</c:v>
                </c:pt>
                <c:pt idx="10">
                  <c:v>122856</c:v>
                </c:pt>
                <c:pt idx="11">
                  <c:v>24552</c:v>
                </c:pt>
                <c:pt idx="12">
                  <c:v>13166</c:v>
                </c:pt>
                <c:pt idx="13">
                  <c:v>5347</c:v>
                </c:pt>
                <c:pt idx="14">
                  <c:v>757</c:v>
                </c:pt>
                <c:pt idx="15">
                  <c:v>10087</c:v>
                </c:pt>
              </c:numCache>
            </c:numRef>
          </c:xVal>
          <c:yVal>
            <c:numRef>
              <c:f>Model!$AP$10:$AP$25</c:f>
              <c:numCache>
                <c:formatCode>General</c:formatCode>
                <c:ptCount val="16"/>
                <c:pt idx="0">
                  <c:v>1.3320469990819854</c:v>
                </c:pt>
                <c:pt idx="1">
                  <c:v>1.7208251745371728</c:v>
                </c:pt>
                <c:pt idx="2">
                  <c:v>3.0728118872772812</c:v>
                </c:pt>
                <c:pt idx="3">
                  <c:v>2.7407664426638623</c:v>
                </c:pt>
                <c:pt idx="4">
                  <c:v>1.4912443797773771</c:v>
                </c:pt>
                <c:pt idx="5">
                  <c:v>1.3464673667470295</c:v>
                </c:pt>
                <c:pt idx="6">
                  <c:v>0.21330077726690147</c:v>
                </c:pt>
                <c:pt idx="7">
                  <c:v>2.078283415408968</c:v>
                </c:pt>
                <c:pt idx="8">
                  <c:v>1.3692703711488139</c:v>
                </c:pt>
                <c:pt idx="9">
                  <c:v>0.36410480983811</c:v>
                </c:pt>
                <c:pt idx="10">
                  <c:v>0.3833706725390657</c:v>
                </c:pt>
                <c:pt idx="11">
                  <c:v>0.17049453393857641</c:v>
                </c:pt>
                <c:pt idx="12">
                  <c:v>0.20873059660246795</c:v>
                </c:pt>
                <c:pt idx="13">
                  <c:v>1.5515377412556484</c:v>
                </c:pt>
                <c:pt idx="14">
                  <c:v>3.6366819061955673</c:v>
                </c:pt>
                <c:pt idx="15">
                  <c:v>0.93691527942039521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Model!$AH$10:$AH$26</c15:f>
                <c15:dlblRangeCache>
                  <c:ptCount val="17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AA10-4B93-B6FE-340C6931F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304416"/>
        <c:axId val="9601952"/>
      </c:scatterChart>
      <c:valAx>
        <c:axId val="92830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1952"/>
        <c:crosses val="autoZero"/>
        <c:crossBetween val="midCat"/>
      </c:valAx>
      <c:valAx>
        <c:axId val="960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lnR/S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30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 4 time pattern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Model!$AO$9</c:f>
              <c:strCache>
                <c:ptCount val="1"/>
                <c:pt idx="0">
                  <c:v>S line 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Model!$AH$10:$AH$25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Model!$AO$10:$AO$25</c:f>
              <c:numCache>
                <c:formatCode>General</c:formatCode>
                <c:ptCount val="16"/>
                <c:pt idx="0">
                  <c:v>2159</c:v>
                </c:pt>
                <c:pt idx="1">
                  <c:v>2670</c:v>
                </c:pt>
                <c:pt idx="2">
                  <c:v>4607</c:v>
                </c:pt>
                <c:pt idx="3">
                  <c:v>21044</c:v>
                </c:pt>
                <c:pt idx="4">
                  <c:v>95940</c:v>
                </c:pt>
                <c:pt idx="5">
                  <c:v>65765</c:v>
                </c:pt>
                <c:pt idx="6">
                  <c:v>92746</c:v>
                </c:pt>
                <c:pt idx="7">
                  <c:v>23867</c:v>
                </c:pt>
                <c:pt idx="8">
                  <c:v>148194</c:v>
                </c:pt>
                <c:pt idx="9">
                  <c:v>141119</c:v>
                </c:pt>
                <c:pt idx="10">
                  <c:v>122856</c:v>
                </c:pt>
                <c:pt idx="11">
                  <c:v>24552</c:v>
                </c:pt>
                <c:pt idx="12">
                  <c:v>13166</c:v>
                </c:pt>
                <c:pt idx="13">
                  <c:v>5347</c:v>
                </c:pt>
                <c:pt idx="14">
                  <c:v>757</c:v>
                </c:pt>
                <c:pt idx="15">
                  <c:v>10087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EE-4529-83D2-C4DA8495A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321152"/>
        <c:axId val="619037008"/>
      </c:scatterChart>
      <c:scatterChart>
        <c:scatterStyle val="lineMarker"/>
        <c:varyColors val="0"/>
        <c:ser>
          <c:idx val="1"/>
          <c:order val="1"/>
          <c:tx>
            <c:strRef>
              <c:f>Model!$AP$9</c:f>
              <c:strCache>
                <c:ptCount val="1"/>
                <c:pt idx="0">
                  <c:v>lnr/s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Model!$AH$10:$AH$25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Model!$AP$10:$AP$25</c:f>
              <c:numCache>
                <c:formatCode>General</c:formatCode>
                <c:ptCount val="16"/>
                <c:pt idx="0">
                  <c:v>1.3320469990819854</c:v>
                </c:pt>
                <c:pt idx="1">
                  <c:v>1.7208251745371728</c:v>
                </c:pt>
                <c:pt idx="2">
                  <c:v>3.0728118872772812</c:v>
                </c:pt>
                <c:pt idx="3">
                  <c:v>2.7407664426638623</c:v>
                </c:pt>
                <c:pt idx="4">
                  <c:v>1.4912443797773771</c:v>
                </c:pt>
                <c:pt idx="5">
                  <c:v>1.3464673667470295</c:v>
                </c:pt>
                <c:pt idx="6">
                  <c:v>0.21330077726690147</c:v>
                </c:pt>
                <c:pt idx="7">
                  <c:v>2.078283415408968</c:v>
                </c:pt>
                <c:pt idx="8">
                  <c:v>1.3692703711488139</c:v>
                </c:pt>
                <c:pt idx="9">
                  <c:v>0.36410480983811</c:v>
                </c:pt>
                <c:pt idx="10">
                  <c:v>0.3833706725390657</c:v>
                </c:pt>
                <c:pt idx="11">
                  <c:v>0.17049453393857641</c:v>
                </c:pt>
                <c:pt idx="12">
                  <c:v>0.20873059660246795</c:v>
                </c:pt>
                <c:pt idx="13">
                  <c:v>1.5515377412556484</c:v>
                </c:pt>
                <c:pt idx="14">
                  <c:v>3.6366819061955673</c:v>
                </c:pt>
                <c:pt idx="15">
                  <c:v>0.93691527942039521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EE-4529-83D2-C4DA8495A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029104"/>
        <c:axId val="619028688"/>
      </c:scatterChart>
      <c:valAx>
        <c:axId val="62332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37008"/>
        <c:crosses val="autoZero"/>
        <c:crossBetween val="midCat"/>
      </c:valAx>
      <c:valAx>
        <c:axId val="61903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Spawners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321152"/>
        <c:crosses val="autoZero"/>
        <c:crossBetween val="midCat"/>
      </c:valAx>
      <c:valAx>
        <c:axId val="6190286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lnR/S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29104"/>
        <c:crosses val="max"/>
        <c:crossBetween val="midCat"/>
      </c:valAx>
      <c:valAx>
        <c:axId val="619029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9028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 3 time pattern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Model!$AM$9</c:f>
              <c:strCache>
                <c:ptCount val="1"/>
                <c:pt idx="0">
                  <c:v>S line 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Model!$AH$10:$AH$25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Model!$AM$10:$AM$25</c:f>
              <c:numCache>
                <c:formatCode>General</c:formatCode>
                <c:ptCount val="16"/>
                <c:pt idx="0">
                  <c:v>35050</c:v>
                </c:pt>
                <c:pt idx="1">
                  <c:v>38807</c:v>
                </c:pt>
                <c:pt idx="2">
                  <c:v>26716</c:v>
                </c:pt>
                <c:pt idx="3">
                  <c:v>10830</c:v>
                </c:pt>
                <c:pt idx="4">
                  <c:v>32578</c:v>
                </c:pt>
                <c:pt idx="5">
                  <c:v>39533</c:v>
                </c:pt>
                <c:pt idx="6">
                  <c:v>50004</c:v>
                </c:pt>
                <c:pt idx="7">
                  <c:v>4557</c:v>
                </c:pt>
                <c:pt idx="8">
                  <c:v>28584</c:v>
                </c:pt>
                <c:pt idx="9">
                  <c:v>97035</c:v>
                </c:pt>
                <c:pt idx="10">
                  <c:v>29125</c:v>
                </c:pt>
                <c:pt idx="11">
                  <c:v>32570</c:v>
                </c:pt>
                <c:pt idx="12">
                  <c:v>24637</c:v>
                </c:pt>
                <c:pt idx="13">
                  <c:v>35816</c:v>
                </c:pt>
                <c:pt idx="14">
                  <c:v>60262</c:v>
                </c:pt>
                <c:pt idx="15">
                  <c:v>68610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22-419A-85F3-A815EE2E5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321152"/>
        <c:axId val="619037008"/>
      </c:scatterChart>
      <c:scatterChart>
        <c:scatterStyle val="lineMarker"/>
        <c:varyColors val="0"/>
        <c:ser>
          <c:idx val="1"/>
          <c:order val="1"/>
          <c:tx>
            <c:strRef>
              <c:f>Model!$AN$9</c:f>
              <c:strCache>
                <c:ptCount val="1"/>
                <c:pt idx="0">
                  <c:v>lnr/s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Model!$AH$10:$AH$25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Model!$AN$10:$AN$25</c:f>
              <c:numCache>
                <c:formatCode>General</c:formatCode>
                <c:ptCount val="16"/>
                <c:pt idx="0">
                  <c:v>1.5037476546696587</c:v>
                </c:pt>
                <c:pt idx="1">
                  <c:v>1.028444417644522</c:v>
                </c:pt>
                <c:pt idx="2">
                  <c:v>0.97816344057438731</c:v>
                </c:pt>
                <c:pt idx="3">
                  <c:v>2.0365325949038908</c:v>
                </c:pt>
                <c:pt idx="4">
                  <c:v>1.7481235966117361</c:v>
                </c:pt>
                <c:pt idx="5">
                  <c:v>1.569825146114441</c:v>
                </c:pt>
                <c:pt idx="6">
                  <c:v>0.84782910531217082</c:v>
                </c:pt>
                <c:pt idx="7">
                  <c:v>2.2748392173971359</c:v>
                </c:pt>
                <c:pt idx="8">
                  <c:v>1.900807551920735</c:v>
                </c:pt>
                <c:pt idx="9">
                  <c:v>0.80917558751870933</c:v>
                </c:pt>
                <c:pt idx="10">
                  <c:v>1.8994366127349733</c:v>
                </c:pt>
                <c:pt idx="11">
                  <c:v>0.64582124937384811</c:v>
                </c:pt>
                <c:pt idx="12">
                  <c:v>0.81346608798012998</c:v>
                </c:pt>
                <c:pt idx="13">
                  <c:v>1.0483803888018113</c:v>
                </c:pt>
                <c:pt idx="14">
                  <c:v>0.74898317631804801</c:v>
                </c:pt>
                <c:pt idx="15">
                  <c:v>0.31981227046095567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22-419A-85F3-A815EE2E5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029104"/>
        <c:axId val="619028688"/>
      </c:scatterChart>
      <c:valAx>
        <c:axId val="62332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37008"/>
        <c:crosses val="autoZero"/>
        <c:crossBetween val="midCat"/>
      </c:valAx>
      <c:valAx>
        <c:axId val="61903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Spawners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321152"/>
        <c:crosses val="autoZero"/>
        <c:crossBetween val="midCat"/>
      </c:valAx>
      <c:valAx>
        <c:axId val="6190286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lnR/S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29104"/>
        <c:crosses val="max"/>
        <c:crossBetween val="midCat"/>
      </c:valAx>
      <c:valAx>
        <c:axId val="619029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9028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 R/S vs S for cycle line 3 (1954)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30FF339-7C66-4BFB-8FCD-3B1EB5C4EA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685-4053-BB46-C808421685C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FB3DC89-EEFA-408D-AD0B-FB15F029B8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685-4053-BB46-C808421685C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FF8566B-54D0-4789-82EA-F3137E7F23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685-4053-BB46-C808421685C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C324D61-F2C2-4033-A00C-D040D02452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685-4053-BB46-C808421685C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8CCD07E-69C1-4B02-8F8E-52A773DC9A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685-4053-BB46-C808421685C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FA4E2F2-9EE9-4DE3-8421-60C621AB69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685-4053-BB46-C808421685C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7635BE6-37A1-49A8-A848-E658FC09CC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685-4053-BB46-C808421685C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F7138D7-290C-4A0F-8CFE-A69C645137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685-4053-BB46-C808421685C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D83277C-922C-4833-97AA-CC960EBD8C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685-4053-BB46-C808421685C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B030A12-3A9C-4A19-8689-AA5EC0EF80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685-4053-BB46-C808421685C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E75F26C-96DD-409D-83B6-8573AD1792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685-4053-BB46-C808421685C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066633B-607F-4DE8-BCE6-BE5005676D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685-4053-BB46-C808421685C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6FBAABF-9B0D-46F0-8683-860A478648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685-4053-BB46-C808421685C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3A70CD6-3557-40AB-936E-02B9D5FC82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685-4053-BB46-C808421685C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6B5B114-14B5-4C93-B0D7-87075BF54B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685-4053-BB46-C808421685C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3B15B63-C527-4FB1-BE15-AAD952CD0A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685-4053-BB46-C808421685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Model!$AM$10:$AM$25</c:f>
              <c:numCache>
                <c:formatCode>General</c:formatCode>
                <c:ptCount val="16"/>
                <c:pt idx="0">
                  <c:v>35050</c:v>
                </c:pt>
                <c:pt idx="1">
                  <c:v>38807</c:v>
                </c:pt>
                <c:pt idx="2">
                  <c:v>26716</c:v>
                </c:pt>
                <c:pt idx="3">
                  <c:v>10830</c:v>
                </c:pt>
                <c:pt idx="4">
                  <c:v>32578</c:v>
                </c:pt>
                <c:pt idx="5">
                  <c:v>39533</c:v>
                </c:pt>
                <c:pt idx="6">
                  <c:v>50004</c:v>
                </c:pt>
                <c:pt idx="7">
                  <c:v>4557</c:v>
                </c:pt>
                <c:pt idx="8">
                  <c:v>28584</c:v>
                </c:pt>
                <c:pt idx="9">
                  <c:v>97035</c:v>
                </c:pt>
                <c:pt idx="10">
                  <c:v>29125</c:v>
                </c:pt>
                <c:pt idx="11">
                  <c:v>32570</c:v>
                </c:pt>
                <c:pt idx="12">
                  <c:v>24637</c:v>
                </c:pt>
                <c:pt idx="13">
                  <c:v>35816</c:v>
                </c:pt>
                <c:pt idx="14">
                  <c:v>60262</c:v>
                </c:pt>
                <c:pt idx="15">
                  <c:v>68610</c:v>
                </c:pt>
              </c:numCache>
            </c:numRef>
          </c:xVal>
          <c:yVal>
            <c:numRef>
              <c:f>Model!$AN$10:$AN$25</c:f>
              <c:numCache>
                <c:formatCode>General</c:formatCode>
                <c:ptCount val="16"/>
                <c:pt idx="0">
                  <c:v>1.5037476546696587</c:v>
                </c:pt>
                <c:pt idx="1">
                  <c:v>1.028444417644522</c:v>
                </c:pt>
                <c:pt idx="2">
                  <c:v>0.97816344057438731</c:v>
                </c:pt>
                <c:pt idx="3">
                  <c:v>2.0365325949038908</c:v>
                </c:pt>
                <c:pt idx="4">
                  <c:v>1.7481235966117361</c:v>
                </c:pt>
                <c:pt idx="5">
                  <c:v>1.569825146114441</c:v>
                </c:pt>
                <c:pt idx="6">
                  <c:v>0.84782910531217082</c:v>
                </c:pt>
                <c:pt idx="7">
                  <c:v>2.2748392173971359</c:v>
                </c:pt>
                <c:pt idx="8">
                  <c:v>1.900807551920735</c:v>
                </c:pt>
                <c:pt idx="9">
                  <c:v>0.80917558751870933</c:v>
                </c:pt>
                <c:pt idx="10">
                  <c:v>1.8994366127349733</c:v>
                </c:pt>
                <c:pt idx="11">
                  <c:v>0.64582124937384811</c:v>
                </c:pt>
                <c:pt idx="12">
                  <c:v>0.81346608798012998</c:v>
                </c:pt>
                <c:pt idx="13">
                  <c:v>1.0483803888018113</c:v>
                </c:pt>
                <c:pt idx="14">
                  <c:v>0.74898317631804801</c:v>
                </c:pt>
                <c:pt idx="15">
                  <c:v>0.31981227046095567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Model!$AH$10:$AH$26</c15:f>
                <c15:dlblRangeCache>
                  <c:ptCount val="17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1685-4053-BB46-C80842168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304416"/>
        <c:axId val="9601952"/>
      </c:scatterChart>
      <c:valAx>
        <c:axId val="92830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1952"/>
        <c:crosses val="autoZero"/>
        <c:crossBetween val="midCat"/>
      </c:valAx>
      <c:valAx>
        <c:axId val="960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lnR/S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30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 (ar/br)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Model!$AH$5</c:f>
              <c:strCache>
                <c:ptCount val="1"/>
                <c:pt idx="0">
                  <c:v>Ro (ar/br)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EDB0F83-B9B1-4C8A-AD56-0997726746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65A-4B34-92C7-E594F75E83C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38D8EC1-85C6-471F-80BE-11925CF82B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65A-4B34-92C7-E594F75E83C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18CCE98-E0BC-427D-8D22-8721907C4F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65A-4B34-92C7-E594F75E83C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79F7A30-C30C-4A9A-A17D-7077A65F9C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65A-4B34-92C7-E594F75E83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3.1517716535433074E-2"/>
                  <c:y val="1.443824730242053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Model!$AI$2:$AL$2</c:f>
              <c:numCache>
                <c:formatCode>_(* #,##0_);_(* \(#,##0\);_(* "-"??_);_(@_)</c:formatCode>
                <c:ptCount val="4"/>
                <c:pt idx="0">
                  <c:v>38205.23529411765</c:v>
                </c:pt>
                <c:pt idx="1">
                  <c:v>192332.9411764706</c:v>
                </c:pt>
                <c:pt idx="2">
                  <c:v>39011.941176470587</c:v>
                </c:pt>
                <c:pt idx="3">
                  <c:v>48429.75</c:v>
                </c:pt>
              </c:numCache>
            </c:numRef>
          </c:xVal>
          <c:yVal>
            <c:numRef>
              <c:f>Model!$AI$5:$AL$5</c:f>
              <c:numCache>
                <c:formatCode>_(* #,##0_);_(* \(#,##0\);_(* "-"??_);_(@_)</c:formatCode>
                <c:ptCount val="4"/>
                <c:pt idx="0">
                  <c:v>218222.3811702852</c:v>
                </c:pt>
                <c:pt idx="1">
                  <c:v>1558071.361460984</c:v>
                </c:pt>
                <c:pt idx="2">
                  <c:v>116799.37307636758</c:v>
                </c:pt>
                <c:pt idx="3">
                  <c:v>207749.19578935762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Model!$AI$1:$AL$1</c15:f>
                <c15:dlblRangeCache>
                  <c:ptCount val="4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065A-4B34-92C7-E594F75E8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416832"/>
        <c:axId val="109690832"/>
      </c:scatterChart>
      <c:valAx>
        <c:axId val="27741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Sbar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90832"/>
        <c:crosses val="autoZero"/>
        <c:crossBetween val="midCat"/>
      </c:valAx>
      <c:valAx>
        <c:axId val="10969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So(ar/br)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416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Spawning stocks by cycle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Model!$AI$9</c:f>
              <c:strCache>
                <c:ptCount val="1"/>
                <c:pt idx="0">
                  <c:v>S line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Model!$AI$10:$AI$26</c:f>
              <c:numCache>
                <c:formatCode>General</c:formatCode>
                <c:ptCount val="17"/>
                <c:pt idx="0">
                  <c:v>30191</c:v>
                </c:pt>
                <c:pt idx="1">
                  <c:v>25020</c:v>
                </c:pt>
                <c:pt idx="2">
                  <c:v>14447</c:v>
                </c:pt>
                <c:pt idx="3">
                  <c:v>2390</c:v>
                </c:pt>
                <c:pt idx="4">
                  <c:v>1522</c:v>
                </c:pt>
                <c:pt idx="5">
                  <c:v>4657</c:v>
                </c:pt>
                <c:pt idx="6">
                  <c:v>11761</c:v>
                </c:pt>
                <c:pt idx="7">
                  <c:v>16939</c:v>
                </c:pt>
                <c:pt idx="8">
                  <c:v>45201</c:v>
                </c:pt>
                <c:pt idx="9">
                  <c:v>179807</c:v>
                </c:pt>
                <c:pt idx="10">
                  <c:v>66098</c:v>
                </c:pt>
                <c:pt idx="11">
                  <c:v>87612</c:v>
                </c:pt>
                <c:pt idx="12">
                  <c:v>89858</c:v>
                </c:pt>
                <c:pt idx="13">
                  <c:v>9281</c:v>
                </c:pt>
                <c:pt idx="14">
                  <c:v>29867</c:v>
                </c:pt>
                <c:pt idx="15">
                  <c:v>26230</c:v>
                </c:pt>
                <c:pt idx="16">
                  <c:v>8608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A1-44DE-A9D1-A1847AF8F31C}"/>
            </c:ext>
          </c:extLst>
        </c:ser>
        <c:ser>
          <c:idx val="1"/>
          <c:order val="1"/>
          <c:tx>
            <c:strRef>
              <c:f>Model!$AK$9</c:f>
              <c:strCache>
                <c:ptCount val="1"/>
                <c:pt idx="0">
                  <c:v>S line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Model!$AK$10:$AK$26</c:f>
              <c:numCache>
                <c:formatCode>General</c:formatCode>
                <c:ptCount val="17"/>
                <c:pt idx="0">
                  <c:v>154036</c:v>
                </c:pt>
                <c:pt idx="1">
                  <c:v>234850</c:v>
                </c:pt>
                <c:pt idx="2">
                  <c:v>198921</c:v>
                </c:pt>
                <c:pt idx="3">
                  <c:v>23045</c:v>
                </c:pt>
                <c:pt idx="4">
                  <c:v>109655</c:v>
                </c:pt>
                <c:pt idx="5">
                  <c:v>299892</c:v>
                </c:pt>
                <c:pt idx="6">
                  <c:v>117445</c:v>
                </c:pt>
                <c:pt idx="7">
                  <c:v>138031</c:v>
                </c:pt>
                <c:pt idx="8">
                  <c:v>237532</c:v>
                </c:pt>
                <c:pt idx="9">
                  <c:v>384799</c:v>
                </c:pt>
                <c:pt idx="10">
                  <c:v>688013</c:v>
                </c:pt>
                <c:pt idx="11">
                  <c:v>266941</c:v>
                </c:pt>
                <c:pt idx="12">
                  <c:v>170981</c:v>
                </c:pt>
                <c:pt idx="13">
                  <c:v>98537</c:v>
                </c:pt>
                <c:pt idx="14">
                  <c:v>45297</c:v>
                </c:pt>
                <c:pt idx="15">
                  <c:v>86262</c:v>
                </c:pt>
                <c:pt idx="16">
                  <c:v>15423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A1-44DE-A9D1-A1847AF8F31C}"/>
            </c:ext>
          </c:extLst>
        </c:ser>
        <c:ser>
          <c:idx val="2"/>
          <c:order val="2"/>
          <c:tx>
            <c:strRef>
              <c:f>Model!$AM$9</c:f>
              <c:strCache>
                <c:ptCount val="1"/>
                <c:pt idx="0">
                  <c:v>S line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Model!$AM$10:$AM$26</c:f>
              <c:numCache>
                <c:formatCode>General</c:formatCode>
                <c:ptCount val="17"/>
                <c:pt idx="0">
                  <c:v>35050</c:v>
                </c:pt>
                <c:pt idx="1">
                  <c:v>38807</c:v>
                </c:pt>
                <c:pt idx="2">
                  <c:v>26716</c:v>
                </c:pt>
                <c:pt idx="3">
                  <c:v>10830</c:v>
                </c:pt>
                <c:pt idx="4">
                  <c:v>32578</c:v>
                </c:pt>
                <c:pt idx="5">
                  <c:v>39533</c:v>
                </c:pt>
                <c:pt idx="6">
                  <c:v>50004</c:v>
                </c:pt>
                <c:pt idx="7">
                  <c:v>4557</c:v>
                </c:pt>
                <c:pt idx="8">
                  <c:v>28584</c:v>
                </c:pt>
                <c:pt idx="9">
                  <c:v>97035</c:v>
                </c:pt>
                <c:pt idx="10">
                  <c:v>29125</c:v>
                </c:pt>
                <c:pt idx="11">
                  <c:v>32570</c:v>
                </c:pt>
                <c:pt idx="12">
                  <c:v>24637</c:v>
                </c:pt>
                <c:pt idx="13">
                  <c:v>35816</c:v>
                </c:pt>
                <c:pt idx="14">
                  <c:v>60262</c:v>
                </c:pt>
                <c:pt idx="15">
                  <c:v>68610</c:v>
                </c:pt>
                <c:pt idx="16">
                  <c:v>48489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A1-44DE-A9D1-A1847AF8F31C}"/>
            </c:ext>
          </c:extLst>
        </c:ser>
        <c:ser>
          <c:idx val="3"/>
          <c:order val="3"/>
          <c:tx>
            <c:strRef>
              <c:f>Model!$AO$9</c:f>
              <c:strCache>
                <c:ptCount val="1"/>
                <c:pt idx="0">
                  <c:v>S line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Model!$AO$10:$AO$26</c:f>
              <c:numCache>
                <c:formatCode>General</c:formatCode>
                <c:ptCount val="17"/>
                <c:pt idx="0">
                  <c:v>2159</c:v>
                </c:pt>
                <c:pt idx="1">
                  <c:v>2670</c:v>
                </c:pt>
                <c:pt idx="2">
                  <c:v>4607</c:v>
                </c:pt>
                <c:pt idx="3">
                  <c:v>21044</c:v>
                </c:pt>
                <c:pt idx="4">
                  <c:v>95940</c:v>
                </c:pt>
                <c:pt idx="5">
                  <c:v>65765</c:v>
                </c:pt>
                <c:pt idx="6">
                  <c:v>92746</c:v>
                </c:pt>
                <c:pt idx="7">
                  <c:v>23867</c:v>
                </c:pt>
                <c:pt idx="8">
                  <c:v>148194</c:v>
                </c:pt>
                <c:pt idx="9">
                  <c:v>141119</c:v>
                </c:pt>
                <c:pt idx="10">
                  <c:v>122856</c:v>
                </c:pt>
                <c:pt idx="11">
                  <c:v>24552</c:v>
                </c:pt>
                <c:pt idx="12">
                  <c:v>13166</c:v>
                </c:pt>
                <c:pt idx="13">
                  <c:v>5347</c:v>
                </c:pt>
                <c:pt idx="14">
                  <c:v>757</c:v>
                </c:pt>
                <c:pt idx="15">
                  <c:v>10087</c:v>
                </c:pt>
                <c:pt idx="16">
                  <c:v>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A1-44DE-A9D1-A1847AF8F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99760"/>
        <c:axId val="429864096"/>
      </c:scatterChart>
      <c:valAx>
        <c:axId val="16139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864096"/>
        <c:crosses val="autoZero"/>
        <c:crossBetween val="midCat"/>
      </c:valAx>
      <c:valAx>
        <c:axId val="42986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99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 b (a-ybar)/Sbar versus regression</a:t>
            </a:r>
            <a:r>
              <a:rPr lang="en-US" baseline="0"/>
              <a:t> 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Model!$AH$6</c:f>
              <c:strCache>
                <c:ptCount val="1"/>
                <c:pt idx="0">
                  <c:v>app b (a-ybar)/Sbar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Model!$AI$4:$AL$4</c:f>
              <c:numCache>
                <c:formatCode>General</c:formatCode>
                <c:ptCount val="4"/>
                <c:pt idx="0">
                  <c:v>7.6817815109813172E-6</c:v>
                </c:pt>
                <c:pt idx="1">
                  <c:v>7.7799468597037979E-7</c:v>
                </c:pt>
                <c:pt idx="2">
                  <c:v>1.6510805455059772E-5</c:v>
                </c:pt>
                <c:pt idx="3">
                  <c:v>8.8724465811606867E-6</c:v>
                </c:pt>
              </c:numCache>
            </c:numRef>
          </c:xVal>
          <c:yVal>
            <c:numRef>
              <c:f>Model!$AI$6:$AL$6</c:f>
              <c:numCache>
                <c:formatCode>0.00E+00</c:formatCode>
                <c:ptCount val="4"/>
                <c:pt idx="0">
                  <c:v>7.6817815109813155E-6</c:v>
                </c:pt>
                <c:pt idx="1">
                  <c:v>7.7799468597037989E-7</c:v>
                </c:pt>
                <c:pt idx="2">
                  <c:v>1.6510805455059769E-5</c:v>
                </c:pt>
                <c:pt idx="3">
                  <c:v>3.663470568144587E-6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44-4885-AFAE-2723354BA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736784"/>
        <c:axId val="1433227136"/>
      </c:scatterChart>
      <c:valAx>
        <c:axId val="145373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regression 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227136"/>
        <c:crosses val="autoZero"/>
        <c:crossBetween val="midCat"/>
      </c:valAx>
      <c:valAx>
        <c:axId val="143322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(a-ybar)/Sbar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36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chart" Target="../charts/chart4.xml"/><Relationship Id="rId15" Type="http://schemas.openxmlformats.org/officeDocument/2006/relationships/chart" Target="../charts/chart1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Relationship Id="rId1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1670685</xdr:colOff>
      <xdr:row>36</xdr:row>
      <xdr:rowOff>49530</xdr:rowOff>
    </xdr:from>
    <xdr:to>
      <xdr:col>8</xdr:col>
      <xdr:colOff>120015</xdr:colOff>
      <xdr:row>51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EC5648-827B-4FA2-9B9F-23766E6D4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60960</xdr:rowOff>
    </xdr:from>
    <xdr:to>
      <xdr:col>3</xdr:col>
      <xdr:colOff>304800</xdr:colOff>
      <xdr:row>26</xdr:row>
      <xdr:rowOff>87630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542D2B0-C311-48A1-A594-823E2B4D1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4320"/>
          <a:ext cx="4217670" cy="758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2465070</xdr:colOff>
      <xdr:row>3</xdr:row>
      <xdr:rowOff>156210</xdr:rowOff>
    </xdr:from>
    <xdr:to>
      <xdr:col>9</xdr:col>
      <xdr:colOff>388620</xdr:colOff>
      <xdr:row>28</xdr:row>
      <xdr:rowOff>60960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ABB276ED-6B5B-484A-B090-E51D28917878}"/>
            </a:ext>
          </a:extLst>
        </xdr:cNvPr>
        <xdr:cNvGrpSpPr/>
      </xdr:nvGrpSpPr>
      <xdr:grpSpPr>
        <a:xfrm>
          <a:off x="6377940" y="704850"/>
          <a:ext cx="11258550" cy="4476750"/>
          <a:chOff x="3638550" y="777240"/>
          <a:chExt cx="9963150" cy="447675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F7AD0959-0CBD-4DDA-893A-5AF3E3750C32}"/>
              </a:ext>
            </a:extLst>
          </xdr:cNvPr>
          <xdr:cNvGraphicFramePr/>
        </xdr:nvGraphicFramePr>
        <xdr:xfrm>
          <a:off x="10382250" y="822960"/>
          <a:ext cx="3219450" cy="22212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92CC32AB-6127-448E-ADC8-7295663BA082}"/>
              </a:ext>
            </a:extLst>
          </xdr:cNvPr>
          <xdr:cNvGraphicFramePr/>
        </xdr:nvGraphicFramePr>
        <xdr:xfrm>
          <a:off x="10416540" y="3074670"/>
          <a:ext cx="3173730" cy="21793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230FB0E6-5DA3-4ACC-ACFC-8068EC508E4C}"/>
              </a:ext>
            </a:extLst>
          </xdr:cNvPr>
          <xdr:cNvGraphicFramePr/>
        </xdr:nvGraphicFramePr>
        <xdr:xfrm>
          <a:off x="7216140" y="777240"/>
          <a:ext cx="3169920" cy="22555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5C4074BE-FD1F-4D8C-A872-0DA2BEAFD86F}"/>
              </a:ext>
            </a:extLst>
          </xdr:cNvPr>
          <xdr:cNvGraphicFramePr/>
        </xdr:nvGraphicFramePr>
        <xdr:xfrm>
          <a:off x="3714750" y="781050"/>
          <a:ext cx="3520440" cy="225171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D8CECA89-85D0-4B3C-8B36-83526E1F5ED5}"/>
              </a:ext>
            </a:extLst>
          </xdr:cNvPr>
          <xdr:cNvGraphicFramePr/>
        </xdr:nvGraphicFramePr>
        <xdr:xfrm>
          <a:off x="7204710" y="3067050"/>
          <a:ext cx="3082290" cy="21831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89AACD74-2EEB-4DB1-ACB8-09C81D55BF2E}"/>
              </a:ext>
            </a:extLst>
          </xdr:cNvPr>
          <xdr:cNvGraphicFramePr/>
        </xdr:nvGraphicFramePr>
        <xdr:xfrm>
          <a:off x="3638550" y="3059430"/>
          <a:ext cx="3482340" cy="21793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2</xdr:col>
      <xdr:colOff>491490</xdr:colOff>
      <xdr:row>3</xdr:row>
      <xdr:rowOff>30480</xdr:rowOff>
    </xdr:from>
    <xdr:to>
      <xdr:col>3</xdr:col>
      <xdr:colOff>1611630</xdr:colOff>
      <xdr:row>17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5021C2A-EEB8-4E11-A2C9-DD68475B6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16</xdr:row>
      <xdr:rowOff>34290</xdr:rowOff>
    </xdr:from>
    <xdr:to>
      <xdr:col>2</xdr:col>
      <xdr:colOff>449580</xdr:colOff>
      <xdr:row>29</xdr:row>
      <xdr:rowOff>30480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7183E95-CF5A-41DE-A439-36C9908F7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365760</xdr:colOff>
      <xdr:row>18</xdr:row>
      <xdr:rowOff>0</xdr:rowOff>
    </xdr:from>
    <xdr:to>
      <xdr:col>3</xdr:col>
      <xdr:colOff>1722120</xdr:colOff>
      <xdr:row>30</xdr:row>
      <xdr:rowOff>160020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B56CC7A-1FB7-48C7-AC97-91E3534A3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415290</xdr:colOff>
      <xdr:row>30</xdr:row>
      <xdr:rowOff>15240</xdr:rowOff>
    </xdr:from>
    <xdr:to>
      <xdr:col>3</xdr:col>
      <xdr:colOff>1771650</xdr:colOff>
      <xdr:row>42</xdr:row>
      <xdr:rowOff>175260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B6C6FC4-AF08-4C56-8258-514C428FC0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60960</xdr:colOff>
      <xdr:row>27</xdr:row>
      <xdr:rowOff>22860</xdr:rowOff>
    </xdr:from>
    <xdr:to>
      <xdr:col>2</xdr:col>
      <xdr:colOff>510540</xdr:colOff>
      <xdr:row>40</xdr:row>
      <xdr:rowOff>19050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69C2159-DCF7-4119-9362-7627EEB15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285750</xdr:colOff>
      <xdr:row>3</xdr:row>
      <xdr:rowOff>121920</xdr:rowOff>
    </xdr:from>
    <xdr:to>
      <xdr:col>2</xdr:col>
      <xdr:colOff>438150</xdr:colOff>
      <xdr:row>16</xdr:row>
      <xdr:rowOff>30480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F14AF17-F5CF-46E8-B70B-315C809FEE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29</xdr:col>
      <xdr:colOff>289560</xdr:colOff>
      <xdr:row>8</xdr:row>
      <xdr:rowOff>125730</xdr:rowOff>
    </xdr:from>
    <xdr:to>
      <xdr:col>35</xdr:col>
      <xdr:colOff>297180</xdr:colOff>
      <xdr:row>23</xdr:row>
      <xdr:rowOff>125730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FFDF38-511C-435A-86BD-037743290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40</xdr:col>
      <xdr:colOff>217170</xdr:colOff>
      <xdr:row>10</xdr:row>
      <xdr:rowOff>140970</xdr:rowOff>
    </xdr:from>
    <xdr:to>
      <xdr:col>44</xdr:col>
      <xdr:colOff>327660</xdr:colOff>
      <xdr:row>25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23CB6E-80CA-4F0B-9C5E-510ED3713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lters, Carl" refreshedDate="45978.562426736113" createdVersion="6" refreshedVersion="6" minRefreshableVersion="3" recordCount="1926" xr:uid="{3A16D352-F046-4801-B1C6-FF5FF3F8A337}">
  <cacheSource type="worksheet">
    <worksheetSource ref="A1:S1048576" sheet="data"/>
  </cacheSource>
  <cacheFields count="19">
    <cacheField name="GroupName" numFmtId="0">
      <sharedItems containsBlank="1" count="28">
        <s v="Birkenhead"/>
        <s v="Bowron"/>
        <s v="Chilko"/>
        <s v="Chilliwack"/>
        <s v="Cultus"/>
        <s v="Early Shuswap"/>
        <s v="Early Stuart"/>
        <s v="Gates"/>
        <s v="Harrison"/>
        <s v="Harrison-Lillooet"/>
        <s v="Late Shuswap"/>
        <s v="Late Stuart"/>
        <s v="Nadina"/>
        <s v="Nahatlatch"/>
        <s v="North Thompson River"/>
        <s v="North Thompson Tributaries"/>
        <s v="Portage"/>
        <s v="Quesnel"/>
        <s v="Raft"/>
        <s v="Scotch Creek"/>
        <s v="Seymour"/>
        <s v="Stellako"/>
        <s v="Taseko"/>
        <s v="Upper Barriere"/>
        <s v="Upper Pitt River"/>
        <s v="Weaver"/>
        <s v="Widgeon"/>
        <m/>
      </sharedItems>
    </cacheField>
    <cacheField name="Year" numFmtId="0">
      <sharedItems containsString="0" containsBlank="1" containsNumber="1" containsInteger="1" minValue="1952" maxValue="2023" count="73">
        <n v="2023"/>
        <n v="2022"/>
        <n v="2021"/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  <n v="2007"/>
        <n v="2006"/>
        <n v="2005"/>
        <n v="2004"/>
        <n v="2003"/>
        <n v="2002"/>
        <n v="2001"/>
        <n v="2000"/>
        <n v="1999"/>
        <n v="1998"/>
        <n v="1997"/>
        <n v="1996"/>
        <n v="1995"/>
        <n v="1994"/>
        <n v="1993"/>
        <n v="1992"/>
        <n v="1991"/>
        <n v="1990"/>
        <n v="1989"/>
        <n v="1988"/>
        <n v="1987"/>
        <n v="1986"/>
        <n v="1985"/>
        <n v="1984"/>
        <n v="1983"/>
        <n v="1982"/>
        <n v="1981"/>
        <n v="1980"/>
        <n v="1979"/>
        <n v="1978"/>
        <n v="1977"/>
        <n v="1976"/>
        <n v="1975"/>
        <n v="1974"/>
        <n v="1973"/>
        <n v="1972"/>
        <n v="1971"/>
        <n v="1970"/>
        <n v="1969"/>
        <n v="1968"/>
        <n v="1967"/>
        <n v="1966"/>
        <n v="1965"/>
        <n v="1964"/>
        <n v="1963"/>
        <n v="1962"/>
        <n v="1961"/>
        <n v="1960"/>
        <n v="1959"/>
        <n v="1958"/>
        <n v="1957"/>
        <n v="1956"/>
        <n v="1955"/>
        <n v="1954"/>
        <n v="1953"/>
        <n v="1952"/>
        <m/>
      </sharedItems>
    </cacheField>
    <cacheField name="Adult Escapement" numFmtId="0">
      <sharedItems containsString="0" containsBlank="1" containsNumber="1" containsInteger="1" minValue="0" maxValue="7519018"/>
    </cacheField>
    <cacheField name="Jack Escapement" numFmtId="0">
      <sharedItems containsString="0" containsBlank="1" containsNumber="1" containsInteger="1" minValue="0" maxValue="304419"/>
    </cacheField>
    <cacheField name="Total Escapement" numFmtId="0">
      <sharedItems containsString="0" containsBlank="1" containsNumber="1" containsInteger="1" minValue="0" maxValue="7519076"/>
    </cacheField>
    <cacheField name="Adult Broodstock" numFmtId="0">
      <sharedItems containsBlank="1" containsMixedTypes="1" containsNumber="1" containsInteger="1" minValue="5" maxValue="342"/>
    </cacheField>
    <cacheField name="Jack Broodstock" numFmtId="0">
      <sharedItems containsBlank="1" containsMixedTypes="1" containsNumber="1" containsInteger="1" minValue="1" maxValue="98"/>
    </cacheField>
    <cacheField name="Alaska Catch" numFmtId="0">
      <sharedItems containsString="0" containsBlank="1" containsNumber="1" minValue="0" maxValue="166673.66628694901"/>
    </cacheField>
    <cacheField name="Below Mission Catch (excluding Alaska catch)" numFmtId="0">
      <sharedItems containsString="0" containsBlank="1" containsNumber="1" minValue="0.197561453392435" maxValue="11644016.145333299"/>
    </cacheField>
    <cacheField name="Above Mission Catch" numFmtId="0">
      <sharedItems containsString="0" containsBlank="1" containsNumber="1" minValue="1.6644686155504101E-5" maxValue="394364.51633580902"/>
    </cacheField>
    <cacheField name="AdultCatch_RSA" numFmtId="0">
      <sharedItems containsString="0" containsBlank="1" containsNumber="1" minValue="-11730" maxValue="13022"/>
    </cacheField>
    <cacheField name="AdultLoss_RSA" numFmtId="0">
      <sharedItems containsString="0" containsBlank="1" containsNumber="1" minValue="5" maxValue="565948"/>
    </cacheField>
    <cacheField name="AdultEscape_RSA" numFmtId="0">
      <sharedItems containsString="0" containsBlank="1" containsNumber="1" minValue="-104" maxValue="85144"/>
    </cacheField>
    <cacheField name="AdultCatch_Redistribution" numFmtId="0">
      <sharedItems containsString="0" containsBlank="1" containsNumber="1" minValue="-187098" maxValue="187098"/>
    </cacheField>
    <cacheField name="JackLoss_RSA" numFmtId="0">
      <sharedItems containsString="0" containsBlank="1" containsNumber="1" minValue="2.36286919831224E-2" maxValue="22414"/>
    </cacheField>
    <cacheField name="JackEscape_RSA" numFmtId="0">
      <sharedItems containsString="0" containsBlank="1" containsNumber="1" minValue="5.9020559020558999E-2" maxValue="9153"/>
    </cacheField>
    <cacheField name="DBE" numFmtId="0">
      <sharedItems containsString="0" containsBlank="1" containsNumber="1" minValue="-1719312.0270040999" maxValue="1018225.26059914"/>
    </cacheField>
    <cacheField name="Run Size" numFmtId="0">
      <sharedItems containsString="0" containsBlank="1" containsNumber="1" containsInteger="1" minValue="0" maxValue="16714182"/>
    </cacheField>
    <cacheField name="Run Size Metho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lters, Carl" refreshedDate="46009.355460995372" createdVersion="6" refreshedVersion="6" minRefreshableVersion="3" recordCount="1926" xr:uid="{8A923651-F5D8-4714-B0CC-E6866EEBEB0C}">
  <cacheSource type="worksheet">
    <worksheetSource ref="A1:A1048576" sheet="data"/>
  </cacheSource>
  <cacheFields count="1">
    <cacheField name="GroupName" numFmtId="0">
      <sharedItems containsBlank="1" count="28">
        <s v="Birkenhead"/>
        <s v="Bowron"/>
        <s v="Chilko"/>
        <s v="Chilliwack"/>
        <s v="Cultus"/>
        <s v="Early Shuswap"/>
        <s v="Early Stuart"/>
        <s v="Gates"/>
        <s v="Harrison"/>
        <s v="Harrison-Lillooet"/>
        <s v="Late Shuswap"/>
        <s v="Late Stuart"/>
        <s v="Nadina"/>
        <s v="Nahatlatch"/>
        <s v="North Thompson River"/>
        <s v="North Thompson Tributaries"/>
        <s v="Portage"/>
        <s v="Quesnel"/>
        <s v="Raft"/>
        <s v="Scotch Creek"/>
        <s v="Seymour"/>
        <s v="Stellako"/>
        <s v="Taseko"/>
        <s v="Upper Barriere"/>
        <s v="Upper Pitt River"/>
        <s v="Weaver"/>
        <s v="Widgeo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6">
  <r>
    <x v="0"/>
    <x v="0"/>
    <n v="75695"/>
    <n v="198"/>
    <n v="75893"/>
    <s v="NA"/>
    <s v="NA"/>
    <n v="515.13198778639105"/>
    <n v="1754.2990959763899"/>
    <n v="2.9416335528958601"/>
    <m/>
    <n v="25450.851685794001"/>
    <n v="657.55505738195598"/>
    <m/>
    <n v="67.490988294335693"/>
    <m/>
    <n v="-121137.45054907601"/>
    <n v="104341"/>
    <s v="RSA"/>
  </r>
  <r>
    <x v="0"/>
    <x v="1"/>
    <n v="127815"/>
    <n v="1910"/>
    <n v="129725"/>
    <s v="NA"/>
    <s v="NA"/>
    <n v="886.14781461294797"/>
    <n v="25292.882106482899"/>
    <n v="2151.4733929147501"/>
    <m/>
    <n v="22555.182617609"/>
    <m/>
    <m/>
    <n v="348.71531845366502"/>
    <m/>
    <n v="-31918.344169657499"/>
    <n v="180959"/>
    <s v="RSA"/>
  </r>
  <r>
    <x v="0"/>
    <x v="2"/>
    <n v="45853"/>
    <n v="40"/>
    <n v="45893"/>
    <s v="NA"/>
    <s v="NA"/>
    <n v="4402.5595787406601"/>
    <n v="484.98578374906998"/>
    <n v="53.500717245644097"/>
    <m/>
    <n v="5094.4595928053996"/>
    <m/>
    <m/>
    <n v="3.8182196685819001"/>
    <m/>
    <n v="-71442.167542779498"/>
    <n v="55932"/>
    <s v="RSA"/>
  </r>
  <r>
    <x v="0"/>
    <x v="3"/>
    <n v="5308"/>
    <n v="168"/>
    <n v="5476"/>
    <s v="NA"/>
    <s v="NA"/>
    <n v="236.153690164171"/>
    <n v="84.205870034995996"/>
    <n v="5.7263734526889799E-3"/>
    <m/>
    <n v="1327"/>
    <m/>
    <m/>
    <n v="37.531313131313098"/>
    <m/>
    <n v="-3892.9268739100698"/>
    <n v="7161"/>
    <s v="RSA"/>
  </r>
  <r>
    <x v="0"/>
    <x v="4"/>
    <n v="2998"/>
    <n v="60"/>
    <n v="3058"/>
    <s v="NA"/>
    <s v="NA"/>
    <n v="597.50071594536303"/>
    <n v="90.191199828453904"/>
    <n v="2.58990139521396E-3"/>
    <n v="44.880239520958099"/>
    <n v="528.58948769128403"/>
    <m/>
    <m/>
    <n v="10.9707252162342"/>
    <m/>
    <n v="300.41172033711598"/>
    <n v="4330"/>
    <s v="RSA"/>
  </r>
  <r>
    <x v="0"/>
    <x v="5"/>
    <n v="15041"/>
    <n v="10"/>
    <n v="15051"/>
    <s v="NA"/>
    <s v="NA"/>
    <n v="469.81430280463297"/>
    <n v="16120.968262203"/>
    <n v="1637.56434320727"/>
    <n v="226.51814345991599"/>
    <n v="1671.5476793248899"/>
    <m/>
    <n v="-140.59746835442999"/>
    <n v="0.97637130801687799"/>
    <m/>
    <n v="-12976.417309041"/>
    <n v="35038"/>
    <s v="RSA"/>
  </r>
  <r>
    <x v="0"/>
    <x v="6"/>
    <n v="18629"/>
    <n v="7"/>
    <n v="18636"/>
    <s v="NA"/>
    <s v="NA"/>
    <n v="602.85451470442297"/>
    <n v="350.64138455832398"/>
    <n v="108.873030314804"/>
    <n v="264.32147562582298"/>
    <n v="2097.5797101449298"/>
    <n v="249.21739130434801"/>
    <n v="-116.112648221344"/>
    <n v="0.94400527009222701"/>
    <m/>
    <n v="-13673.3905326718"/>
    <n v="22194"/>
    <s v="RSA"/>
  </r>
  <r>
    <x v="0"/>
    <x v="7"/>
    <n v="36404"/>
    <n v="37"/>
    <n v="36441"/>
    <s v="NA"/>
    <s v="NA"/>
    <n v="866.56345031391402"/>
    <n v="3936.7167825985698"/>
    <n v="415.79239326204601"/>
    <m/>
    <n v="9101.2434008183809"/>
    <m/>
    <n v="454.67272873151302"/>
    <n v="9.7360327351501699"/>
    <m/>
    <n v="-10134.142658282801"/>
    <n v="51226"/>
    <s v="RSA"/>
  </r>
  <r>
    <x v="0"/>
    <x v="8"/>
    <n v="44973"/>
    <n v="76"/>
    <n v="45049"/>
    <s v="NA"/>
    <s v="NA"/>
    <n v="5916.3345740193299"/>
    <n v="3135.2467560747"/>
    <n v="51.269387016668098"/>
    <n v="658.93077289869495"/>
    <n v="7936.4117647058802"/>
    <m/>
    <n v="-1048.83063851922"/>
    <n v="12.6717456326672"/>
    <m/>
    <n v="-19775.584846814902"/>
    <n v="61711"/>
    <s v="RSA"/>
  </r>
  <r>
    <x v="0"/>
    <x v="9"/>
    <n v="35552"/>
    <n v="211"/>
    <n v="35763"/>
    <s v="NA"/>
    <s v="NA"/>
    <n v="0"/>
    <n v="36678.759385418503"/>
    <n v="5254.5335916194799"/>
    <m/>
    <n v="8888.2447203942793"/>
    <m/>
    <n v="15480.0332608277"/>
    <n v="52.859605165340497"/>
    <m/>
    <n v="5354.2380001056599"/>
    <n v="102117"/>
    <s v="RSA"/>
  </r>
  <r>
    <x v="0"/>
    <x v="10"/>
    <n v="80086"/>
    <n v="35"/>
    <n v="80121"/>
    <s v="NA"/>
    <s v="NA"/>
    <n v="1974.07069401227"/>
    <n v="3103.3276990497602"/>
    <n v="143.305641775797"/>
    <m/>
    <n v="8898.6620129830408"/>
    <m/>
    <m/>
    <n v="3.9162336947884402"/>
    <m/>
    <n v="-3779.5597471727701"/>
    <n v="94244"/>
    <s v="RSA"/>
  </r>
  <r>
    <x v="0"/>
    <x v="11"/>
    <n v="56282"/>
    <n v="224"/>
    <n v="56506"/>
    <s v="NA"/>
    <s v="NA"/>
    <n v="690.06146222584505"/>
    <n v="22456.912959946101"/>
    <n v="4314.5190404983196"/>
    <m/>
    <n v="18760.666666666701"/>
    <m/>
    <n v="1762.26405242501"/>
    <n v="74.947995514437906"/>
    <m/>
    <n v="-58282.934511868298"/>
    <n v="104565"/>
    <s v="RSA"/>
  </r>
  <r>
    <x v="0"/>
    <x v="12"/>
    <n v="227742"/>
    <n v="1075"/>
    <n v="228817"/>
    <s v="NA"/>
    <s v="NA"/>
    <n v="2237.6605470934801"/>
    <n v="85609.645252668706"/>
    <n v="24902.645127236701"/>
    <m/>
    <n v="25304.9899704864"/>
    <m/>
    <m/>
    <n v="116.389375103809"/>
    <m/>
    <n v="46703.868194931703"/>
    <n v="366988"/>
    <s v="RSA"/>
  </r>
  <r>
    <x v="0"/>
    <x v="13"/>
    <n v="128285"/>
    <n v="180"/>
    <n v="128465"/>
    <s v="NA"/>
    <s v="NA"/>
    <n v="0"/>
    <n v="152667.85181345799"/>
    <m/>
    <m/>
    <n v="17493.678547773401"/>
    <m/>
    <n v="3986.6143081591499"/>
    <n v="24.700212566041799"/>
    <m/>
    <n v="-18858.327667438301"/>
    <n v="302638"/>
    <s v="RSA"/>
  </r>
  <r>
    <x v="0"/>
    <x v="14"/>
    <n v="53977"/>
    <n v="179"/>
    <n v="54156"/>
    <s v="NA"/>
    <s v="NA"/>
    <n v="489.89369186303401"/>
    <n v="3620.9180596144602"/>
    <n v="198.530165291054"/>
    <m/>
    <n v="4693.6094903786698"/>
    <m/>
    <m/>
    <n v="15.7075406496672"/>
    <m/>
    <n v="-6535.4562941988297"/>
    <n v="63175"/>
    <s v="RSA"/>
  </r>
  <r>
    <x v="0"/>
    <x v="15"/>
    <n v="19500"/>
    <n v="361"/>
    <n v="19861"/>
    <s v="NA"/>
    <s v="NA"/>
    <n v="122.109341833909"/>
    <n v="8562.5111890163407"/>
    <n v="915.08944617180305"/>
    <m/>
    <m/>
    <m/>
    <m/>
    <m/>
    <m/>
    <n v="-21412.8986358162"/>
    <n v="50874"/>
    <s v="DBE"/>
  </r>
  <r>
    <x v="0"/>
    <x v="16"/>
    <n v="93480"/>
    <n v="47"/>
    <n v="93527"/>
    <s v="NA"/>
    <s v="NA"/>
    <n v="31919.361572239999"/>
    <n v="10025.9752695488"/>
    <n v="335.69608003735698"/>
    <m/>
    <m/>
    <m/>
    <m/>
    <m/>
    <m/>
    <n v="19973.7763725574"/>
    <n v="135808"/>
    <s v="DBE"/>
  </r>
  <r>
    <x v="0"/>
    <x v="17"/>
    <n v="266459"/>
    <n v="80"/>
    <n v="266539"/>
    <s v="NA"/>
    <s v="NA"/>
    <n v="2601.11307715559"/>
    <n v="154770.989553572"/>
    <n v="5910.3764930708603"/>
    <m/>
    <m/>
    <m/>
    <m/>
    <m/>
    <m/>
    <n v="-116086.20075372601"/>
    <n v="545908"/>
    <s v="DBE"/>
  </r>
  <r>
    <x v="0"/>
    <x v="18"/>
    <n v="53546"/>
    <n v="898"/>
    <n v="54444"/>
    <s v="NA"/>
    <s v="NA"/>
    <n v="1191.4079581853"/>
    <n v="17143.695819397199"/>
    <n v="1820.0648616870201"/>
    <m/>
    <m/>
    <m/>
    <m/>
    <m/>
    <m/>
    <n v="-60927.177390425699"/>
    <n v="135526"/>
    <s v="DBE"/>
  </r>
  <r>
    <x v="0"/>
    <x v="19"/>
    <n v="37617"/>
    <n v="56"/>
    <n v="37673"/>
    <s v="NA"/>
    <s v="NA"/>
    <n v="5842.8497958881599"/>
    <n v="27917.834982448501"/>
    <n v="2044.4581395222101"/>
    <m/>
    <m/>
    <m/>
    <m/>
    <m/>
    <m/>
    <n v="-50017.160969820303"/>
    <n v="123495"/>
    <s v="DBE"/>
  </r>
  <r>
    <x v="0"/>
    <x v="20"/>
    <n v="309878"/>
    <n v="652"/>
    <n v="310530"/>
    <s v="NA"/>
    <s v="NA"/>
    <n v="6480.9036744741697"/>
    <n v="120862.093933554"/>
    <n v="6768.9514297860296"/>
    <m/>
    <m/>
    <m/>
    <m/>
    <m/>
    <m/>
    <n v="50796.890302067201"/>
    <n v="444642"/>
    <s v="DBE"/>
  </r>
  <r>
    <x v="0"/>
    <x v="21"/>
    <n v="189500"/>
    <n v="0"/>
    <n v="189500"/>
    <s v="NA"/>
    <s v="NA"/>
    <n v="11.7189320432483"/>
    <n v="33202.587269397001"/>
    <n v="1851.15927540284"/>
    <m/>
    <m/>
    <m/>
    <m/>
    <m/>
    <m/>
    <n v="-18525.069259526601"/>
    <n v="243091"/>
    <s v="DBE"/>
  </r>
  <r>
    <x v="0"/>
    <x v="22"/>
    <n v="44450"/>
    <n v="277"/>
    <n v="44727"/>
    <s v="NA"/>
    <s v="NA"/>
    <n v="940.15916976472295"/>
    <n v="8538.8410157374401"/>
    <n v="75.381113616574297"/>
    <m/>
    <m/>
    <m/>
    <m/>
    <m/>
    <m/>
    <n v="-135.780582680614"/>
    <n v="54417"/>
    <s v="DBE"/>
  </r>
  <r>
    <x v="0"/>
    <x v="23"/>
    <n v="13842"/>
    <n v="0"/>
    <n v="13842"/>
    <s v="NA"/>
    <s v="NA"/>
    <n v="20.335829028202902"/>
    <n v="16627.335268447299"/>
    <n v="6240.5365712374396"/>
    <m/>
    <m/>
    <m/>
    <m/>
    <m/>
    <m/>
    <n v="1911.6481880255999"/>
    <n v="36730"/>
    <s v="DBE"/>
  </r>
  <r>
    <x v="0"/>
    <x v="24"/>
    <n v="48916"/>
    <n v="670"/>
    <n v="49586"/>
    <s v="NA"/>
    <s v="NA"/>
    <n v="1441.3311837612"/>
    <n v="13777.378381275101"/>
    <n v="1363.59917609288"/>
    <m/>
    <m/>
    <m/>
    <m/>
    <m/>
    <m/>
    <n v="-120377.80669971999"/>
    <n v="186546"/>
    <s v="DBE"/>
  </r>
  <r>
    <x v="0"/>
    <x v="25"/>
    <n v="295880"/>
    <n v="369"/>
    <n v="296249"/>
    <s v="NA"/>
    <s v="NA"/>
    <n v="20635.031062513899"/>
    <n v="94331.901649888096"/>
    <n v="3531.1149342040399"/>
    <m/>
    <m/>
    <m/>
    <m/>
    <m/>
    <m/>
    <n v="-62540.936010675199"/>
    <n v="477288"/>
    <s v="DBE"/>
  </r>
  <r>
    <x v="0"/>
    <x v="26"/>
    <n v="50202"/>
    <n v="670"/>
    <n v="50872"/>
    <s v="NA"/>
    <s v="NA"/>
    <n v="4062.13866424343"/>
    <n v="187303.98655105001"/>
    <n v="1377.74442013713"/>
    <m/>
    <m/>
    <m/>
    <m/>
    <m/>
    <m/>
    <n v="-16999.663782965399"/>
    <n v="260616"/>
    <s v="DBE"/>
  </r>
  <r>
    <x v="0"/>
    <x v="27"/>
    <n v="56112"/>
    <n v="8011"/>
    <n v="64123"/>
    <s v="NA"/>
    <s v="NA"/>
    <n v="1857.5432771784001"/>
    <n v="45355.927316299298"/>
    <n v="1509.1893994022901"/>
    <m/>
    <m/>
    <m/>
    <m/>
    <m/>
    <m/>
    <n v="8261.5984663511808"/>
    <n v="112846"/>
    <s v="DBE"/>
  </r>
  <r>
    <x v="0"/>
    <x v="28"/>
    <n v="39871"/>
    <n v="3139"/>
    <n v="43010"/>
    <s v="NA"/>
    <s v="NA"/>
    <n v="13.0357132991846"/>
    <n v="28889.473029258799"/>
    <n v="15369.382231743601"/>
    <m/>
    <m/>
    <m/>
    <m/>
    <m/>
    <m/>
    <n v="-17146.816576091998"/>
    <n v="104429"/>
    <s v="DBE"/>
  </r>
  <r>
    <x v="0"/>
    <x v="29"/>
    <n v="39234"/>
    <n v="211"/>
    <n v="39445"/>
    <s v="NA"/>
    <s v="NA"/>
    <n v="23126.730646794102"/>
    <n v="390495.81854518497"/>
    <n v="1122.20570055804"/>
    <m/>
    <m/>
    <m/>
    <m/>
    <m/>
    <m/>
    <n v="-82318.658771351795"/>
    <n v="536508"/>
    <s v="DBE"/>
  </r>
  <r>
    <x v="0"/>
    <x v="30"/>
    <n v="244954"/>
    <n v="5471"/>
    <n v="250425"/>
    <s v="NA"/>
    <s v="NA"/>
    <n v="17071.109389449"/>
    <n v="1358416.0322054201"/>
    <m/>
    <m/>
    <m/>
    <m/>
    <m/>
    <m/>
    <m/>
    <n v="-104850.23409559199"/>
    <n v="1730762"/>
    <s v="DBE"/>
  </r>
  <r>
    <x v="0"/>
    <x v="31"/>
    <n v="185908"/>
    <n v="32625"/>
    <n v="218533"/>
    <s v="NA"/>
    <s v="NA"/>
    <n v="20742.1828131211"/>
    <n v="260637.11699952401"/>
    <n v="7922.3801107650797"/>
    <m/>
    <m/>
    <m/>
    <m/>
    <m/>
    <m/>
    <n v="116784.022153005"/>
    <n v="507835"/>
    <s v="DBE"/>
  </r>
  <r>
    <x v="0"/>
    <x v="32"/>
    <n v="293626"/>
    <n v="22843"/>
    <n v="316469"/>
    <s v="NA"/>
    <s v="NA"/>
    <n v="13530.3270133632"/>
    <n v="576535.99258501397"/>
    <n v="3834.6383095128799"/>
    <m/>
    <m/>
    <m/>
    <m/>
    <m/>
    <m/>
    <n v="114924.813379064"/>
    <n v="910370"/>
    <s v="DBE"/>
  </r>
  <r>
    <x v="0"/>
    <x v="33"/>
    <n v="166773"/>
    <n v="3489"/>
    <n v="170262"/>
    <s v="NA"/>
    <s v="NA"/>
    <n v="17214.866654603"/>
    <n v="767004.49779200403"/>
    <n v="261.11908334470002"/>
    <m/>
    <m/>
    <m/>
    <m/>
    <m/>
    <m/>
    <n v="-49819.176995376198"/>
    <n v="1004562"/>
    <s v="DBE"/>
  </r>
  <r>
    <x v="0"/>
    <x v="34"/>
    <n v="29334"/>
    <n v="17369"/>
    <n v="46703"/>
    <s v="NA"/>
    <s v="NA"/>
    <n v="2466.2771612092602"/>
    <n v="208465.152528796"/>
    <n v="3131.9588596906001"/>
    <m/>
    <m/>
    <m/>
    <m/>
    <m/>
    <m/>
    <n v="15407.4948333301"/>
    <n v="260766"/>
    <s v="DBE"/>
  </r>
  <r>
    <x v="0"/>
    <x v="35"/>
    <n v="166591"/>
    <n v="10736"/>
    <n v="177327"/>
    <s v="NA"/>
    <s v="NA"/>
    <n v="0"/>
    <n v="331670.82899178303"/>
    <n v="15258.6885968838"/>
    <m/>
    <m/>
    <m/>
    <m/>
    <m/>
    <m/>
    <n v="-49007.441456336201"/>
    <n v="573264"/>
    <s v="DBE"/>
  </r>
  <r>
    <x v="0"/>
    <x v="36"/>
    <n v="164849"/>
    <n v="3992"/>
    <n v="168841"/>
    <s v="NA"/>
    <s v="NA"/>
    <n v="841.31655902790203"/>
    <n v="739667.34221818601"/>
    <n v="16032.243636847101"/>
    <m/>
    <m/>
    <m/>
    <m/>
    <m/>
    <m/>
    <n v="-125656.057430491"/>
    <n v="1051038"/>
    <s v="DBE"/>
  </r>
  <r>
    <x v="0"/>
    <x v="37"/>
    <n v="335630"/>
    <n v="12664"/>
    <n v="348294"/>
    <s v="NA"/>
    <s v="NA"/>
    <n v="4925.6370314527603"/>
    <n v="1283883.7305916599"/>
    <n v="15690.971069011501"/>
    <m/>
    <m/>
    <m/>
    <m/>
    <m/>
    <m/>
    <n v="114870.52606952999"/>
    <n v="1652794"/>
    <s v="DBE"/>
  </r>
  <r>
    <x v="0"/>
    <x v="38"/>
    <n v="11905"/>
    <n v="25707"/>
    <n v="37612"/>
    <s v="NA"/>
    <s v="NA"/>
    <n v="153.71501296308401"/>
    <n v="112586.914207018"/>
    <n v="3496.6374583143001"/>
    <m/>
    <m/>
    <m/>
    <m/>
    <m/>
    <m/>
    <n v="19038.864320212098"/>
    <n v="153849"/>
    <s v="DBE"/>
  </r>
  <r>
    <x v="0"/>
    <x v="39"/>
    <n v="40245"/>
    <n v="2604"/>
    <n v="42849"/>
    <s v="NA"/>
    <s v="NA"/>
    <n v="0"/>
    <n v="201770.92067992"/>
    <n v="12487.6136346679"/>
    <m/>
    <m/>
    <m/>
    <m/>
    <m/>
    <m/>
    <n v="-72162.6865269259"/>
    <n v="329270"/>
    <s v="DBE"/>
  </r>
  <r>
    <x v="0"/>
    <x v="40"/>
    <n v="44029"/>
    <n v="4812"/>
    <n v="48841"/>
    <s v="NA"/>
    <s v="NA"/>
    <n v="9464.8647447989497"/>
    <n v="397752.39029373199"/>
    <n v="12636.490054031699"/>
    <m/>
    <m/>
    <m/>
    <m/>
    <m/>
    <m/>
    <n v="-62722.097496869501"/>
    <n v="531417"/>
    <s v="DBE"/>
  </r>
  <r>
    <x v="0"/>
    <x v="41"/>
    <n v="119738"/>
    <n v="9033"/>
    <n v="128771"/>
    <s v="NA"/>
    <s v="NA"/>
    <m/>
    <n v="489836.120076021"/>
    <n v="21231.4290998488"/>
    <m/>
    <m/>
    <m/>
    <m/>
    <m/>
    <m/>
    <n v="-34097.791604205602"/>
    <n v="673936"/>
    <s v="DBE"/>
  </r>
  <r>
    <x v="0"/>
    <x v="42"/>
    <n v="49023"/>
    <n v="16472"/>
    <n v="65495"/>
    <s v="NA"/>
    <s v="NA"/>
    <m/>
    <n v="408972.81974229001"/>
    <n v="9025.0034609521208"/>
    <m/>
    <m/>
    <m/>
    <m/>
    <m/>
    <m/>
    <n v="-32204.063341025601"/>
    <n v="515697"/>
    <s v="DBE"/>
  </r>
  <r>
    <x v="0"/>
    <x v="43"/>
    <n v="78613"/>
    <n v="12309"/>
    <n v="90922"/>
    <s v="NA"/>
    <s v="NA"/>
    <m/>
    <n v="409592.97103027999"/>
    <n v="19278.727638280201"/>
    <m/>
    <m/>
    <m/>
    <m/>
    <m/>
    <m/>
    <n v="-35032.083588916903"/>
    <n v="554826"/>
    <s v="DBE"/>
  </r>
  <r>
    <x v="0"/>
    <x v="44"/>
    <n v="60988"/>
    <n v="17100"/>
    <n v="78088"/>
    <s v="NA"/>
    <s v="NA"/>
    <m/>
    <n v="257827.43432949699"/>
    <n v="16305.529118803801"/>
    <m/>
    <m/>
    <m/>
    <m/>
    <m/>
    <m/>
    <n v="33313.460260956803"/>
    <n v="352221"/>
    <s v="DBE"/>
  </r>
  <r>
    <x v="0"/>
    <x v="45"/>
    <n v="94782"/>
    <n v="5075"/>
    <n v="99857"/>
    <s v="NA"/>
    <s v="NA"/>
    <m/>
    <n v="348925.72416397999"/>
    <n v="21567.104371374899"/>
    <m/>
    <m/>
    <m/>
    <m/>
    <m/>
    <m/>
    <n v="-1106.6805415501101"/>
    <n v="471457"/>
    <s v="DBE"/>
  </r>
  <r>
    <x v="0"/>
    <x v="46"/>
    <n v="23845"/>
    <n v="19294"/>
    <n v="43139"/>
    <s v="NA"/>
    <s v="NA"/>
    <m/>
    <n v="185454.65854940601"/>
    <n v="19918.602751200899"/>
    <m/>
    <m/>
    <m/>
    <m/>
    <m/>
    <m/>
    <n v="5865.2561213234703"/>
    <n v="248512"/>
    <s v="DBE"/>
  </r>
  <r>
    <x v="0"/>
    <x v="47"/>
    <n v="77305"/>
    <n v="30816"/>
    <n v="108121"/>
    <s v="NA"/>
    <s v="NA"/>
    <m/>
    <n v="408731.15002632001"/>
    <n v="14018.2554557124"/>
    <m/>
    <m/>
    <m/>
    <m/>
    <m/>
    <m/>
    <m/>
    <n v="530870"/>
    <s v="NA"/>
  </r>
  <r>
    <x v="0"/>
    <x v="48"/>
    <n v="61538"/>
    <n v="31390"/>
    <n v="92928"/>
    <s v="NA"/>
    <s v="NA"/>
    <m/>
    <n v="249754.741215432"/>
    <n v="11473.444032138401"/>
    <m/>
    <m/>
    <m/>
    <m/>
    <m/>
    <m/>
    <m/>
    <n v="354156"/>
    <s v="RSA"/>
  </r>
  <r>
    <x v="0"/>
    <x v="49"/>
    <n v="119637"/>
    <n v="53826"/>
    <n v="173463"/>
    <s v="NA"/>
    <s v="NA"/>
    <m/>
    <n v="681483.32523025596"/>
    <n v="24028.399907897801"/>
    <m/>
    <m/>
    <m/>
    <m/>
    <m/>
    <m/>
    <m/>
    <n v="878975"/>
    <s v="NA"/>
  </r>
  <r>
    <x v="0"/>
    <x v="50"/>
    <n v="56653"/>
    <n v="82642"/>
    <n v="139295"/>
    <s v="NA"/>
    <s v="NA"/>
    <m/>
    <n v="469938.64109811198"/>
    <n v="7330.3165642059303"/>
    <m/>
    <m/>
    <m/>
    <m/>
    <m/>
    <m/>
    <m/>
    <n v="616564"/>
    <s v="NA"/>
  </r>
  <r>
    <x v="0"/>
    <x v="51"/>
    <n v="54516"/>
    <n v="58581"/>
    <n v="113097"/>
    <s v="NA"/>
    <s v="NA"/>
    <m/>
    <n v="240050.683811353"/>
    <n v="5298.9935432155298"/>
    <m/>
    <m/>
    <m/>
    <m/>
    <m/>
    <m/>
    <m/>
    <n v="358447"/>
    <s v="NA"/>
  </r>
  <r>
    <x v="0"/>
    <x v="52"/>
    <n v="24629"/>
    <n v="8043"/>
    <n v="32672"/>
    <s v="NA"/>
    <s v="NA"/>
    <m/>
    <n v="452003"/>
    <n v="6813"/>
    <m/>
    <m/>
    <m/>
    <m/>
    <m/>
    <m/>
    <m/>
    <n v="491488"/>
    <s v="NA"/>
  </r>
  <r>
    <x v="0"/>
    <x v="53"/>
    <n v="30656"/>
    <n v="42104"/>
    <n v="72760"/>
    <s v="NA"/>
    <s v="NA"/>
    <m/>
    <n v="159314"/>
    <n v="6610"/>
    <m/>
    <m/>
    <m/>
    <m/>
    <m/>
    <m/>
    <m/>
    <n v="238684"/>
    <s v="NA"/>
  </r>
  <r>
    <x v="0"/>
    <x v="54"/>
    <n v="37382"/>
    <n v="27145"/>
    <n v="64527"/>
    <s v="NA"/>
    <s v="NA"/>
    <m/>
    <n v="191276"/>
    <n v="4279"/>
    <m/>
    <m/>
    <m/>
    <m/>
    <m/>
    <m/>
    <m/>
    <n v="260082"/>
    <s v="NA"/>
  </r>
  <r>
    <x v="0"/>
    <x v="55"/>
    <n v="57947"/>
    <n v="25803"/>
    <n v="83750"/>
    <s v="NA"/>
    <s v="NA"/>
    <m/>
    <n v="240817.70584552799"/>
    <n v="7200"/>
    <m/>
    <m/>
    <m/>
    <m/>
    <m/>
    <m/>
    <m/>
    <n v="331768"/>
    <s v="NA"/>
  </r>
  <r>
    <x v="0"/>
    <x v="56"/>
    <n v="39876"/>
    <n v="18160"/>
    <n v="58036"/>
    <s v="NA"/>
    <s v="NA"/>
    <m/>
    <n v="271400"/>
    <n v="7236"/>
    <m/>
    <m/>
    <m/>
    <m/>
    <m/>
    <m/>
    <m/>
    <n v="336672"/>
    <s v="NA"/>
  </r>
  <r>
    <x v="0"/>
    <x v="57"/>
    <n v="20116"/>
    <n v="61018"/>
    <n v="81134"/>
    <s v="NA"/>
    <s v="NA"/>
    <m/>
    <n v="118143"/>
    <n v="5648"/>
    <m/>
    <m/>
    <m/>
    <m/>
    <m/>
    <m/>
    <m/>
    <n v="204925"/>
    <s v="NA"/>
  </r>
  <r>
    <x v="0"/>
    <x v="58"/>
    <n v="16230"/>
    <n v="13778"/>
    <n v="30008"/>
    <s v="NA"/>
    <s v="NA"/>
    <m/>
    <n v="75083.893539157696"/>
    <n v="6673.8798323241799"/>
    <m/>
    <m/>
    <m/>
    <m/>
    <m/>
    <m/>
    <m/>
    <n v="111766"/>
    <s v="NA"/>
  </r>
  <r>
    <x v="0"/>
    <x v="59"/>
    <n v="48908"/>
    <n v="21031"/>
    <n v="69939"/>
    <s v="NA"/>
    <s v="NA"/>
    <m/>
    <n v="119955.67896541901"/>
    <n v="10532.8253929694"/>
    <m/>
    <m/>
    <m/>
    <m/>
    <m/>
    <m/>
    <m/>
    <n v="200428"/>
    <s v="RSA"/>
  </r>
  <r>
    <x v="0"/>
    <x v="60"/>
    <n v="48893"/>
    <n v="18258"/>
    <n v="67151"/>
    <s v="NA"/>
    <s v="NA"/>
    <m/>
    <n v="171848.47352608701"/>
    <n v="12192.566601225501"/>
    <m/>
    <m/>
    <m/>
    <m/>
    <m/>
    <m/>
    <m/>
    <n v="251192"/>
    <s v="NA"/>
  </r>
  <r>
    <x v="0"/>
    <x v="61"/>
    <n v="26369"/>
    <n v="25777"/>
    <n v="52146"/>
    <s v="NA"/>
    <s v="NA"/>
    <m/>
    <n v="74628"/>
    <n v="13355"/>
    <m/>
    <m/>
    <m/>
    <m/>
    <m/>
    <m/>
    <m/>
    <n v="140129"/>
    <s v="NA"/>
  </r>
  <r>
    <x v="0"/>
    <x v="62"/>
    <n v="31681"/>
    <n v="17946"/>
    <n v="49627"/>
    <s v="NA"/>
    <s v="NA"/>
    <m/>
    <n v="48803"/>
    <n v="6826"/>
    <m/>
    <m/>
    <m/>
    <m/>
    <m/>
    <m/>
    <m/>
    <n v="105256"/>
    <s v="NA"/>
  </r>
  <r>
    <x v="0"/>
    <x v="63"/>
    <n v="36838"/>
    <n v="3010"/>
    <n v="39848"/>
    <s v="NA"/>
    <s v="NA"/>
    <m/>
    <n v="167555"/>
    <n v="7324"/>
    <m/>
    <m/>
    <m/>
    <m/>
    <m/>
    <m/>
    <m/>
    <n v="214727"/>
    <s v="RSA"/>
  </r>
  <r>
    <x v="0"/>
    <x v="64"/>
    <n v="26159"/>
    <n v="12445"/>
    <n v="38604"/>
    <s v="NA"/>
    <s v="NA"/>
    <m/>
    <n v="213324"/>
    <n v="5483"/>
    <m/>
    <m/>
    <m/>
    <m/>
    <m/>
    <m/>
    <m/>
    <n v="257411"/>
    <s v="NA"/>
  </r>
  <r>
    <x v="0"/>
    <x v="65"/>
    <n v="15166"/>
    <n v="17889"/>
    <n v="33055"/>
    <s v="NA"/>
    <s v="NA"/>
    <m/>
    <n v="171432"/>
    <n v="6043"/>
    <m/>
    <m/>
    <m/>
    <m/>
    <m/>
    <m/>
    <m/>
    <n v="210530"/>
    <s v="NA"/>
  </r>
  <r>
    <x v="0"/>
    <x v="66"/>
    <n v="14536"/>
    <n v="9632"/>
    <n v="24168"/>
    <s v="NA"/>
    <s v="NA"/>
    <m/>
    <n v="129861"/>
    <n v="5639"/>
    <m/>
    <m/>
    <m/>
    <m/>
    <m/>
    <m/>
    <m/>
    <n v="159668"/>
    <s v="NA"/>
  </r>
  <r>
    <x v="0"/>
    <x v="67"/>
    <n v="49754"/>
    <n v="8145"/>
    <n v="57899"/>
    <s v="NA"/>
    <s v="NA"/>
    <m/>
    <n v="191738"/>
    <n v="8807"/>
    <m/>
    <m/>
    <m/>
    <m/>
    <m/>
    <m/>
    <m/>
    <n v="258444"/>
    <s v="NA"/>
  </r>
  <r>
    <x v="0"/>
    <x v="68"/>
    <n v="14553"/>
    <n v="9897"/>
    <n v="24450"/>
    <s v="NA"/>
    <s v="NA"/>
    <m/>
    <n v="136298"/>
    <n v="3575"/>
    <m/>
    <m/>
    <m/>
    <m/>
    <m/>
    <m/>
    <m/>
    <n v="164323"/>
    <s v="RSA"/>
  </r>
  <r>
    <x v="0"/>
    <x v="69"/>
    <n v="18213"/>
    <n v="22240"/>
    <n v="40453"/>
    <s v="NA"/>
    <s v="NA"/>
    <m/>
    <n v="192583"/>
    <n v="4958"/>
    <m/>
    <m/>
    <m/>
    <m/>
    <m/>
    <m/>
    <m/>
    <n v="237994"/>
    <s v="NA"/>
  </r>
  <r>
    <x v="0"/>
    <x v="70"/>
    <n v="42491"/>
    <n v="13332"/>
    <n v="55823"/>
    <s v="NA"/>
    <s v="NA"/>
    <m/>
    <n v="209837.04128653699"/>
    <n v="10862.627347858799"/>
    <m/>
    <m/>
    <m/>
    <m/>
    <m/>
    <m/>
    <m/>
    <n v="276523"/>
    <s v="NA"/>
  </r>
  <r>
    <x v="0"/>
    <x v="71"/>
    <n v="47041"/>
    <n v="30345"/>
    <n v="77386"/>
    <s v="NA"/>
    <s v="NA"/>
    <m/>
    <n v="185093.39058228899"/>
    <n v="11549.6280107277"/>
    <m/>
    <m/>
    <m/>
    <m/>
    <m/>
    <m/>
    <m/>
    <n v="274029"/>
    <s v="NA"/>
  </r>
  <r>
    <x v="1"/>
    <x v="0"/>
    <n v="2508"/>
    <n v="0"/>
    <n v="2508"/>
    <s v="NA"/>
    <s v="NA"/>
    <n v="0.10698060305931099"/>
    <n v="53.148253299618197"/>
    <n v="71.707849054382507"/>
    <m/>
    <n v="2090"/>
    <m/>
    <m/>
    <m/>
    <m/>
    <n v="-2540.9553114547298"/>
    <n v="4723"/>
    <s v="RSA"/>
  </r>
  <r>
    <x v="1"/>
    <x v="1"/>
    <n v="3128"/>
    <n v="0"/>
    <n v="3128"/>
    <s v="NA"/>
    <s v="NA"/>
    <n v="0"/>
    <n v="452.79052905775399"/>
    <n v="715.06253710227497"/>
    <m/>
    <n v="1043"/>
    <m/>
    <m/>
    <m/>
    <m/>
    <n v="-2429.5869216741899"/>
    <n v="5339"/>
    <s v="RSA"/>
  </r>
  <r>
    <x v="1"/>
    <x v="2"/>
    <n v="3158"/>
    <n v="0"/>
    <n v="3158"/>
    <s v="NA"/>
    <s v="NA"/>
    <n v="720.59439052326195"/>
    <n v="40.411497415628098"/>
    <n v="77.058828666264901"/>
    <m/>
    <n v="1353"/>
    <m/>
    <m/>
    <m/>
    <m/>
    <n v="912.15092034458803"/>
    <n v="5349"/>
    <s v="RSA"/>
  </r>
  <r>
    <x v="1"/>
    <x v="3"/>
    <n v="344"/>
    <n v="0"/>
    <n v="344"/>
    <s v="NA"/>
    <s v="NA"/>
    <n v="0"/>
    <n v="42.197566048509699"/>
    <n v="25.375327639781698"/>
    <m/>
    <n v="516"/>
    <m/>
    <m/>
    <m/>
    <m/>
    <n v="-3585.8717681856301"/>
    <n v="928"/>
    <s v="RSA"/>
  </r>
  <r>
    <x v="1"/>
    <x v="4"/>
    <n v="20"/>
    <n v="0"/>
    <n v="20"/>
    <s v="NA"/>
    <s v="NA"/>
    <n v="370.24884145070001"/>
    <n v="13.962478786137"/>
    <n v="22.612051214583801"/>
    <m/>
    <n v="47"/>
    <m/>
    <m/>
    <m/>
    <m/>
    <n v="-629.61187997956404"/>
    <n v="474"/>
    <s v="RSA"/>
  </r>
  <r>
    <x v="1"/>
    <x v="5"/>
    <n v="8406"/>
    <n v="0"/>
    <n v="8406"/>
    <s v="NA"/>
    <s v="NA"/>
    <n v="1.94136089770814"/>
    <n v="4669.4770851389803"/>
    <n v="3033.6893577136302"/>
    <n v="1.9695407685098401"/>
    <n v="4526.0046860356097"/>
    <m/>
    <n v="-1371.7851452671"/>
    <m/>
    <m/>
    <n v="-8421.5065175897998"/>
    <n v="19267"/>
    <s v="RSA"/>
  </r>
  <r>
    <x v="1"/>
    <x v="6"/>
    <n v="244"/>
    <n v="0"/>
    <n v="244"/>
    <s v="NA"/>
    <s v="NA"/>
    <n v="103.13154890240899"/>
    <n v="22.667672601296001"/>
    <n v="127.64781875688401"/>
    <m/>
    <n v="52"/>
    <n v="49"/>
    <n v="-231"/>
    <m/>
    <m/>
    <n v="-1495.1134217412"/>
    <n v="367"/>
    <s v="RSA"/>
  </r>
  <r>
    <x v="1"/>
    <x v="7"/>
    <n v="143"/>
    <n v="0"/>
    <n v="143"/>
    <s v="NA"/>
    <s v="NA"/>
    <n v="1.8968754396130001"/>
    <n v="81.481609186106098"/>
    <n v="724.62778122990505"/>
    <m/>
    <n v="43"/>
    <n v="29"/>
    <n v="-750"/>
    <m/>
    <m/>
    <n v="-4497.7572114738696"/>
    <n v="273"/>
    <s v="RSA"/>
  </r>
  <r>
    <x v="1"/>
    <x v="8"/>
    <n v="3838"/>
    <n v="30"/>
    <n v="3868"/>
    <s v="NA"/>
    <s v="NA"/>
    <n v="843.90028917692302"/>
    <n v="1244.1840841370199"/>
    <n v="1448.5426364738501"/>
    <n v="61.8871261378413"/>
    <n v="2672.12639791938"/>
    <n v="169.69050715214601"/>
    <n v="-2061.24057217165"/>
    <n v="20.961768530559201"/>
    <n v="1.9963589076723001"/>
    <n v="-6970.4540302204696"/>
    <n v="8270"/>
    <s v="RSA"/>
  </r>
  <r>
    <x v="1"/>
    <x v="9"/>
    <n v="12064"/>
    <n v="0"/>
    <n v="12064"/>
    <s v="NA"/>
    <s v="NA"/>
    <n v="0"/>
    <n v="14457.2791099651"/>
    <n v="5368.91046375316"/>
    <m/>
    <n v="3015.5059787059799"/>
    <m/>
    <n v="-12408.826863226899"/>
    <m/>
    <m/>
    <n v="-3658.4483122235201"/>
    <n v="22497"/>
    <s v="RSA"/>
  </r>
  <r>
    <x v="1"/>
    <x v="10"/>
    <n v="3257"/>
    <n v="23"/>
    <n v="3280"/>
    <s v="NA"/>
    <s v="NA"/>
    <n v="0.70251426374522397"/>
    <n v="581.29124934798006"/>
    <n v="1067.65872377439"/>
    <m/>
    <n v="1395.8571428571399"/>
    <m/>
    <n v="-808.54553761803197"/>
    <n v="9.9208041425525408"/>
    <m/>
    <n v="-1708.63931217551"/>
    <n v="5527"/>
    <s v="RSA"/>
  </r>
  <r>
    <x v="1"/>
    <x v="11"/>
    <n v="59"/>
    <n v="0"/>
    <n v="59"/>
    <s v="NA"/>
    <s v="NA"/>
    <n v="4.566191566293E-2"/>
    <n v="1537.6350041293899"/>
    <n v="3964.5062909081898"/>
    <n v="-1498"/>
    <n v="110"/>
    <m/>
    <n v="-3940"/>
    <m/>
    <m/>
    <n v="-22159.2951470609"/>
    <n v="233"/>
    <s v="RSA"/>
  </r>
  <r>
    <x v="1"/>
    <x v="12"/>
    <n v="4101"/>
    <n v="0"/>
    <n v="4101"/>
    <s v="NA"/>
    <s v="NA"/>
    <n v="226.36860867188301"/>
    <n v="4006.4138826364501"/>
    <n v="3463.8182288890898"/>
    <m/>
    <n v="2050"/>
    <m/>
    <n v="-2745"/>
    <m/>
    <m/>
    <n v="-5649.7925821324097"/>
    <n v="11103"/>
    <s v="RSA"/>
  </r>
  <r>
    <x v="1"/>
    <x v="13"/>
    <n v="8439"/>
    <n v="0"/>
    <n v="8439"/>
    <s v="NA"/>
    <s v="NA"/>
    <n v="0"/>
    <n v="7139.5803196200904"/>
    <m/>
    <m/>
    <n v="1789.63542246466"/>
    <m/>
    <n v="-5553.0367360569999"/>
    <m/>
    <m/>
    <n v="2032.1309978127199"/>
    <n v="11815"/>
    <s v="RSA"/>
  </r>
  <r>
    <x v="1"/>
    <x v="14"/>
    <n v="1814"/>
    <n v="0"/>
    <n v="1814"/>
    <s v="NA"/>
    <s v="NA"/>
    <n v="0.90509785593252801"/>
    <n v="223.16721286488999"/>
    <n v="396.88860698332098"/>
    <m/>
    <n v="1814"/>
    <m/>
    <m/>
    <m/>
    <m/>
    <n v="-1926.0915557772701"/>
    <n v="4249"/>
    <s v="RSA"/>
  </r>
  <r>
    <x v="1"/>
    <x v="15"/>
    <n v="1005"/>
    <n v="0"/>
    <n v="1005"/>
    <s v="NA"/>
    <s v="NA"/>
    <n v="3.8048788548147998"/>
    <n v="2064.9156536086598"/>
    <n v="4648.5151481162802"/>
    <m/>
    <m/>
    <m/>
    <m/>
    <m/>
    <m/>
    <n v="-10127.238220622899"/>
    <n v="17849"/>
    <s v="DBE"/>
  </r>
  <r>
    <x v="1"/>
    <x v="16"/>
    <n v="2173"/>
    <n v="0"/>
    <n v="2173"/>
    <s v="NA"/>
    <s v="NA"/>
    <n v="38.257214860399998"/>
    <n v="141.67727393494701"/>
    <n v="1456.1872526506299"/>
    <m/>
    <m/>
    <m/>
    <m/>
    <m/>
    <m/>
    <n v="-3174.5872171526698"/>
    <n v="6984"/>
    <s v="DBE"/>
  </r>
  <r>
    <x v="1"/>
    <x v="17"/>
    <n v="1554"/>
    <n v="0"/>
    <n v="1554"/>
    <s v="NA"/>
    <s v="NA"/>
    <n v="0.56633389278726998"/>
    <n v="2388.0517005542001"/>
    <n v="2326.1656180293799"/>
    <m/>
    <m/>
    <m/>
    <m/>
    <m/>
    <m/>
    <n v="-7581.9370443333501"/>
    <n v="13851"/>
    <s v="DBE"/>
  </r>
  <r>
    <x v="1"/>
    <x v="18"/>
    <n v="1730"/>
    <n v="0"/>
    <n v="1730"/>
    <s v="NA"/>
    <s v="NA"/>
    <n v="2.993156140355"/>
    <n v="1135.9120615696499"/>
    <n v="917.95632068862199"/>
    <m/>
    <m/>
    <m/>
    <m/>
    <m/>
    <m/>
    <n v="-2100.9660245026098"/>
    <n v="5888"/>
    <s v="DBE"/>
  </r>
  <r>
    <x v="1"/>
    <x v="19"/>
    <n v="916"/>
    <n v="0"/>
    <n v="916"/>
    <s v="NA"/>
    <s v="NA"/>
    <n v="113.084047897003"/>
    <n v="14982.1103449771"/>
    <n v="3458.8002987018599"/>
    <m/>
    <m/>
    <m/>
    <m/>
    <m/>
    <m/>
    <n v="-8239.00989870577"/>
    <n v="27709"/>
    <s v="DBE"/>
  </r>
  <r>
    <x v="1"/>
    <x v="20"/>
    <n v="6752"/>
    <n v="0"/>
    <n v="6752"/>
    <s v="NA"/>
    <s v="NA"/>
    <n v="705.46573216469699"/>
    <n v="17649.2625750226"/>
    <n v="8458.2192582179905"/>
    <m/>
    <m/>
    <m/>
    <m/>
    <m/>
    <m/>
    <n v="-17965.776513633999"/>
    <n v="51531"/>
    <s v="DBE"/>
  </r>
  <r>
    <x v="1"/>
    <x v="21"/>
    <n v="8770"/>
    <n v="0"/>
    <n v="8770"/>
    <s v="NA"/>
    <s v="NA"/>
    <n v="0.77075861808958501"/>
    <n v="4407.7079833518301"/>
    <n v="1923.2433980943799"/>
    <m/>
    <m/>
    <m/>
    <m/>
    <m/>
    <m/>
    <n v="-2663.4509939115801"/>
    <n v="17765"/>
    <s v="DBE"/>
  </r>
  <r>
    <x v="1"/>
    <x v="22"/>
    <n v="5842"/>
    <n v="0"/>
    <n v="5842"/>
    <s v="NA"/>
    <s v="NA"/>
    <n v="19.3512434880924"/>
    <n v="952.56684980165301"/>
    <n v="7595.78065556396"/>
    <m/>
    <m/>
    <m/>
    <m/>
    <m/>
    <m/>
    <n v="-12553.3324782654"/>
    <n v="26963"/>
    <s v="DBE"/>
  </r>
  <r>
    <x v="1"/>
    <x v="23"/>
    <n v="13440"/>
    <n v="0"/>
    <n v="13440"/>
    <s v="NA"/>
    <s v="NA"/>
    <n v="10.6897077357865"/>
    <n v="6411.4266013208999"/>
    <n v="3086.4479435713301"/>
    <m/>
    <m/>
    <m/>
    <m/>
    <m/>
    <m/>
    <n v="4335.0865893803903"/>
    <n v="22949"/>
    <s v="DBE"/>
  </r>
  <r>
    <x v="1"/>
    <x v="24"/>
    <n v="8238"/>
    <n v="0"/>
    <n v="8238"/>
    <s v="NA"/>
    <s v="NA"/>
    <n v="0.459157883904174"/>
    <n v="2713.9068581025299"/>
    <n v="6438.15833405393"/>
    <m/>
    <m/>
    <m/>
    <m/>
    <m/>
    <m/>
    <n v="-17980.802979196102"/>
    <n v="35371"/>
    <s v="DBE"/>
  </r>
  <r>
    <x v="1"/>
    <x v="25"/>
    <n v="4751"/>
    <n v="26"/>
    <n v="4777"/>
    <s v="NA"/>
    <s v="NA"/>
    <n v="4.9219449094902696"/>
    <n v="1981.4449363444201"/>
    <n v="1151.26544143965"/>
    <m/>
    <m/>
    <m/>
    <m/>
    <m/>
    <m/>
    <n v="-2430.76711213008"/>
    <n v="10345"/>
    <s v="DBE"/>
  </r>
  <r>
    <x v="1"/>
    <x v="26"/>
    <n v="4811"/>
    <n v="0"/>
    <n v="4811"/>
    <s v="NA"/>
    <s v="NA"/>
    <n v="300.39157695653302"/>
    <n v="11100.499307349901"/>
    <n v="3206.54377936124"/>
    <m/>
    <m/>
    <m/>
    <m/>
    <m/>
    <m/>
    <n v="-17947.144447752002"/>
    <n v="37366"/>
    <s v="DBE"/>
  </r>
  <r>
    <x v="1"/>
    <x v="27"/>
    <n v="8176"/>
    <n v="0"/>
    <n v="8176"/>
    <s v="NA"/>
    <s v="NA"/>
    <n v="0.34650885987369201"/>
    <n v="1007.50025131774"/>
    <n v="1084.8520862431401"/>
    <m/>
    <m/>
    <m/>
    <m/>
    <m/>
    <m/>
    <n v="3764.76768283097"/>
    <n v="10269"/>
    <s v="DBE"/>
  </r>
  <r>
    <x v="1"/>
    <x v="28"/>
    <n v="34417"/>
    <n v="14"/>
    <n v="34431"/>
    <s v="NA"/>
    <s v="NA"/>
    <n v="2.04855950580323E-15"/>
    <n v="11359.5754351302"/>
    <n v="14794.7333816594"/>
    <m/>
    <m/>
    <m/>
    <m/>
    <m/>
    <m/>
    <n v="7258.6837726222802"/>
    <n v="60585"/>
    <s v="DBE"/>
  </r>
  <r>
    <x v="1"/>
    <x v="29"/>
    <n v="4380"/>
    <n v="35"/>
    <n v="4415"/>
    <s v="NA"/>
    <s v="NA"/>
    <n v="2.39109930459446"/>
    <n v="4125.7736554168596"/>
    <n v="3471.2699434420401"/>
    <m/>
    <m/>
    <m/>
    <m/>
    <m/>
    <m/>
    <n v="-12347.9816960682"/>
    <n v="24362"/>
    <s v="DBE"/>
  </r>
  <r>
    <x v="1"/>
    <x v="30"/>
    <n v="1184"/>
    <n v="0"/>
    <n v="1184"/>
    <s v="NA"/>
    <s v="NA"/>
    <n v="56.367174547183602"/>
    <n v="4048.728328531"/>
    <n v="1524.61228915229"/>
    <m/>
    <m/>
    <m/>
    <m/>
    <m/>
    <m/>
    <n v="-2692.2040185349101"/>
    <n v="9506"/>
    <s v="DBE"/>
  </r>
  <r>
    <x v="1"/>
    <x v="31"/>
    <n v="2560"/>
    <n v="0"/>
    <n v="2560"/>
    <s v="NA"/>
    <s v="NA"/>
    <n v="21.746053733371198"/>
    <n v="6849.3644873665598"/>
    <n v="6918.9032445146104"/>
    <m/>
    <m/>
    <m/>
    <m/>
    <m/>
    <m/>
    <n v="-3696.3453378716399"/>
    <n v="20046"/>
    <s v="DBE"/>
  </r>
  <r>
    <x v="1"/>
    <x v="32"/>
    <n v="4919"/>
    <n v="0"/>
    <n v="4919"/>
    <s v="NA"/>
    <s v="NA"/>
    <n v="0"/>
    <n v="10279.5223101101"/>
    <n v="3252"/>
    <m/>
    <m/>
    <m/>
    <m/>
    <m/>
    <m/>
    <n v="-7677.48183251722"/>
    <n v="26128"/>
    <s v="DBE"/>
  </r>
  <r>
    <x v="1"/>
    <x v="33"/>
    <n v="7860"/>
    <n v="132"/>
    <n v="7992"/>
    <s v="NA"/>
    <s v="NA"/>
    <n v="3.9681137748364601"/>
    <n v="8130.8765530052997"/>
    <n v="8916.6881056151706"/>
    <m/>
    <m/>
    <m/>
    <m/>
    <m/>
    <m/>
    <n v="-3632.4521605800101"/>
    <n v="28676"/>
    <s v="DBE"/>
  </r>
  <r>
    <x v="1"/>
    <x v="34"/>
    <n v="2534"/>
    <n v="0"/>
    <n v="2534"/>
    <s v="NA"/>
    <s v="NA"/>
    <n v="58.272098232472203"/>
    <n v="18813.751160080701"/>
    <n v="1203"/>
    <m/>
    <m/>
    <m/>
    <m/>
    <m/>
    <m/>
    <n v="-10225.241008716101"/>
    <n v="32834"/>
    <s v="DBE"/>
  </r>
  <r>
    <x v="1"/>
    <x v="35"/>
    <n v="12780"/>
    <n v="0"/>
    <n v="12780"/>
    <s v="NA"/>
    <s v="NA"/>
    <n v="0"/>
    <n v="22511.335742908399"/>
    <n v="13931"/>
    <m/>
    <m/>
    <m/>
    <m/>
    <m/>
    <m/>
    <n v="-8.47975603985833"/>
    <n v="49231"/>
    <s v="DBE"/>
  </r>
  <r>
    <x v="1"/>
    <x v="36"/>
    <n v="11071"/>
    <n v="8"/>
    <n v="11079"/>
    <s v="NA"/>
    <s v="NA"/>
    <n v="0"/>
    <n v="12615.423168080601"/>
    <n v="17846"/>
    <m/>
    <m/>
    <m/>
    <m/>
    <m/>
    <m/>
    <n v="-15992.4179508793"/>
    <n v="57533"/>
    <s v="DBE"/>
  </r>
  <r>
    <x v="1"/>
    <x v="37"/>
    <n v="3118"/>
    <n v="13"/>
    <n v="3131"/>
    <s v="NA"/>
    <s v="NA"/>
    <n v="0"/>
    <n v="711.83539180314597"/>
    <n v="1154.33212602905"/>
    <m/>
    <m/>
    <m/>
    <m/>
    <m/>
    <m/>
    <n v="-649.19648689955102"/>
    <n v="5646"/>
    <s v="DBE"/>
  </r>
  <r>
    <x v="1"/>
    <x v="38"/>
    <n v="6395"/>
    <n v="0"/>
    <n v="6395"/>
    <s v="NA"/>
    <s v="NA"/>
    <n v="0"/>
    <n v="11886.727498406501"/>
    <n v="1388.24419378113"/>
    <m/>
    <m/>
    <m/>
    <m/>
    <m/>
    <m/>
    <n v="2672.5276151829298"/>
    <n v="19670"/>
    <s v="DBE"/>
  </r>
  <r>
    <x v="1"/>
    <x v="39"/>
    <n v="10461"/>
    <n v="0"/>
    <n v="10461"/>
    <s v="NA"/>
    <s v="NA"/>
    <n v="0"/>
    <n v="33930.682263616603"/>
    <n v="2624.4794397471101"/>
    <m/>
    <m/>
    <m/>
    <m/>
    <m/>
    <m/>
    <n v="-25509.455215788101"/>
    <n v="72526"/>
    <s v="DBE"/>
  </r>
  <r>
    <x v="1"/>
    <x v="40"/>
    <n v="6451"/>
    <n v="0"/>
    <n v="6451"/>
    <s v="NA"/>
    <s v="NA"/>
    <n v="0"/>
    <n v="6751.1967834891002"/>
    <n v="1685.19425141942"/>
    <m/>
    <m/>
    <m/>
    <m/>
    <m/>
    <m/>
    <n v="-15943.177869951"/>
    <n v="30831"/>
    <s v="DBE"/>
  </r>
  <r>
    <x v="1"/>
    <x v="41"/>
    <n v="1647"/>
    <n v="0"/>
    <n v="1647"/>
    <s v="NA"/>
    <s v="NA"/>
    <m/>
    <n v="14253.4907345872"/>
    <n v="519.23760672672699"/>
    <m/>
    <m/>
    <m/>
    <m/>
    <m/>
    <m/>
    <n v="-15415.8613022509"/>
    <n v="31836"/>
    <s v="DBE"/>
  </r>
  <r>
    <x v="1"/>
    <x v="42"/>
    <n v="1170"/>
    <n v="0"/>
    <n v="1170"/>
    <s v="NA"/>
    <s v="NA"/>
    <m/>
    <n v="4672.5354824954202"/>
    <n v="128.910239614852"/>
    <m/>
    <m/>
    <m/>
    <m/>
    <m/>
    <m/>
    <n v="-554.56214753873496"/>
    <n v="6526"/>
    <s v="DBE"/>
  </r>
  <r>
    <x v="1"/>
    <x v="43"/>
    <n v="2894"/>
    <n v="0"/>
    <n v="2894"/>
    <s v="NA"/>
    <s v="NA"/>
    <m/>
    <n v="3715.2407500357699"/>
    <n v="580.58313583916095"/>
    <m/>
    <m/>
    <m/>
    <m/>
    <m/>
    <m/>
    <n v="-2278.8706545167302"/>
    <n v="9469"/>
    <s v="DBE"/>
  </r>
  <r>
    <x v="1"/>
    <x v="44"/>
    <n v="35000"/>
    <n v="0"/>
    <n v="35000"/>
    <s v="NA"/>
    <s v="NA"/>
    <m/>
    <n v="84577.994725163895"/>
    <n v="6416.5872295480704"/>
    <m/>
    <m/>
    <m/>
    <m/>
    <m/>
    <m/>
    <n v="-16550.607978268599"/>
    <n v="142545"/>
    <s v="DBE"/>
  </r>
  <r>
    <x v="1"/>
    <x v="45"/>
    <n v="3141"/>
    <n v="9"/>
    <n v="3150"/>
    <s v="NA"/>
    <s v="NA"/>
    <m/>
    <n v="12165.014885493099"/>
    <n v="551.77390995529595"/>
    <m/>
    <m/>
    <m/>
    <m/>
    <m/>
    <m/>
    <n v="1273.1881721238001"/>
    <n v="15867"/>
    <s v="DBE"/>
  </r>
  <r>
    <x v="1"/>
    <x v="46"/>
    <n v="2500"/>
    <n v="0"/>
    <n v="2500"/>
    <s v="NA"/>
    <s v="NA"/>
    <m/>
    <n v="7900.7866862803003"/>
    <n v="313.629779990337"/>
    <m/>
    <m/>
    <m/>
    <m/>
    <m/>
    <m/>
    <n v="1538.96479894911"/>
    <n v="10714"/>
    <s v="DBE"/>
  </r>
  <r>
    <x v="1"/>
    <x v="47"/>
    <n v="2250"/>
    <n v="0"/>
    <n v="2250"/>
    <s v="NA"/>
    <s v="NA"/>
    <m/>
    <n v="13350"/>
    <n v="1606"/>
    <m/>
    <m/>
    <m/>
    <m/>
    <m/>
    <m/>
    <m/>
    <n v="17206"/>
    <s v="NA"/>
  </r>
  <r>
    <x v="1"/>
    <x v="48"/>
    <n v="29700"/>
    <n v="0"/>
    <n v="29700"/>
    <s v="NA"/>
    <s v="NA"/>
    <m/>
    <n v="86366"/>
    <n v="8271"/>
    <m/>
    <m/>
    <m/>
    <m/>
    <m/>
    <m/>
    <m/>
    <n v="124337"/>
    <s v="RSA"/>
  </r>
  <r>
    <x v="1"/>
    <x v="49"/>
    <n v="1850"/>
    <n v="0"/>
    <n v="1850"/>
    <s v="NA"/>
    <s v="NA"/>
    <m/>
    <n v="12757"/>
    <n v="2427"/>
    <m/>
    <m/>
    <m/>
    <m/>
    <m/>
    <m/>
    <m/>
    <n v="17034"/>
    <s v="NA"/>
  </r>
  <r>
    <x v="1"/>
    <x v="50"/>
    <n v="4558"/>
    <n v="142"/>
    <n v="4700"/>
    <s v="NA"/>
    <s v="NA"/>
    <m/>
    <n v="17943"/>
    <n v="980"/>
    <m/>
    <m/>
    <m/>
    <m/>
    <m/>
    <m/>
    <m/>
    <n v="23623"/>
    <s v="NA"/>
  </r>
  <r>
    <x v="1"/>
    <x v="51"/>
    <n v="4138"/>
    <n v="0"/>
    <n v="4138"/>
    <s v="NA"/>
    <s v="NA"/>
    <m/>
    <n v="41199"/>
    <n v="4569"/>
    <m/>
    <m/>
    <m/>
    <m/>
    <m/>
    <m/>
    <m/>
    <n v="49906"/>
    <s v="NA"/>
  </r>
  <r>
    <x v="1"/>
    <x v="52"/>
    <n v="25497"/>
    <n v="0"/>
    <n v="25497"/>
    <s v="NA"/>
    <s v="NA"/>
    <m/>
    <n v="156563"/>
    <n v="12850"/>
    <m/>
    <m/>
    <m/>
    <m/>
    <m/>
    <m/>
    <m/>
    <n v="194910"/>
    <s v="NA"/>
  </r>
  <r>
    <x v="1"/>
    <x v="53"/>
    <n v="1305"/>
    <n v="36"/>
    <n v="1341"/>
    <s v="NA"/>
    <s v="NA"/>
    <m/>
    <n v="19934"/>
    <n v="1074"/>
    <m/>
    <m/>
    <m/>
    <m/>
    <m/>
    <m/>
    <m/>
    <n v="22349"/>
    <s v="NA"/>
  </r>
  <r>
    <x v="1"/>
    <x v="54"/>
    <n v="3872"/>
    <n v="0"/>
    <n v="3872"/>
    <s v="NA"/>
    <s v="NA"/>
    <m/>
    <n v="14534"/>
    <n v="455"/>
    <m/>
    <m/>
    <m/>
    <m/>
    <m/>
    <m/>
    <m/>
    <n v="18861"/>
    <s v="NA"/>
  </r>
  <r>
    <x v="1"/>
    <x v="55"/>
    <n v="3611"/>
    <n v="23"/>
    <n v="3634"/>
    <s v="NA"/>
    <s v="NA"/>
    <m/>
    <n v="27515.786577526698"/>
    <n v="3654"/>
    <m/>
    <m/>
    <m/>
    <m/>
    <m/>
    <m/>
    <m/>
    <n v="34804"/>
    <s v="NA"/>
  </r>
  <r>
    <x v="1"/>
    <x v="56"/>
    <n v="31695"/>
    <n v="0"/>
    <n v="31695"/>
    <s v="NA"/>
    <s v="NA"/>
    <m/>
    <n v="167174.48305994199"/>
    <n v="3644.2204507128599"/>
    <m/>
    <m/>
    <m/>
    <m/>
    <m/>
    <m/>
    <m/>
    <n v="202514"/>
    <s v="NA"/>
  </r>
  <r>
    <x v="1"/>
    <x v="57"/>
    <n v="2470"/>
    <n v="10"/>
    <n v="2480"/>
    <s v="NA"/>
    <s v="NA"/>
    <m/>
    <n v="17344"/>
    <n v="339"/>
    <m/>
    <m/>
    <m/>
    <m/>
    <m/>
    <m/>
    <m/>
    <n v="20163"/>
    <s v="NA"/>
  </r>
  <r>
    <x v="1"/>
    <x v="58"/>
    <n v="2659"/>
    <n v="1"/>
    <n v="2660"/>
    <s v="NA"/>
    <s v="NA"/>
    <m/>
    <n v="23986"/>
    <n v="646"/>
    <m/>
    <m/>
    <m/>
    <m/>
    <m/>
    <m/>
    <m/>
    <n v="27292"/>
    <s v="NA"/>
  </r>
  <r>
    <x v="1"/>
    <x v="59"/>
    <n v="1500"/>
    <n v="0"/>
    <n v="1500"/>
    <s v="NA"/>
    <s v="NA"/>
    <m/>
    <n v="13982"/>
    <n v="2196"/>
    <m/>
    <m/>
    <m/>
    <m/>
    <m/>
    <m/>
    <m/>
    <n v="17678"/>
    <s v="RSA"/>
  </r>
  <r>
    <x v="1"/>
    <x v="60"/>
    <n v="25141"/>
    <n v="3"/>
    <n v="25144"/>
    <s v="NA"/>
    <s v="NA"/>
    <m/>
    <n v="28400"/>
    <n v="3081"/>
    <m/>
    <m/>
    <m/>
    <m/>
    <m/>
    <m/>
    <m/>
    <n v="56625"/>
    <s v="NA"/>
  </r>
  <r>
    <x v="1"/>
    <x v="61"/>
    <n v="6286"/>
    <n v="6"/>
    <n v="6292"/>
    <s v="NA"/>
    <s v="NA"/>
    <m/>
    <n v="11732"/>
    <n v="890"/>
    <m/>
    <m/>
    <m/>
    <m/>
    <m/>
    <m/>
    <m/>
    <n v="18914"/>
    <s v="NA"/>
  </r>
  <r>
    <x v="1"/>
    <x v="62"/>
    <n v="7460"/>
    <n v="11"/>
    <n v="7471"/>
    <s v="NA"/>
    <s v="NA"/>
    <m/>
    <n v="37230"/>
    <n v="729"/>
    <m/>
    <m/>
    <m/>
    <m/>
    <m/>
    <m/>
    <m/>
    <n v="45430"/>
    <s v="NA"/>
  </r>
  <r>
    <x v="1"/>
    <x v="63"/>
    <n v="7663"/>
    <n v="0"/>
    <n v="7663"/>
    <s v="NA"/>
    <s v="NA"/>
    <m/>
    <n v="20737"/>
    <n v="1244"/>
    <m/>
    <m/>
    <m/>
    <m/>
    <m/>
    <m/>
    <m/>
    <n v="29644"/>
    <s v="RSA"/>
  </r>
  <r>
    <x v="1"/>
    <x v="64"/>
    <n v="29247"/>
    <n v="0"/>
    <n v="29247"/>
    <s v="NA"/>
    <s v="NA"/>
    <m/>
    <n v="51248"/>
    <n v="1555"/>
    <m/>
    <m/>
    <m/>
    <m/>
    <m/>
    <m/>
    <m/>
    <n v="82050"/>
    <s v="NA"/>
  </r>
  <r>
    <x v="1"/>
    <x v="65"/>
    <n v="14863"/>
    <n v="28"/>
    <n v="14891"/>
    <s v="NA"/>
    <s v="NA"/>
    <m/>
    <n v="52372"/>
    <n v="748"/>
    <m/>
    <m/>
    <m/>
    <m/>
    <m/>
    <m/>
    <m/>
    <n v="68011"/>
    <s v="NA"/>
  </r>
  <r>
    <x v="1"/>
    <x v="66"/>
    <n v="12011"/>
    <n v="58"/>
    <n v="12069"/>
    <s v="NA"/>
    <s v="NA"/>
    <m/>
    <n v="54090"/>
    <n v="624"/>
    <m/>
    <m/>
    <m/>
    <m/>
    <m/>
    <m/>
    <m/>
    <n v="66783"/>
    <s v="NA"/>
  </r>
  <r>
    <x v="1"/>
    <x v="67"/>
    <n v="6994"/>
    <n v="2"/>
    <n v="6996"/>
    <s v="NA"/>
    <s v="NA"/>
    <m/>
    <n v="26724"/>
    <n v="461"/>
    <m/>
    <m/>
    <m/>
    <m/>
    <m/>
    <m/>
    <m/>
    <n v="34181"/>
    <s v="NA"/>
  </r>
  <r>
    <x v="1"/>
    <x v="68"/>
    <n v="9350"/>
    <n v="5"/>
    <n v="9355"/>
    <s v="NA"/>
    <s v="NA"/>
    <m/>
    <n v="84439"/>
    <n v="2183"/>
    <m/>
    <m/>
    <m/>
    <m/>
    <m/>
    <m/>
    <m/>
    <n v="95977"/>
    <s v="RSA"/>
  </r>
  <r>
    <x v="1"/>
    <x v="69"/>
    <n v="10515"/>
    <n v="259"/>
    <n v="10774"/>
    <s v="NA"/>
    <s v="NA"/>
    <m/>
    <n v="48910"/>
    <n v="1305"/>
    <m/>
    <m/>
    <m/>
    <m/>
    <m/>
    <m/>
    <m/>
    <n v="60989"/>
    <s v="NA"/>
  </r>
  <r>
    <x v="1"/>
    <x v="70"/>
    <n v="13293"/>
    <n v="240"/>
    <n v="13533"/>
    <s v="NA"/>
    <s v="NA"/>
    <m/>
    <n v="44858"/>
    <n v="1002"/>
    <m/>
    <m/>
    <m/>
    <m/>
    <m/>
    <m/>
    <m/>
    <n v="59393"/>
    <s v="NA"/>
  </r>
  <r>
    <x v="1"/>
    <x v="71"/>
    <n v="18784"/>
    <n v="27"/>
    <n v="18811"/>
    <s v="NA"/>
    <s v="NA"/>
    <m/>
    <n v="55661.8109957056"/>
    <n v="2195.2115749525601"/>
    <m/>
    <m/>
    <m/>
    <m/>
    <m/>
    <m/>
    <m/>
    <n v="76668"/>
    <s v="NA"/>
  </r>
  <r>
    <x v="2"/>
    <x v="0"/>
    <n v="344615"/>
    <n v="902"/>
    <n v="345517"/>
    <s v="NA"/>
    <s v="NA"/>
    <n v="3544.2734438350799"/>
    <n v="6613.6972832056199"/>
    <n v="16086.9522319069"/>
    <m/>
    <n v="86955"/>
    <m/>
    <m/>
    <n v="226"/>
    <m/>
    <n v="-213750.71004573701"/>
    <n v="458943"/>
    <s v="RSA"/>
  </r>
  <r>
    <x v="2"/>
    <x v="1"/>
    <n v="881253"/>
    <n v="62"/>
    <n v="881315"/>
    <s v="NA"/>
    <s v="NA"/>
    <n v="32406.385495948802"/>
    <n v="277118.17526117997"/>
    <n v="122646.197919517"/>
    <m/>
    <n v="293751"/>
    <m/>
    <m/>
    <n v="21"/>
    <m/>
    <n v="-278572.98380296398"/>
    <n v="1607258"/>
    <s v="RSA"/>
  </r>
  <r>
    <x v="2"/>
    <x v="2"/>
    <n v="900055"/>
    <n v="17806"/>
    <n v="917861"/>
    <s v="NA"/>
    <s v="NA"/>
    <n v="49686.345267609096"/>
    <n v="6875.2323354229002"/>
    <n v="63148.979804300703"/>
    <m/>
    <n v="100006"/>
    <m/>
    <m/>
    <n v="1978"/>
    <m/>
    <n v="-106736.652443996"/>
    <n v="1139556"/>
    <s v="RSA"/>
  </r>
  <r>
    <x v="2"/>
    <x v="3"/>
    <n v="54513"/>
    <n v="977"/>
    <n v="55490"/>
    <s v="NA"/>
    <s v="NA"/>
    <n v="4860.0662851594998"/>
    <n v="703.84142847424005"/>
    <n v="6664.9066325711601"/>
    <m/>
    <n v="9620"/>
    <m/>
    <m/>
    <n v="172"/>
    <m/>
    <n v="-5852.5900904910804"/>
    <n v="77511"/>
    <s v="RSA"/>
  </r>
  <r>
    <x v="2"/>
    <x v="4"/>
    <n v="169653"/>
    <n v="224"/>
    <n v="169877"/>
    <s v="NA"/>
    <s v="NA"/>
    <n v="44806.0313461279"/>
    <n v="3081.0649775231"/>
    <n v="5511.0142682402502"/>
    <m/>
    <n v="29939"/>
    <m/>
    <m/>
    <n v="40"/>
    <m/>
    <n v="-27413.912011836401"/>
    <n v="253254"/>
    <s v="RSA"/>
  </r>
  <r>
    <x v="2"/>
    <x v="5"/>
    <n v="618365"/>
    <n v="1258"/>
    <n v="619623"/>
    <s v="NA"/>
    <s v="NA"/>
    <n v="6896.5151587821001"/>
    <n v="742901.86992555798"/>
    <n v="129073.546547474"/>
    <m/>
    <n v="109140"/>
    <n v="93"/>
    <n v="824"/>
    <n v="222"/>
    <m/>
    <n v="86522.454839896498"/>
    <n v="1608774"/>
    <s v="RSA"/>
  </r>
  <r>
    <x v="2"/>
    <x v="6"/>
    <n v="369573"/>
    <n v="2639"/>
    <n v="372212"/>
    <s v="NA"/>
    <s v="NA"/>
    <n v="7942.2414770537698"/>
    <n v="8035.4070790211299"/>
    <n v="33698.1398897443"/>
    <m/>
    <n v="41064"/>
    <m/>
    <n v="13"/>
    <n v="293"/>
    <m/>
    <n v="-96381.277830052306"/>
    <n v="463258"/>
    <s v="RSA"/>
  </r>
  <r>
    <x v="2"/>
    <x v="7"/>
    <n v="154918"/>
    <n v="769"/>
    <n v="155687"/>
    <s v="NA"/>
    <s v="NA"/>
    <n v="21207.703136887099"/>
    <n v="30518.0425160384"/>
    <n v="51970.675607459503"/>
    <m/>
    <n v="27349"/>
    <n v="61"/>
    <n v="696"/>
    <n v="136"/>
    <m/>
    <n v="-63376.510233971603"/>
    <n v="287625"/>
    <s v="RSA"/>
  </r>
  <r>
    <x v="2"/>
    <x v="8"/>
    <n v="660600"/>
    <n v="2107"/>
    <n v="662707"/>
    <s v="NA"/>
    <s v="NA"/>
    <n v="53138.454523302098"/>
    <n v="79178.329888353896"/>
    <n v="74758.8029785689"/>
    <n v="12387"/>
    <n v="116576"/>
    <m/>
    <n v="2551"/>
    <n v="372"/>
    <m/>
    <n v="-175142.23726087599"/>
    <n v="1001669"/>
    <s v="RSA"/>
  </r>
  <r>
    <x v="2"/>
    <x v="9"/>
    <n v="1030506"/>
    <n v="3744"/>
    <n v="1034250"/>
    <s v="NA"/>
    <s v="NA"/>
    <n v="31531.392481030602"/>
    <n v="1327667.7858623499"/>
    <n v="217334.826869326"/>
    <m/>
    <n v="257626"/>
    <m/>
    <m/>
    <n v="936"/>
    <m/>
    <n v="-4200.8397507568197"/>
    <n v="2869346"/>
    <s v="RSA"/>
  </r>
  <r>
    <x v="2"/>
    <x v="10"/>
    <n v="1197721"/>
    <n v="37501"/>
    <n v="1235222"/>
    <s v="NA"/>
    <s v="NA"/>
    <n v="22860.013501702098"/>
    <n v="134924.56696709499"/>
    <n v="136706.584173084"/>
    <m/>
    <n v="211365"/>
    <m/>
    <m/>
    <n v="6618"/>
    <m/>
    <n v="100624.251934302"/>
    <n v="1747696"/>
    <s v="RSA"/>
  </r>
  <r>
    <x v="2"/>
    <x v="11"/>
    <n v="245525"/>
    <n v="1080"/>
    <n v="246605"/>
    <s v="NA"/>
    <s v="NA"/>
    <n v="4921.2646086142904"/>
    <n v="107061.12031345"/>
    <n v="144867.12845978799"/>
    <n v="4179"/>
    <n v="43343"/>
    <n v="90"/>
    <m/>
    <n v="191"/>
    <m/>
    <n v="-10527.2204745051"/>
    <n v="551258"/>
    <s v="RSA"/>
  </r>
  <r>
    <x v="2"/>
    <x v="12"/>
    <n v="916643"/>
    <n v="2611"/>
    <n v="919254"/>
    <s v="NA"/>
    <s v="NA"/>
    <n v="8190.8244546858796"/>
    <n v="410347.835170265"/>
    <n v="252533.34574305499"/>
    <m/>
    <n v="101849"/>
    <m/>
    <m/>
    <n v="290"/>
    <m/>
    <n v="355006.457877382"/>
    <n v="1692465"/>
    <s v="RSA"/>
  </r>
  <r>
    <x v="2"/>
    <x v="13"/>
    <n v="2459946"/>
    <n v="3029"/>
    <n v="2462975"/>
    <s v="NA"/>
    <s v="NA"/>
    <n v="0"/>
    <n v="1491500.3880187101"/>
    <m/>
    <m/>
    <n v="273327"/>
    <m/>
    <n v="1798"/>
    <n v="337"/>
    <m/>
    <n v="-4280.6908854486801"/>
    <n v="4229937"/>
    <s v="RSA"/>
  </r>
  <r>
    <x v="2"/>
    <x v="14"/>
    <n v="213379"/>
    <n v="4399"/>
    <n v="217778"/>
    <s v="NA"/>
    <s v="NA"/>
    <n v="1716.6830849427099"/>
    <n v="10654.6155908984"/>
    <n v="24093.466696955998"/>
    <m/>
    <n v="53345"/>
    <m/>
    <n v="178"/>
    <n v="1100"/>
    <m/>
    <n v="-8679.3741324679704"/>
    <n v="308866"/>
    <s v="RSA"/>
  </r>
  <r>
    <x v="2"/>
    <x v="15"/>
    <n v="249863"/>
    <n v="720"/>
    <n v="250583"/>
    <s v="NA"/>
    <s v="NA"/>
    <n v="387.17038446707602"/>
    <n v="79025.244627924898"/>
    <n v="113742.01691462701"/>
    <m/>
    <m/>
    <m/>
    <m/>
    <m/>
    <m/>
    <n v="-24931.305462473301"/>
    <n v="468669"/>
    <s v="DBE"/>
  </r>
  <r>
    <x v="2"/>
    <x v="16"/>
    <n v="305853"/>
    <n v="854"/>
    <n v="306707"/>
    <s v="NA"/>
    <s v="NA"/>
    <n v="44084.479381312201"/>
    <n v="32743.131428040899"/>
    <n v="66090.347397806006"/>
    <m/>
    <m/>
    <m/>
    <m/>
    <m/>
    <m/>
    <n v="-16745.873733717901"/>
    <n v="466371"/>
    <s v="DBE"/>
  </r>
  <r>
    <x v="2"/>
    <x v="17"/>
    <n v="468947"/>
    <n v="557"/>
    <n v="469504"/>
    <s v="NA"/>
    <s v="NA"/>
    <n v="1426.2658251038399"/>
    <n v="525950.45837089699"/>
    <n v="131350.55673185401"/>
    <m/>
    <m/>
    <m/>
    <m/>
    <m/>
    <m/>
    <n v="-103197.945656008"/>
    <n v="1231429"/>
    <s v="DBE"/>
  </r>
  <r>
    <x v="2"/>
    <x v="18"/>
    <n v="535967"/>
    <n v="4514"/>
    <n v="540481"/>
    <s v="NA"/>
    <s v="NA"/>
    <n v="50845.718655771103"/>
    <n v="159063.34712698299"/>
    <n v="119898.10856348999"/>
    <m/>
    <m/>
    <m/>
    <m/>
    <m/>
    <m/>
    <n v="-177746.46342076501"/>
    <n v="1048035"/>
    <s v="DBE"/>
  </r>
  <r>
    <x v="2"/>
    <x v="19"/>
    <n v="91909"/>
    <n v="234"/>
    <n v="92143"/>
    <s v="NA"/>
    <s v="NA"/>
    <n v="11943.786282766099"/>
    <n v="288728.67295604403"/>
    <n v="77990.558928170198"/>
    <m/>
    <m/>
    <m/>
    <m/>
    <m/>
    <m/>
    <n v="-128862.23235720499"/>
    <n v="599668"/>
    <s v="DBE"/>
  </r>
  <r>
    <x v="2"/>
    <x v="20"/>
    <n v="608321"/>
    <n v="3918"/>
    <n v="612239"/>
    <s v="NA"/>
    <s v="NA"/>
    <n v="21671.712222235899"/>
    <n v="675394.24771828903"/>
    <n v="208746.98642443999"/>
    <m/>
    <m/>
    <m/>
    <m/>
    <m/>
    <m/>
    <n v="-111047.96439642301"/>
    <n v="1629100"/>
    <s v="DBE"/>
  </r>
  <r>
    <x v="2"/>
    <x v="21"/>
    <n v="382753"/>
    <n v="2289"/>
    <n v="385042"/>
    <s v="NA"/>
    <s v="NA"/>
    <n v="45.223905053636798"/>
    <n v="192737.19090833899"/>
    <n v="59153.805463320103"/>
    <m/>
    <m/>
    <m/>
    <m/>
    <m/>
    <m/>
    <n v="1949.00684737711"/>
    <n v="636978"/>
    <s v="DBE"/>
  </r>
  <r>
    <x v="2"/>
    <x v="22"/>
    <n v="668671"/>
    <n v="1249"/>
    <n v="669920"/>
    <s v="NA"/>
    <s v="NA"/>
    <n v="4698.1217632658099"/>
    <n v="130849.01123033999"/>
    <n v="63444.368692431999"/>
    <m/>
    <m/>
    <m/>
    <m/>
    <m/>
    <m/>
    <n v="170242.13187826899"/>
    <n v="868912"/>
    <s v="DBE"/>
  </r>
  <r>
    <x v="2"/>
    <x v="23"/>
    <n v="758941"/>
    <n v="222"/>
    <n v="759163"/>
    <s v="NA"/>
    <s v="NA"/>
    <n v="707.43907383916701"/>
    <n v="540339.50947784202"/>
    <n v="155625.18781366001"/>
    <m/>
    <m/>
    <m/>
    <m/>
    <m/>
    <m/>
    <n v="296766.29916957801"/>
    <n v="1455835"/>
    <s v="DBE"/>
  </r>
  <r>
    <x v="2"/>
    <x v="24"/>
    <n v="891567"/>
    <n v="355"/>
    <n v="891922"/>
    <s v="NA"/>
    <s v="NA"/>
    <n v="708.67708602148105"/>
    <n v="91620.724476501797"/>
    <n v="87671.565085270398"/>
    <m/>
    <m/>
    <m/>
    <m/>
    <m/>
    <m/>
    <n v="32120.574523752301"/>
    <n v="1071923"/>
    <s v="DBE"/>
  </r>
  <r>
    <x v="2"/>
    <x v="25"/>
    <n v="879010"/>
    <n v="1934"/>
    <n v="880944"/>
    <s v="NA"/>
    <s v="NA"/>
    <n v="32131.430865947699"/>
    <n v="479336.82479772798"/>
    <n v="161095.401837285"/>
    <m/>
    <m/>
    <m/>
    <m/>
    <m/>
    <m/>
    <n v="-289824.92197160702"/>
    <n v="1843333"/>
    <s v="DBE"/>
  </r>
  <r>
    <x v="2"/>
    <x v="26"/>
    <n v="985827"/>
    <n v="7427"/>
    <n v="993254"/>
    <s v="NA"/>
    <s v="NA"/>
    <n v="52282.719860271303"/>
    <n v="2397147.11797775"/>
    <n v="98786.098488462696"/>
    <m/>
    <m/>
    <m/>
    <m/>
    <m/>
    <m/>
    <n v="44826.486202111402"/>
    <n v="3541470"/>
    <s v="DBE"/>
  </r>
  <r>
    <x v="2"/>
    <x v="27"/>
    <n v="974846"/>
    <n v="14576"/>
    <n v="989422"/>
    <s v="NA"/>
    <s v="NA"/>
    <n v="11065.9500312979"/>
    <n v="696688.07347045396"/>
    <n v="246140.93419460001"/>
    <m/>
    <m/>
    <m/>
    <m/>
    <m/>
    <m/>
    <n v="430318.55819896498"/>
    <n v="1943317"/>
    <s v="DBE"/>
  </r>
  <r>
    <x v="2"/>
    <x v="28"/>
    <n v="544364"/>
    <n v="3391"/>
    <n v="547755"/>
    <s v="NA"/>
    <s v="NA"/>
    <n v="2470.0636731845102"/>
    <n v="460575.25263449003"/>
    <n v="314882.57845407998"/>
    <m/>
    <m/>
    <m/>
    <m/>
    <m/>
    <m/>
    <n v="86694.7015189636"/>
    <n v="1325683"/>
    <s v="DBE"/>
  </r>
  <r>
    <x v="2"/>
    <x v="29"/>
    <n v="450745"/>
    <n v="1494"/>
    <n v="452239"/>
    <s v="NA"/>
    <s v="NA"/>
    <n v="29900.780594589"/>
    <n v="1528485.1282349499"/>
    <n v="205463.925401594"/>
    <m/>
    <m/>
    <m/>
    <m/>
    <m/>
    <m/>
    <n v="-137355.66119184199"/>
    <n v="2353444"/>
    <s v="DBE"/>
  </r>
  <r>
    <x v="2"/>
    <x v="30"/>
    <n v="555226"/>
    <n v="6639"/>
    <n v="561865"/>
    <s v="NA"/>
    <s v="NA"/>
    <n v="8947.4625382457398"/>
    <n v="2696116.2908257698"/>
    <n v="74735"/>
    <m/>
    <m/>
    <m/>
    <m/>
    <m/>
    <m/>
    <n v="-16245.930253762101"/>
    <n v="3357910"/>
    <s v="DBE"/>
  </r>
  <r>
    <x v="2"/>
    <x v="31"/>
    <n v="511267"/>
    <n v="4396"/>
    <n v="515663"/>
    <s v="NA"/>
    <s v="NA"/>
    <n v="34698.7564149791"/>
    <n v="2416755.24056132"/>
    <n v="165400.900073475"/>
    <m/>
    <m/>
    <m/>
    <m/>
    <m/>
    <m/>
    <n v="-160954.69479730501"/>
    <n v="3293473"/>
    <s v="DBE"/>
  </r>
  <r>
    <x v="2"/>
    <x v="32"/>
    <n v="1037737"/>
    <n v="1887"/>
    <n v="1039624"/>
    <s v="NA"/>
    <s v="NA"/>
    <n v="21123.358766465499"/>
    <n v="2777679.9525351599"/>
    <n v="191387"/>
    <m/>
    <m/>
    <m/>
    <m/>
    <m/>
    <m/>
    <n v="152559.07508988501"/>
    <n v="4029814"/>
    <s v="DBE"/>
  </r>
  <r>
    <x v="2"/>
    <x v="33"/>
    <n v="825837"/>
    <n v="7476"/>
    <n v="833313"/>
    <s v="NA"/>
    <s v="NA"/>
    <n v="43932.204309752597"/>
    <n v="3519414.0598073299"/>
    <n v="202077"/>
    <m/>
    <m/>
    <m/>
    <m/>
    <m/>
    <m/>
    <n v="-141924.261991195"/>
    <n v="4740661"/>
    <s v="DBE"/>
  </r>
  <r>
    <x v="2"/>
    <x v="34"/>
    <n v="63268"/>
    <n v="15379"/>
    <n v="78647"/>
    <s v="NA"/>
    <s v="NA"/>
    <n v="2246.1657996542899"/>
    <n v="474915.81827728898"/>
    <n v="20800.307884371901"/>
    <m/>
    <m/>
    <m/>
    <m/>
    <m/>
    <m/>
    <n v="-7991.8510321723097"/>
    <n v="584601"/>
    <s v="DBE"/>
  </r>
  <r>
    <x v="2"/>
    <x v="35"/>
    <n v="363389"/>
    <n v="2401"/>
    <n v="365790"/>
    <s v="NA"/>
    <s v="NA"/>
    <n v="0"/>
    <n v="349317.35542963998"/>
    <n v="133330.37728388101"/>
    <m/>
    <m/>
    <m/>
    <m/>
    <m/>
    <m/>
    <n v="123614.44495903399"/>
    <n v="848438"/>
    <s v="DBE"/>
  </r>
  <r>
    <x v="2"/>
    <x v="36"/>
    <n v="421015"/>
    <n v="9477"/>
    <n v="430492"/>
    <s v="NA"/>
    <s v="NA"/>
    <n v="739.76620986769103"/>
    <n v="1372530.2070772201"/>
    <n v="143515.71647440101"/>
    <m/>
    <m/>
    <m/>
    <m/>
    <m/>
    <m/>
    <n v="172817.916041927"/>
    <n v="1947278"/>
    <s v="DBE"/>
  </r>
  <r>
    <x v="2"/>
    <x v="37"/>
    <n v="293804"/>
    <n v="30167"/>
    <n v="323971"/>
    <s v="NA"/>
    <s v="NA"/>
    <n v="0"/>
    <n v="1030682.073421"/>
    <n v="148064.34887123801"/>
    <m/>
    <m/>
    <m/>
    <m/>
    <m/>
    <m/>
    <n v="37716.487579301902"/>
    <n v="1502717"/>
    <s v="DBE"/>
  </r>
  <r>
    <x v="2"/>
    <x v="38"/>
    <n v="71975"/>
    <n v="16145"/>
    <n v="88120"/>
    <s v="NA"/>
    <s v="NA"/>
    <n v="323.48637108959599"/>
    <n v="589613.75343669998"/>
    <n v="23836.292531751798"/>
    <m/>
    <m/>
    <m/>
    <m/>
    <m/>
    <m/>
    <n v="11042.384158194"/>
    <n v="701894"/>
    <s v="DBE"/>
  </r>
  <r>
    <x v="2"/>
    <x v="39"/>
    <n v="580179"/>
    <n v="485"/>
    <n v="580664"/>
    <s v="NA"/>
    <s v="NA"/>
    <n v="0"/>
    <n v="3181205.90656339"/>
    <n v="239346.36878593301"/>
    <m/>
    <m/>
    <m/>
    <m/>
    <m/>
    <m/>
    <n v="100565.84363804699"/>
    <n v="4001216"/>
    <s v="DBE"/>
  </r>
  <r>
    <x v="2"/>
    <x v="40"/>
    <n v="382833"/>
    <n v="3738"/>
    <n v="386571"/>
    <s v="NA"/>
    <s v="NA"/>
    <n v="5246.8739609227996"/>
    <n v="1122529.1854717601"/>
    <n v="176337.46676645699"/>
    <m/>
    <m/>
    <m/>
    <m/>
    <m/>
    <m/>
    <n v="51757.522968094803"/>
    <n v="1690685"/>
    <s v="DBE"/>
  </r>
  <r>
    <x v="2"/>
    <x v="41"/>
    <n v="249578"/>
    <n v="3973"/>
    <n v="253551"/>
    <s v="NA"/>
    <s v="NA"/>
    <m/>
    <n v="837773.23237609304"/>
    <n v="94261.497712804106"/>
    <m/>
    <m/>
    <m/>
    <m/>
    <m/>
    <m/>
    <n v="96015.535186909605"/>
    <n v="1185586"/>
    <s v="DBE"/>
  </r>
  <r>
    <x v="2"/>
    <x v="42"/>
    <n v="34540"/>
    <n v="1609"/>
    <n v="36149"/>
    <s v="NA"/>
    <s v="NA"/>
    <m/>
    <n v="186736.177788639"/>
    <n v="13564.0078577733"/>
    <m/>
    <m/>
    <m/>
    <m/>
    <m/>
    <m/>
    <n v="-21727.766358719098"/>
    <n v="258177"/>
    <s v="DBE"/>
  </r>
  <r>
    <x v="2"/>
    <x v="43"/>
    <n v="497759"/>
    <n v="1067"/>
    <n v="498826"/>
    <s v="NA"/>
    <s v="NA"/>
    <m/>
    <n v="1075824.0477829101"/>
    <n v="98822.641824995502"/>
    <m/>
    <m/>
    <m/>
    <m/>
    <m/>
    <m/>
    <n v="-18952.526767499501"/>
    <n v="1692425"/>
    <s v="DBE"/>
  </r>
  <r>
    <x v="2"/>
    <x v="44"/>
    <n v="258391"/>
    <n v="14303"/>
    <n v="272694"/>
    <s v="NA"/>
    <s v="NA"/>
    <m/>
    <n v="1120831.73427746"/>
    <n v="67178.738672374704"/>
    <m/>
    <m/>
    <m/>
    <m/>
    <m/>
    <m/>
    <n v="-158669.871725415"/>
    <n v="1619374"/>
    <s v="DBE"/>
  </r>
  <r>
    <x v="2"/>
    <x v="45"/>
    <n v="146842"/>
    <n v="12332"/>
    <n v="159174"/>
    <s v="NA"/>
    <s v="NA"/>
    <m/>
    <n v="499794.90122476802"/>
    <n v="45448.429161009997"/>
    <m/>
    <m/>
    <m/>
    <m/>
    <m/>
    <m/>
    <n v="46195.541783751003"/>
    <n v="704417"/>
    <s v="DBE"/>
  </r>
  <r>
    <x v="2"/>
    <x v="46"/>
    <n v="51330"/>
    <n v="5452"/>
    <n v="56782"/>
    <s v="NA"/>
    <s v="NA"/>
    <m/>
    <n v="271707.98703659"/>
    <n v="16797.902037524898"/>
    <m/>
    <m/>
    <m/>
    <m/>
    <m/>
    <m/>
    <n v="7950.6747213776198"/>
    <n v="345288"/>
    <s v="DBE"/>
  </r>
  <r>
    <x v="2"/>
    <x v="47"/>
    <n v="384390"/>
    <n v="3077"/>
    <n v="387467"/>
    <s v="NA"/>
    <s v="NA"/>
    <m/>
    <n v="1474859"/>
    <n v="135864"/>
    <m/>
    <m/>
    <m/>
    <m/>
    <m/>
    <m/>
    <m/>
    <n v="1998190"/>
    <s v="NA"/>
  </r>
  <r>
    <x v="2"/>
    <x v="48"/>
    <n v="244631"/>
    <n v="31067"/>
    <n v="275698"/>
    <s v="NA"/>
    <s v="NA"/>
    <m/>
    <n v="474559"/>
    <n v="88139"/>
    <m/>
    <m/>
    <m/>
    <m/>
    <m/>
    <m/>
    <m/>
    <n v="838396"/>
    <s v="RSA"/>
  </r>
  <r>
    <x v="2"/>
    <x v="49"/>
    <n v="110026"/>
    <n v="32569"/>
    <n v="142595"/>
    <s v="NA"/>
    <s v="NA"/>
    <m/>
    <n v="544166"/>
    <n v="55455"/>
    <m/>
    <m/>
    <m/>
    <m/>
    <m/>
    <m/>
    <m/>
    <n v="742216"/>
    <s v="NA"/>
  </r>
  <r>
    <x v="2"/>
    <x v="50"/>
    <n v="55675"/>
    <n v="6032"/>
    <n v="61707"/>
    <s v="NA"/>
    <s v="NA"/>
    <m/>
    <n v="389756"/>
    <n v="13066"/>
    <m/>
    <m/>
    <m/>
    <m/>
    <m/>
    <m/>
    <m/>
    <n v="464529"/>
    <s v="NA"/>
  </r>
  <r>
    <x v="2"/>
    <x v="51"/>
    <n v="562650"/>
    <n v="1815"/>
    <n v="564465"/>
    <s v="NA"/>
    <s v="NA"/>
    <m/>
    <n v="1747708"/>
    <n v="77900"/>
    <m/>
    <m/>
    <m/>
    <m/>
    <m/>
    <m/>
    <m/>
    <n v="2390073"/>
    <s v="NA"/>
  </r>
  <r>
    <x v="2"/>
    <x v="52"/>
    <n v="168396"/>
    <n v="18193"/>
    <n v="186589"/>
    <s v="NA"/>
    <s v="NA"/>
    <m/>
    <n v="1881606"/>
    <n v="46505"/>
    <m/>
    <m/>
    <m/>
    <m/>
    <m/>
    <m/>
    <m/>
    <n v="2114700"/>
    <s v="NA"/>
  </r>
  <r>
    <x v="2"/>
    <x v="53"/>
    <n v="135388"/>
    <n v="9661"/>
    <n v="145049"/>
    <s v="NA"/>
    <s v="NA"/>
    <m/>
    <n v="594047.99999999895"/>
    <n v="52405"/>
    <m/>
    <m/>
    <m/>
    <m/>
    <m/>
    <m/>
    <m/>
    <n v="791502"/>
    <s v="NA"/>
  </r>
  <r>
    <x v="2"/>
    <x v="54"/>
    <n v="70902"/>
    <n v="5616"/>
    <n v="76518"/>
    <s v="NA"/>
    <s v="NA"/>
    <m/>
    <n v="298166"/>
    <n v="5517"/>
    <m/>
    <m/>
    <m/>
    <m/>
    <m/>
    <m/>
    <m/>
    <n v="380201"/>
    <s v="NA"/>
  </r>
  <r>
    <x v="2"/>
    <x v="55"/>
    <n v="413862"/>
    <n v="584"/>
    <n v="414446"/>
    <s v="NA"/>
    <s v="NA"/>
    <m/>
    <n v="1385071.43750142"/>
    <n v="76303"/>
    <m/>
    <m/>
    <m/>
    <m/>
    <m/>
    <m/>
    <m/>
    <n v="1875820"/>
    <s v="NA"/>
  </r>
  <r>
    <x v="2"/>
    <x v="56"/>
    <n v="174715"/>
    <n v="1622"/>
    <n v="176337"/>
    <s v="NA"/>
    <s v="NA"/>
    <m/>
    <n v="938139.39257095999"/>
    <n v="23885"/>
    <m/>
    <m/>
    <m/>
    <m/>
    <m/>
    <m/>
    <m/>
    <n v="1138361"/>
    <s v="NA"/>
  </r>
  <r>
    <x v="2"/>
    <x v="57"/>
    <n v="209619"/>
    <n v="17083"/>
    <n v="226702"/>
    <s v="NA"/>
    <s v="NA"/>
    <m/>
    <n v="755909.44426887098"/>
    <n v="31629"/>
    <m/>
    <m/>
    <m/>
    <m/>
    <m/>
    <m/>
    <m/>
    <n v="1014240"/>
    <s v="NA"/>
  </r>
  <r>
    <x v="2"/>
    <x v="58"/>
    <n v="35335"/>
    <n v="4567"/>
    <n v="39902"/>
    <s v="NA"/>
    <s v="NA"/>
    <m/>
    <n v="106133"/>
    <n v="5685"/>
    <m/>
    <m/>
    <m/>
    <m/>
    <m/>
    <m/>
    <m/>
    <n v="151720"/>
    <s v="NA"/>
  </r>
  <r>
    <x v="2"/>
    <x v="59"/>
    <n v="238272"/>
    <n v="329"/>
    <n v="238601"/>
    <s v="NA"/>
    <s v="NA"/>
    <m/>
    <n v="647466.40377206204"/>
    <n v="95871"/>
    <m/>
    <m/>
    <m/>
    <m/>
    <m/>
    <m/>
    <m/>
    <n v="981938"/>
    <s v="RSA"/>
  </r>
  <r>
    <x v="2"/>
    <x v="60"/>
    <n v="998231"/>
    <n v="4021"/>
    <n v="1002252"/>
    <s v="NA"/>
    <s v="NA"/>
    <m/>
    <n v="1112584.6098567499"/>
    <n v="116597"/>
    <m/>
    <m/>
    <m/>
    <m/>
    <m/>
    <m/>
    <m/>
    <n v="2231434"/>
    <s v="NA"/>
  </r>
  <r>
    <x v="2"/>
    <x v="61"/>
    <n v="77713"/>
    <n v="14754"/>
    <n v="92467"/>
    <s v="NA"/>
    <s v="NA"/>
    <m/>
    <n v="208949.80106522"/>
    <n v="23276"/>
    <m/>
    <m/>
    <m/>
    <m/>
    <m/>
    <m/>
    <m/>
    <n v="324693"/>
    <s v="NA"/>
  </r>
  <r>
    <x v="2"/>
    <x v="62"/>
    <n v="39101"/>
    <n v="1214"/>
    <n v="40315"/>
    <s v="NA"/>
    <s v="NA"/>
    <m/>
    <n v="95782"/>
    <n v="7668"/>
    <m/>
    <m/>
    <m/>
    <m/>
    <m/>
    <m/>
    <m/>
    <n v="143765"/>
    <s v="NA"/>
  </r>
  <r>
    <x v="2"/>
    <x v="63"/>
    <n v="426546"/>
    <n v="61"/>
    <n v="426607"/>
    <s v="NA"/>
    <s v="NA"/>
    <m/>
    <n v="1807823"/>
    <n v="60250"/>
    <m/>
    <m/>
    <m/>
    <m/>
    <m/>
    <m/>
    <m/>
    <n v="2294680"/>
    <s v="RSA"/>
  </r>
  <r>
    <x v="2"/>
    <x v="64"/>
    <n v="463060"/>
    <n v="8102"/>
    <n v="471162"/>
    <s v="NA"/>
    <s v="NA"/>
    <m/>
    <n v="925158"/>
    <n v="33176"/>
    <m/>
    <m/>
    <m/>
    <m/>
    <m/>
    <m/>
    <m/>
    <n v="1429496"/>
    <s v="NA"/>
  </r>
  <r>
    <x v="2"/>
    <x v="65"/>
    <n v="120104"/>
    <n v="16977"/>
    <n v="137081"/>
    <s v="NA"/>
    <s v="NA"/>
    <m/>
    <n v="621119.99305070494"/>
    <n v="13002.974422448"/>
    <m/>
    <m/>
    <m/>
    <m/>
    <m/>
    <m/>
    <m/>
    <n v="771204"/>
    <s v="NA"/>
  </r>
  <r>
    <x v="2"/>
    <x v="66"/>
    <n v="138464"/>
    <n v="2301"/>
    <n v="140765"/>
    <s v="NA"/>
    <s v="NA"/>
    <m/>
    <n v="380763"/>
    <n v="19193"/>
    <m/>
    <m/>
    <m/>
    <m/>
    <m/>
    <m/>
    <m/>
    <n v="540721"/>
    <s v="NA"/>
  </r>
  <r>
    <x v="2"/>
    <x v="67"/>
    <n v="646906"/>
    <n v="862"/>
    <n v="647768"/>
    <s v="NA"/>
    <s v="NA"/>
    <m/>
    <n v="1105752"/>
    <n v="36624"/>
    <m/>
    <m/>
    <m/>
    <m/>
    <m/>
    <m/>
    <m/>
    <n v="1790144"/>
    <s v="NA"/>
  </r>
  <r>
    <x v="2"/>
    <x v="68"/>
    <n v="121167"/>
    <n v="10979"/>
    <n v="132146"/>
    <s v="NA"/>
    <s v="NA"/>
    <m/>
    <n v="494703"/>
    <n v="26500"/>
    <m/>
    <m/>
    <m/>
    <m/>
    <m/>
    <m/>
    <m/>
    <n v="653349"/>
    <s v="RSA"/>
  </r>
  <r>
    <x v="2"/>
    <x v="69"/>
    <n v="34296"/>
    <n v="3447"/>
    <n v="37743"/>
    <s v="NA"/>
    <s v="NA"/>
    <m/>
    <n v="193426.125863783"/>
    <n v="9244.7151274155603"/>
    <m/>
    <m/>
    <m/>
    <m/>
    <m/>
    <m/>
    <m/>
    <n v="240414"/>
    <s v="NA"/>
  </r>
  <r>
    <x v="2"/>
    <x v="70"/>
    <n v="200691"/>
    <n v="554"/>
    <n v="201245"/>
    <s v="NA"/>
    <s v="NA"/>
    <m/>
    <n v="556873.99999999895"/>
    <n v="18878"/>
    <m/>
    <m/>
    <m/>
    <m/>
    <m/>
    <m/>
    <m/>
    <n v="776997"/>
    <s v="NA"/>
  </r>
  <r>
    <x v="2"/>
    <x v="71"/>
    <n v="485585"/>
    <n v="4480"/>
    <n v="490065"/>
    <s v="NA"/>
    <s v="NA"/>
    <m/>
    <n v="1187461"/>
    <n v="51165"/>
    <m/>
    <m/>
    <m/>
    <m/>
    <m/>
    <m/>
    <m/>
    <n v="1728691"/>
    <s v="NA"/>
  </r>
  <r>
    <x v="3"/>
    <x v="0"/>
    <n v="5380"/>
    <n v="94"/>
    <n v="5474"/>
    <s v="NA"/>
    <s v="NA"/>
    <n v="0"/>
    <n v="193.661796401554"/>
    <n v="0.106009257744597"/>
    <m/>
    <n v="7134"/>
    <n v="1627"/>
    <m/>
    <n v="94"/>
    <m/>
    <n v="-26290.953030109202"/>
    <n v="14523"/>
    <s v="RSA"/>
  </r>
  <r>
    <x v="3"/>
    <x v="1"/>
    <n v="3591"/>
    <n v="0"/>
    <n v="3591"/>
    <s v="NA"/>
    <s v="NA"/>
    <n v="0"/>
    <n v="64.302070879374199"/>
    <n v="3.0989289648087599"/>
    <m/>
    <n v="503"/>
    <n v="937"/>
    <m/>
    <m/>
    <m/>
    <n v="-3700.8067230271799"/>
    <n v="5098"/>
    <s v="RSA"/>
  </r>
  <r>
    <x v="3"/>
    <x v="2"/>
    <n v="2037"/>
    <n v="0"/>
    <n v="2037"/>
    <s v="NA"/>
    <s v="NA"/>
    <n v="0"/>
    <n v="34.355713156799801"/>
    <n v="3.0441089695717598"/>
    <m/>
    <n v="226"/>
    <m/>
    <m/>
    <m/>
    <m/>
    <n v="-2130.6773059741299"/>
    <n v="2300"/>
    <s v="RSA"/>
  </r>
  <r>
    <x v="3"/>
    <x v="3"/>
    <n v="31766"/>
    <n v="0"/>
    <n v="31766"/>
    <s v="NA"/>
    <s v="NA"/>
    <n v="25.609710490723099"/>
    <n v="260.265759238302"/>
    <n v="5.9993495458949901"/>
    <m/>
    <n v="3529.5555555555602"/>
    <m/>
    <m/>
    <m/>
    <m/>
    <n v="5873.0994560932804"/>
    <n v="35587"/>
    <s v="RSA"/>
  </r>
  <r>
    <x v="3"/>
    <x v="4"/>
    <n v="1347"/>
    <n v="91"/>
    <n v="1438"/>
    <s v="NA"/>
    <s v="NA"/>
    <n v="0"/>
    <n v="29.192786116624799"/>
    <n v="7.1915725242685302E-2"/>
    <m/>
    <n v="150"/>
    <m/>
    <m/>
    <n v="10"/>
    <m/>
    <n v="-5204.4653954331397"/>
    <n v="1627"/>
    <s v="RSA"/>
  </r>
  <r>
    <x v="3"/>
    <x v="5"/>
    <n v="2341"/>
    <n v="0"/>
    <n v="2341"/>
    <s v="NA"/>
    <s v="NA"/>
    <n v="0"/>
    <n v="248.18863643663599"/>
    <n v="35.0280201568997"/>
    <m/>
    <n v="260"/>
    <m/>
    <m/>
    <m/>
    <m/>
    <n v="-2512.8385742150699"/>
    <n v="2884"/>
    <s v="RSA"/>
  </r>
  <r>
    <x v="3"/>
    <x v="6"/>
    <n v="6746"/>
    <n v="0"/>
    <n v="6746"/>
    <s v="NA"/>
    <s v="NA"/>
    <n v="83.1690021565"/>
    <n v="109.54043717014299"/>
    <n v="10.4105176104371"/>
    <m/>
    <n v="958"/>
    <n v="1880"/>
    <m/>
    <m/>
    <m/>
    <n v="-7757.1467233678604"/>
    <n v="9787"/>
    <s v="RSA"/>
  </r>
  <r>
    <x v="3"/>
    <x v="7"/>
    <n v="57928"/>
    <n v="0"/>
    <n v="57928"/>
    <s v="NA"/>
    <s v="NA"/>
    <n v="392.71125576970002"/>
    <n v="1405.13247401179"/>
    <n v="613.14274317709396"/>
    <m/>
    <n v="6436"/>
    <m/>
    <m/>
    <m/>
    <m/>
    <n v="-16473.6797818583"/>
    <n v="66775"/>
    <s v="RSA"/>
  </r>
  <r>
    <x v="3"/>
    <x v="8"/>
    <n v="6589"/>
    <n v="121"/>
    <n v="6710"/>
    <s v="NA"/>
    <s v="NA"/>
    <n v="0"/>
    <n v="502.68420605658798"/>
    <n v="66.889320684511802"/>
    <m/>
    <n v="1834"/>
    <n v="746"/>
    <m/>
    <n v="34"/>
    <n v="16"/>
    <n v="-14909.355460032601"/>
    <n v="9910"/>
    <s v="RSA"/>
  </r>
  <r>
    <x v="3"/>
    <x v="9"/>
    <n v="3470"/>
    <n v="0"/>
    <n v="3470"/>
    <s v="NA"/>
    <s v="NA"/>
    <n v="0"/>
    <n v="1160.011536812"/>
    <n v="553.014021613561"/>
    <m/>
    <n v="452"/>
    <n v="595"/>
    <m/>
    <m/>
    <m/>
    <n v="-19552.219485128098"/>
    <n v="6230"/>
    <s v="RSA"/>
  </r>
  <r>
    <x v="3"/>
    <x v="10"/>
    <n v="11705"/>
    <n v="0"/>
    <n v="11705"/>
    <s v="NA"/>
    <s v="NA"/>
    <n v="0"/>
    <n v="668.95565098119403"/>
    <n v="320.78511910061002"/>
    <m/>
    <n v="1643"/>
    <n v="3081"/>
    <m/>
    <m/>
    <m/>
    <n v="-33077.100703617303"/>
    <n v="17419"/>
    <s v="RSA"/>
  </r>
  <r>
    <x v="3"/>
    <x v="11"/>
    <n v="126164"/>
    <n v="0"/>
    <n v="126164"/>
    <s v="NA"/>
    <s v="NA"/>
    <n v="0"/>
    <n v="6392.15864343259"/>
    <n v="2144.8823894805701"/>
    <m/>
    <n v="77326"/>
    <m/>
    <m/>
    <m/>
    <m/>
    <n v="-79507.175134753503"/>
    <n v="212027"/>
    <s v="RSA"/>
  </r>
  <r>
    <x v="3"/>
    <x v="12"/>
    <n v="4479"/>
    <n v="14"/>
    <n v="4493"/>
    <s v="NA"/>
    <s v="NA"/>
    <n v="0.455700244335"/>
    <n v="477.18162857450699"/>
    <n v="78.7516297669209"/>
    <m/>
    <n v="1493"/>
    <m/>
    <m/>
    <n v="5"/>
    <m/>
    <n v="-5369.2866612512198"/>
    <n v="6547"/>
    <s v="RSA"/>
  </r>
  <r>
    <x v="3"/>
    <x v="13"/>
    <n v="2775"/>
    <n v="20"/>
    <n v="2795"/>
    <s v="NA"/>
    <s v="NA"/>
    <n v="0"/>
    <n v="815.62718703248595"/>
    <m/>
    <m/>
    <m/>
    <m/>
    <m/>
    <m/>
    <m/>
    <n v="-7944.1690383004097"/>
    <n v="3611"/>
    <s v="RSA"/>
  </r>
  <r>
    <x v="3"/>
    <x v="14"/>
    <n v="5587"/>
    <n v="0"/>
    <n v="5587"/>
    <s v="NA"/>
    <s v="NA"/>
    <n v="9.4174860312726594"/>
    <n v="524.13345832848097"/>
    <n v="27.240693244081399"/>
    <m/>
    <n v="1862"/>
    <m/>
    <m/>
    <m/>
    <m/>
    <n v="-6336.3683852187596"/>
    <n v="8010"/>
    <s v="RSA"/>
  </r>
  <r>
    <x v="3"/>
    <x v="15"/>
    <n v="67822"/>
    <n v="0"/>
    <n v="67822"/>
    <s v="NA"/>
    <s v="NA"/>
    <n v="0"/>
    <n v="4021.9883543214301"/>
    <n v="954.83397653070006"/>
    <m/>
    <m/>
    <m/>
    <m/>
    <m/>
    <m/>
    <n v="-15954.364951203401"/>
    <n v="88753"/>
    <s v="DBE"/>
  </r>
  <r>
    <x v="3"/>
    <x v="16"/>
    <n v="1965"/>
    <n v="22"/>
    <n v="1987"/>
    <s v="NA"/>
    <s v="NA"/>
    <n v="0"/>
    <n v="47.457905715929002"/>
    <m/>
    <m/>
    <m/>
    <m/>
    <m/>
    <m/>
    <m/>
    <n v="673.48000000829995"/>
    <n v="2034"/>
    <s v="DBE"/>
  </r>
  <r>
    <x v="3"/>
    <x v="17"/>
    <n v="1097"/>
    <n v="0"/>
    <n v="1097"/>
    <s v="NA"/>
    <s v="NA"/>
    <n v="1.7758965659999999"/>
    <n v="397.37112195261301"/>
    <n v="80.708996049111803"/>
    <m/>
    <m/>
    <m/>
    <m/>
    <m/>
    <m/>
    <n v="-3788.4460048604801"/>
    <n v="5365"/>
    <s v="DBE"/>
  </r>
  <r>
    <x v="3"/>
    <x v="18"/>
    <n v="3407"/>
    <n v="0"/>
    <n v="3407"/>
    <s v="NA"/>
    <s v="NA"/>
    <n v="0"/>
    <n v="268.62662350847899"/>
    <n v="21.623533386848699"/>
    <m/>
    <m/>
    <m/>
    <m/>
    <m/>
    <m/>
    <n v="-1771.21718810159"/>
    <n v="5468"/>
    <s v="DBE"/>
  </r>
  <r>
    <x v="3"/>
    <x v="19"/>
    <n v="40329"/>
    <n v="0"/>
    <n v="40329"/>
    <s v="NA"/>
    <s v="NA"/>
    <n v="214.328484215028"/>
    <n v="17841.7711406858"/>
    <n v="2246.2114572451401"/>
    <m/>
    <m/>
    <m/>
    <m/>
    <m/>
    <m/>
    <n v="-64567.916452840698"/>
    <n v="125199"/>
    <s v="DBE"/>
  </r>
  <r>
    <x v="3"/>
    <x v="20"/>
    <n v="4956"/>
    <n v="41"/>
    <n v="4997"/>
    <s v="NA"/>
    <s v="NA"/>
    <n v="251.05545995112101"/>
    <n v="1141.83190899685"/>
    <n v="295.16924545773998"/>
    <m/>
    <m/>
    <m/>
    <m/>
    <m/>
    <m/>
    <n v="-11653.2784787686"/>
    <n v="18338"/>
    <s v="DBE"/>
  </r>
  <r>
    <x v="3"/>
    <x v="21"/>
    <n v="3841"/>
    <n v="26"/>
    <n v="3867"/>
    <s v="NA"/>
    <s v="NA"/>
    <n v="6.5035333683420495E-4"/>
    <n v="295.27441752683097"/>
    <n v="107.574765761531"/>
    <m/>
    <m/>
    <m/>
    <m/>
    <m/>
    <m/>
    <n v="-5140.2810550685599"/>
    <n v="9410"/>
    <s v="DBE"/>
  </r>
  <r>
    <x v="3"/>
    <x v="22"/>
    <n v="30272"/>
    <n v="239"/>
    <n v="30511"/>
    <s v="NA"/>
    <s v="NA"/>
    <n v="1.49428264097333E-3"/>
    <n v="1075.0220836072499"/>
    <n v="318.36548495456998"/>
    <m/>
    <m/>
    <m/>
    <m/>
    <m/>
    <m/>
    <n v="-893.03827315835304"/>
    <n v="32797"/>
    <s v="DBE"/>
  </r>
  <r>
    <x v="3"/>
    <x v="23"/>
    <n v="8160"/>
    <n v="0"/>
    <n v="8160"/>
    <s v="NA"/>
    <s v="NA"/>
    <n v="4.5314192252738E-2"/>
    <n v="1252.27024284247"/>
    <n v="1220.47091669205"/>
    <m/>
    <m/>
    <m/>
    <m/>
    <m/>
    <m/>
    <n v="-2272.9240289639301"/>
    <n v="12906"/>
    <s v="DBE"/>
  </r>
  <r>
    <x v="3"/>
    <x v="24"/>
    <n v="424"/>
    <n v="4"/>
    <n v="428"/>
    <s v="NA"/>
    <s v="NA"/>
    <n v="1.4819963852905401E-11"/>
    <n v="180.19294969123399"/>
    <n v="3.2326071242111198"/>
    <m/>
    <m/>
    <m/>
    <m/>
    <m/>
    <m/>
    <n v="-3348.85278804467"/>
    <n v="3960"/>
    <s v="DBE"/>
  </r>
  <r>
    <x v="3"/>
    <x v="25"/>
    <n v="1068"/>
    <n v="4"/>
    <n v="1072"/>
    <s v="NA"/>
    <s v="NA"/>
    <n v="2.59339971340312E-2"/>
    <n v="407.336132613811"/>
    <n v="74.987147621306804"/>
    <m/>
    <m/>
    <m/>
    <m/>
    <m/>
    <m/>
    <n v="-6688.4373144646097"/>
    <n v="8243"/>
    <s v="DBE"/>
  </r>
  <r>
    <x v="3"/>
    <x v="26"/>
    <n v="773"/>
    <n v="7"/>
    <n v="780"/>
    <s v="NA"/>
    <s v="NA"/>
    <n v="56.954479285000197"/>
    <n v="1646.2348091763599"/>
    <n v="58.115717127927901"/>
    <m/>
    <m/>
    <m/>
    <m/>
    <m/>
    <m/>
    <n v="-2516.7693672289302"/>
    <n v="5058"/>
    <s v="DBE"/>
  </r>
  <r>
    <x v="3"/>
    <x v="27"/>
    <n v="4228"/>
    <n v="12"/>
    <n v="4240"/>
    <s v="NA"/>
    <s v="NA"/>
    <n v="6.6008386048810102E-13"/>
    <n v="262.79912492246802"/>
    <n v="1.1449369482418901"/>
    <m/>
    <m/>
    <m/>
    <m/>
    <m/>
    <m/>
    <n v="-2110.6223331030501"/>
    <n v="6615"/>
    <s v="DBE"/>
  </r>
  <r>
    <x v="3"/>
    <x v="28"/>
    <n v="968"/>
    <n v="20"/>
    <n v="988"/>
    <s v="NA"/>
    <s v="NA"/>
    <n v="8.4850297339541101E-16"/>
    <n v="197.91405401503201"/>
    <n v="107.35110271505199"/>
    <m/>
    <m/>
    <m/>
    <m/>
    <m/>
    <m/>
    <n v="-516.28715011966301"/>
    <n v="1810"/>
    <s v="DBE"/>
  </r>
  <r>
    <x v="3"/>
    <x v="29"/>
    <n v="7966"/>
    <n v="15"/>
    <n v="7981"/>
    <s v="NA"/>
    <s v="NA"/>
    <n v="295.14035265619498"/>
    <n v="14467.2994943128"/>
    <n v="369.88602785985597"/>
    <m/>
    <m/>
    <m/>
    <m/>
    <m/>
    <m/>
    <n v="525.17797872072401"/>
    <n v="23113"/>
    <s v="DBE"/>
  </r>
  <r>
    <x v="3"/>
    <x v="30"/>
    <n v="500"/>
    <n v="10"/>
    <n v="510"/>
    <s v="NA"/>
    <s v="NA"/>
    <n v="8.0016281916577991"/>
    <n v="1062.47468728693"/>
    <n v="2.8662420382165599"/>
    <m/>
    <m/>
    <m/>
    <m/>
    <m/>
    <m/>
    <n v="-408.496764695016"/>
    <n v="1992"/>
    <s v="DBE"/>
  </r>
  <r>
    <x v="3"/>
    <x v="31"/>
    <n v="3888"/>
    <n v="35"/>
    <n v="3923"/>
    <s v="NA"/>
    <s v="NA"/>
    <n v="2.7111234231974701"/>
    <n v="4556.6301782995997"/>
    <m/>
    <m/>
    <m/>
    <m/>
    <m/>
    <m/>
    <m/>
    <n v="756.36931705695804"/>
    <n v="8482"/>
    <s v="DBE"/>
  </r>
  <r>
    <x v="3"/>
    <x v="32"/>
    <n v="1050"/>
    <n v="0"/>
    <n v="1050"/>
    <s v="NA"/>
    <s v="NA"/>
    <n v="0"/>
    <n v="1544.48596088976"/>
    <n v="99.498327759197295"/>
    <m/>
    <m/>
    <m/>
    <m/>
    <m/>
    <m/>
    <n v="-1012.74075005123"/>
    <n v="3707"/>
    <s v="DBE"/>
  </r>
  <r>
    <x v="3"/>
    <x v="33"/>
    <n v="2230"/>
    <n v="0"/>
    <n v="2230"/>
    <s v="NA"/>
    <s v="NA"/>
    <n v="10.0652171277483"/>
    <n v="3358.3841826288699"/>
    <n v="35.791408894595499"/>
    <m/>
    <m/>
    <m/>
    <m/>
    <m/>
    <m/>
    <n v="204.17258339944101"/>
    <n v="5634"/>
    <s v="DBE"/>
  </r>
  <r>
    <x v="3"/>
    <x v="34"/>
    <n v="89"/>
    <n v="11"/>
    <n v="100"/>
    <s v="NA"/>
    <s v="NA"/>
    <n v="0.72660553864085597"/>
    <n v="350.15026355540198"/>
    <n v="1.9905764470819799E-2"/>
    <m/>
    <m/>
    <m/>
    <m/>
    <m/>
    <m/>
    <n v="15.1490927449937"/>
    <n v="451"/>
    <s v="DBE"/>
  </r>
  <r>
    <x v="3"/>
    <x v="35"/>
    <n v="6828"/>
    <n v="47"/>
    <n v="6875"/>
    <s v="NA"/>
    <s v="NA"/>
    <n v="0"/>
    <n v="5113.9862558356699"/>
    <m/>
    <m/>
    <m/>
    <m/>
    <m/>
    <m/>
    <m/>
    <n v="1396.4032970317101"/>
    <n v="11989"/>
    <s v="DBE"/>
  </r>
  <r>
    <x v="3"/>
    <x v="36"/>
    <n v="1716"/>
    <n v="0"/>
    <n v="1716"/>
    <s v="NA"/>
    <s v="NA"/>
    <n v="1.9940158883674399"/>
    <n v="5145.5869510226003"/>
    <m/>
    <m/>
    <m/>
    <m/>
    <m/>
    <m/>
    <m/>
    <n v="-69.451795082061196"/>
    <n v="6933"/>
    <s v="DBE"/>
  </r>
  <r>
    <x v="3"/>
    <x v="37"/>
    <n v="1164"/>
    <n v="0"/>
    <n v="1164"/>
    <s v="NA"/>
    <s v="NA"/>
    <n v="0"/>
    <n v="230.48147420703299"/>
    <m/>
    <m/>
    <m/>
    <m/>
    <m/>
    <m/>
    <m/>
    <n v="450.81231677216698"/>
    <n v="1394"/>
    <s v="DBE"/>
  </r>
  <r>
    <x v="3"/>
    <x v="38"/>
    <n v="20"/>
    <n v="0"/>
    <n v="20"/>
    <s v="NA"/>
    <s v="NA"/>
    <n v="0"/>
    <n v="146.749981836486"/>
    <n v="4.3416550235531703"/>
    <m/>
    <m/>
    <m/>
    <m/>
    <m/>
    <m/>
    <n v="-3.5440479067809099"/>
    <n v="175"/>
    <s v="DBE"/>
  </r>
  <r>
    <x v="3"/>
    <x v="39"/>
    <n v="180"/>
    <n v="0"/>
    <n v="180"/>
    <s v="NA"/>
    <s v="NA"/>
    <n v="0"/>
    <n v="371.62599057465599"/>
    <n v="74.256990310693595"/>
    <m/>
    <m/>
    <m/>
    <m/>
    <m/>
    <m/>
    <n v="88.432689123181405"/>
    <n v="626"/>
    <s v="DBE"/>
  </r>
  <r>
    <x v="3"/>
    <x v="40"/>
    <n v="270"/>
    <n v="0"/>
    <n v="270"/>
    <s v="NA"/>
    <s v="NA"/>
    <n v="7.59296840756683"/>
    <n v="538.89616180869098"/>
    <n v="70.532079969499804"/>
    <m/>
    <m/>
    <m/>
    <m/>
    <m/>
    <m/>
    <n v="-17.275791093032499"/>
    <n v="904"/>
    <s v="DBE"/>
  </r>
  <r>
    <x v="3"/>
    <x v="41"/>
    <n v="3980"/>
    <n v="20"/>
    <n v="4000"/>
    <s v="NA"/>
    <s v="NA"/>
    <m/>
    <n v="13976.712450861"/>
    <n v="1254.7454005903901"/>
    <m/>
    <m/>
    <m/>
    <m/>
    <m/>
    <m/>
    <n v="-604.55007638036602"/>
    <n v="19836"/>
    <s v="DBE"/>
  </r>
  <r>
    <x v="3"/>
    <x v="42"/>
    <n v="33"/>
    <n v="34"/>
    <n v="67"/>
    <s v="NA"/>
    <s v="NA"/>
    <m/>
    <n v="55.297824667560398"/>
    <n v="3.6359298352907001"/>
    <m/>
    <m/>
    <m/>
    <m/>
    <m/>
    <m/>
    <n v="70.635929835290696"/>
    <n v="126"/>
    <s v="DBE"/>
  </r>
  <r>
    <x v="3"/>
    <x v="43"/>
    <n v="276"/>
    <n v="0"/>
    <n v="276"/>
    <s v="NA"/>
    <s v="NA"/>
    <m/>
    <n v="355.35609838812701"/>
    <n v="55.3700571843844"/>
    <m/>
    <m/>
    <m/>
    <m/>
    <m/>
    <m/>
    <n v="331.370057184384"/>
    <n v="687"/>
    <s v="DBE"/>
  </r>
  <r>
    <x v="3"/>
    <x v="44"/>
    <n v="0"/>
    <n v="0"/>
    <n v="0"/>
    <s v="NA"/>
    <s v="NA"/>
    <m/>
    <m/>
    <m/>
    <m/>
    <m/>
    <m/>
    <m/>
    <m/>
    <m/>
    <n v="0"/>
    <n v="0"/>
    <s v="DBE"/>
  </r>
  <r>
    <x v="3"/>
    <x v="45"/>
    <n v="1539"/>
    <n v="31"/>
    <n v="1570"/>
    <s v="NA"/>
    <s v="NA"/>
    <m/>
    <n v="5506.2542175151602"/>
    <n v="270.35340573740899"/>
    <m/>
    <m/>
    <m/>
    <m/>
    <m/>
    <m/>
    <n v="1840.35340573741"/>
    <n v="7347"/>
    <s v="DBE"/>
  </r>
  <r>
    <x v="3"/>
    <x v="46"/>
    <n v="0"/>
    <n v="20"/>
    <n v="20"/>
    <s v="NA"/>
    <s v="NA"/>
    <m/>
    <m/>
    <m/>
    <m/>
    <m/>
    <m/>
    <m/>
    <m/>
    <m/>
    <n v="20"/>
    <n v="20"/>
    <s v="DBE"/>
  </r>
  <r>
    <x v="3"/>
    <x v="47"/>
    <n v="1300"/>
    <n v="0"/>
    <n v="1300"/>
    <s v="NA"/>
    <s v="NA"/>
    <m/>
    <n v="5138"/>
    <n v="129"/>
    <m/>
    <m/>
    <m/>
    <m/>
    <m/>
    <m/>
    <m/>
    <n v="6567"/>
    <s v="NA"/>
  </r>
  <r>
    <x v="3"/>
    <x v="48"/>
    <n v="260"/>
    <n v="0"/>
    <n v="260"/>
    <s v="NA"/>
    <s v="NA"/>
    <m/>
    <n v="537"/>
    <n v="15"/>
    <m/>
    <m/>
    <m/>
    <m/>
    <m/>
    <m/>
    <m/>
    <n v="812"/>
    <s v="RSA"/>
  </r>
  <r>
    <x v="3"/>
    <x v="49"/>
    <n v="400"/>
    <n v="20"/>
    <n v="420"/>
    <s v="NA"/>
    <s v="NA"/>
    <m/>
    <n v="1347"/>
    <n v="44"/>
    <m/>
    <m/>
    <m/>
    <m/>
    <m/>
    <m/>
    <m/>
    <n v="1811"/>
    <s v="NA"/>
  </r>
  <r>
    <x v="3"/>
    <x v="50"/>
    <n v="0"/>
    <n v="0"/>
    <n v="0"/>
    <s v="NA"/>
    <s v="NA"/>
    <m/>
    <m/>
    <m/>
    <m/>
    <m/>
    <m/>
    <m/>
    <m/>
    <m/>
    <m/>
    <n v="0"/>
    <s v="NA"/>
  </r>
  <r>
    <x v="3"/>
    <x v="51"/>
    <n v="440"/>
    <n v="0"/>
    <n v="440"/>
    <s v="NA"/>
    <s v="NA"/>
    <m/>
    <n v="2129"/>
    <n v="16"/>
    <m/>
    <m/>
    <m/>
    <m/>
    <m/>
    <m/>
    <m/>
    <n v="2585"/>
    <s v="NA"/>
  </r>
  <r>
    <x v="3"/>
    <x v="52"/>
    <n v="0"/>
    <n v="0"/>
    <n v="0"/>
    <s v="NA"/>
    <s v="NA"/>
    <m/>
    <m/>
    <m/>
    <m/>
    <m/>
    <m/>
    <m/>
    <m/>
    <m/>
    <m/>
    <n v="0"/>
    <s v="NA"/>
  </r>
  <r>
    <x v="3"/>
    <x v="53"/>
    <n v="0"/>
    <n v="0"/>
    <n v="0"/>
    <s v="NA"/>
    <s v="NA"/>
    <m/>
    <m/>
    <m/>
    <m/>
    <m/>
    <m/>
    <m/>
    <m/>
    <m/>
    <m/>
    <n v="0"/>
    <s v="NA"/>
  </r>
  <r>
    <x v="3"/>
    <x v="54"/>
    <n v="0"/>
    <n v="0"/>
    <n v="0"/>
    <s v="NA"/>
    <s v="NA"/>
    <m/>
    <m/>
    <m/>
    <m/>
    <m/>
    <m/>
    <m/>
    <m/>
    <m/>
    <m/>
    <n v="0"/>
    <s v="NA"/>
  </r>
  <r>
    <x v="3"/>
    <x v="55"/>
    <n v="50"/>
    <n v="0"/>
    <n v="50"/>
    <s v="NA"/>
    <s v="NA"/>
    <m/>
    <n v="166.744391594951"/>
    <m/>
    <m/>
    <m/>
    <m/>
    <m/>
    <m/>
    <m/>
    <m/>
    <n v="217"/>
    <s v="NA"/>
  </r>
  <r>
    <x v="3"/>
    <x v="56"/>
    <n v="0"/>
    <n v="0"/>
    <n v="0"/>
    <s v="NA"/>
    <s v="NA"/>
    <m/>
    <m/>
    <m/>
    <m/>
    <m/>
    <m/>
    <m/>
    <m/>
    <m/>
    <m/>
    <n v="0"/>
    <s v="NA"/>
  </r>
  <r>
    <x v="3"/>
    <x v="57"/>
    <n v="0"/>
    <n v="0"/>
    <n v="0"/>
    <s v="NA"/>
    <s v="NA"/>
    <m/>
    <m/>
    <m/>
    <m/>
    <m/>
    <m/>
    <m/>
    <m/>
    <m/>
    <m/>
    <n v="0"/>
    <s v="NA"/>
  </r>
  <r>
    <x v="3"/>
    <x v="58"/>
    <n v="0"/>
    <n v="0"/>
    <n v="0"/>
    <s v="NA"/>
    <s v="NA"/>
    <m/>
    <m/>
    <m/>
    <m/>
    <m/>
    <m/>
    <m/>
    <m/>
    <m/>
    <m/>
    <n v="0"/>
    <s v="NA"/>
  </r>
  <r>
    <x v="3"/>
    <x v="59"/>
    <n v="0"/>
    <n v="0"/>
    <n v="0"/>
    <s v="NA"/>
    <s v="NA"/>
    <m/>
    <m/>
    <m/>
    <m/>
    <m/>
    <m/>
    <m/>
    <m/>
    <m/>
    <m/>
    <n v="0"/>
    <s v="RSA"/>
  </r>
  <r>
    <x v="3"/>
    <x v="60"/>
    <n v="0"/>
    <n v="0"/>
    <n v="0"/>
    <s v="NA"/>
    <s v="NA"/>
    <m/>
    <m/>
    <m/>
    <m/>
    <m/>
    <m/>
    <m/>
    <m/>
    <m/>
    <m/>
    <n v="0"/>
    <s v="NA"/>
  </r>
  <r>
    <x v="3"/>
    <x v="61"/>
    <n v="0"/>
    <n v="0"/>
    <n v="0"/>
    <s v="NA"/>
    <s v="NA"/>
    <m/>
    <m/>
    <m/>
    <m/>
    <m/>
    <m/>
    <m/>
    <m/>
    <m/>
    <m/>
    <n v="0"/>
    <s v="NA"/>
  </r>
  <r>
    <x v="3"/>
    <x v="62"/>
    <n v="0"/>
    <n v="0"/>
    <n v="0"/>
    <s v="NA"/>
    <s v="NA"/>
    <m/>
    <m/>
    <m/>
    <m/>
    <m/>
    <m/>
    <m/>
    <m/>
    <m/>
    <m/>
    <n v="0"/>
    <s v="NA"/>
  </r>
  <r>
    <x v="3"/>
    <x v="63"/>
    <n v="0"/>
    <n v="0"/>
    <n v="0"/>
    <s v="NA"/>
    <s v="NA"/>
    <m/>
    <m/>
    <m/>
    <m/>
    <m/>
    <m/>
    <m/>
    <m/>
    <m/>
    <m/>
    <n v="0"/>
    <s v="RSA"/>
  </r>
  <r>
    <x v="3"/>
    <x v="64"/>
    <n v="0"/>
    <n v="0"/>
    <n v="0"/>
    <s v="NA"/>
    <s v="NA"/>
    <m/>
    <m/>
    <m/>
    <m/>
    <m/>
    <m/>
    <m/>
    <m/>
    <m/>
    <m/>
    <n v="0"/>
    <s v="NA"/>
  </r>
  <r>
    <x v="3"/>
    <x v="65"/>
    <n v="0"/>
    <n v="0"/>
    <n v="0"/>
    <s v="NA"/>
    <s v="NA"/>
    <m/>
    <m/>
    <m/>
    <m/>
    <m/>
    <m/>
    <m/>
    <m/>
    <m/>
    <m/>
    <n v="0"/>
    <s v="NA"/>
  </r>
  <r>
    <x v="3"/>
    <x v="66"/>
    <n v="0"/>
    <n v="0"/>
    <n v="0"/>
    <s v="NA"/>
    <s v="NA"/>
    <m/>
    <m/>
    <m/>
    <m/>
    <m/>
    <m/>
    <m/>
    <m/>
    <m/>
    <m/>
    <n v="0"/>
    <s v="NA"/>
  </r>
  <r>
    <x v="3"/>
    <x v="67"/>
    <n v="0"/>
    <n v="0"/>
    <n v="0"/>
    <s v="NA"/>
    <s v="NA"/>
    <m/>
    <m/>
    <m/>
    <m/>
    <m/>
    <m/>
    <m/>
    <m/>
    <m/>
    <m/>
    <n v="0"/>
    <s v="NA"/>
  </r>
  <r>
    <x v="3"/>
    <x v="68"/>
    <n v="0"/>
    <n v="0"/>
    <n v="0"/>
    <s v="NA"/>
    <s v="NA"/>
    <m/>
    <m/>
    <m/>
    <m/>
    <m/>
    <m/>
    <m/>
    <m/>
    <m/>
    <m/>
    <n v="0"/>
    <s v="RSA"/>
  </r>
  <r>
    <x v="3"/>
    <x v="69"/>
    <n v="0"/>
    <n v="0"/>
    <n v="0"/>
    <s v="NA"/>
    <s v="NA"/>
    <m/>
    <m/>
    <m/>
    <m/>
    <m/>
    <m/>
    <m/>
    <m/>
    <m/>
    <m/>
    <n v="0"/>
    <s v="NA"/>
  </r>
  <r>
    <x v="3"/>
    <x v="70"/>
    <n v="0"/>
    <n v="0"/>
    <n v="0"/>
    <s v="NA"/>
    <s v="NA"/>
    <m/>
    <m/>
    <m/>
    <m/>
    <m/>
    <m/>
    <m/>
    <m/>
    <m/>
    <m/>
    <n v="0"/>
    <s v="NA"/>
  </r>
  <r>
    <x v="3"/>
    <x v="71"/>
    <n v="0"/>
    <n v="0"/>
    <n v="0"/>
    <s v="NA"/>
    <s v="NA"/>
    <m/>
    <m/>
    <m/>
    <m/>
    <m/>
    <m/>
    <m/>
    <m/>
    <m/>
    <m/>
    <n v="0"/>
    <s v="NA"/>
  </r>
  <r>
    <x v="4"/>
    <x v="0"/>
    <n v="49"/>
    <n v="83"/>
    <n v="132"/>
    <n v="23"/>
    <n v="8"/>
    <n v="0"/>
    <n v="0.197561453392435"/>
    <n v="1.6644686155504101E-5"/>
    <m/>
    <n v="24"/>
    <m/>
    <m/>
    <n v="30"/>
    <m/>
    <n v="162.599864483836"/>
    <n v="217"/>
    <s v="RSA"/>
  </r>
  <r>
    <x v="4"/>
    <x v="1"/>
    <n v="1027"/>
    <n v="10"/>
    <n v="1037"/>
    <n v="198"/>
    <n v="2"/>
    <n v="0"/>
    <n v="341.08462004275299"/>
    <n v="2.9916956494896398"/>
    <m/>
    <n v="217"/>
    <m/>
    <m/>
    <n v="2"/>
    <m/>
    <n v="1069.70595326017"/>
    <n v="1804"/>
    <s v="RSA"/>
  </r>
  <r>
    <x v="4"/>
    <x v="2"/>
    <n v="277"/>
    <n v="18"/>
    <n v="295"/>
    <n v="126"/>
    <n v="6"/>
    <n v="0"/>
    <n v="2.6672311545642802"/>
    <n v="2.7460450053397199E-3"/>
    <m/>
    <n v="45"/>
    <m/>
    <m/>
    <n v="3"/>
    <m/>
    <n v="-2472.39968942926"/>
    <n v="478"/>
    <s v="RSA"/>
  </r>
  <r>
    <x v="4"/>
    <x v="3"/>
    <n v="110"/>
    <n v="1"/>
    <n v="111"/>
    <n v="99"/>
    <n v="2"/>
    <n v="0"/>
    <n v="7.3350992085659401"/>
    <n v="1.29733206766743E-3"/>
    <m/>
    <n v="37"/>
    <m/>
    <m/>
    <n v="1"/>
    <m/>
    <n v="-3895.7794226046199"/>
    <n v="257"/>
    <s v="RSA"/>
  </r>
  <r>
    <x v="4"/>
    <x v="4"/>
    <n v="23"/>
    <n v="64"/>
    <n v="87"/>
    <n v="5"/>
    <n v="40"/>
    <n v="0"/>
    <n v="2.4365392580529002"/>
    <n v="0.16720542732674301"/>
    <m/>
    <n v="5"/>
    <m/>
    <m/>
    <n v="18"/>
    <m/>
    <n v="-500.42710116427298"/>
    <n v="158"/>
    <s v="RSA"/>
  </r>
  <r>
    <x v="4"/>
    <x v="5"/>
    <n v="336"/>
    <n v="0"/>
    <n v="336"/>
    <n v="174"/>
    <s v="NA"/>
    <n v="0"/>
    <n v="981.13556489857399"/>
    <n v="3.3181993953919999"/>
    <m/>
    <n v="57"/>
    <m/>
    <n v="-115"/>
    <m/>
    <m/>
    <n v="471.22888897858201"/>
    <n v="1436"/>
    <s v="RSA"/>
  </r>
  <r>
    <x v="4"/>
    <x v="6"/>
    <n v="673"/>
    <n v="8"/>
    <n v="681"/>
    <n v="109"/>
    <n v="2"/>
    <n v="0"/>
    <n v="112.08661504525401"/>
    <n v="1.2950962951839999"/>
    <m/>
    <n v="138"/>
    <m/>
    <n v="-57"/>
    <n v="2"/>
    <m/>
    <n v="-1780.17367733942"/>
    <n v="988"/>
    <s v="RSA"/>
  </r>
  <r>
    <x v="4"/>
    <x v="7"/>
    <n v="2387"/>
    <n v="219"/>
    <n v="2606"/>
    <n v="204"/>
    <n v="3"/>
    <n v="0"/>
    <n v="678.69357748001096"/>
    <n v="121.33801275009699"/>
    <m/>
    <n v="457"/>
    <m/>
    <m/>
    <n v="39"/>
    <m/>
    <n v="-6707.7848554004004"/>
    <n v="4109"/>
    <s v="RSA"/>
  </r>
  <r>
    <x v="4"/>
    <x v="8"/>
    <n v="1113"/>
    <n v="107"/>
    <n v="1220"/>
    <n v="188"/>
    <n v="8"/>
    <n v="0"/>
    <n v="211.613318210252"/>
    <n v="0.20947051300870001"/>
    <m/>
    <n v="230"/>
    <m/>
    <n v="-2"/>
    <n v="20"/>
    <m/>
    <n v="-449.204911067414"/>
    <n v="1876"/>
    <s v="RSA"/>
  </r>
  <r>
    <x v="4"/>
    <x v="9"/>
    <n v="4378"/>
    <n v="33"/>
    <n v="4411"/>
    <n v="225"/>
    <s v="NA"/>
    <n v="519.49197367900001"/>
    <n v="8280.0880538657002"/>
    <n v="197.764668949433"/>
    <m/>
    <n v="812"/>
    <m/>
    <n v="4378"/>
    <n v="6"/>
    <m/>
    <n v="-18556.325492162301"/>
    <n v="18829"/>
    <s v="RSA"/>
  </r>
  <r>
    <x v="4"/>
    <x v="10"/>
    <n v="2106"/>
    <n v="1206"/>
    <n v="3312"/>
    <n v="158"/>
    <n v="42"/>
    <n v="0"/>
    <n v="515.88795174752897"/>
    <n v="182.199905991968"/>
    <m/>
    <n v="252"/>
    <m/>
    <n v="-439"/>
    <n v="139"/>
    <m/>
    <n v="264.36544296553802"/>
    <n v="4162"/>
    <s v="RSA"/>
  </r>
  <r>
    <x v="4"/>
    <x v="11"/>
    <n v="835"/>
    <n v="57"/>
    <n v="892"/>
    <n v="247"/>
    <n v="16"/>
    <n v="0"/>
    <n v="490.11268550461398"/>
    <n v="89.668109323397104"/>
    <m/>
    <n v="22"/>
    <m/>
    <n v="415"/>
    <n v="1"/>
    <m/>
    <n v="-2277.5703382005299"/>
    <n v="2173"/>
    <s v="RSA"/>
  </r>
  <r>
    <x v="4"/>
    <x v="12"/>
    <n v="6948"/>
    <n v="263"/>
    <n v="7211"/>
    <n v="244"/>
    <n v="9"/>
    <n v="102.204783199582"/>
    <n v="3429.0895219476402"/>
    <n v="172.81722985014801"/>
    <m/>
    <n v="150"/>
    <m/>
    <n v="1482"/>
    <n v="6"/>
    <m/>
    <n v="-8916.9775510138497"/>
    <n v="12806"/>
    <s v="RSA"/>
  </r>
  <r>
    <x v="4"/>
    <x v="13"/>
    <n v="9669"/>
    <n v="628"/>
    <n v="10297"/>
    <n v="342"/>
    <n v="15"/>
    <n v="0"/>
    <n v="8611.3910559248598"/>
    <m/>
    <m/>
    <n v="101"/>
    <m/>
    <n v="1274"/>
    <n v="6"/>
    <m/>
    <n v="-24638.5564679366"/>
    <n v="20646"/>
    <s v="RSA"/>
  </r>
  <r>
    <x v="4"/>
    <x v="14"/>
    <n v="705"/>
    <n v="736"/>
    <n v="1441"/>
    <n v="184"/>
    <n v="98"/>
    <n v="2.0694290367400501"/>
    <n v="125.589782647736"/>
    <n v="3.7589040870359098"/>
    <m/>
    <m/>
    <m/>
    <n v="-80"/>
    <m/>
    <m/>
    <n v="-180.25205404051201"/>
    <n v="1774"/>
    <s v="RSA"/>
  </r>
  <r>
    <x v="4"/>
    <x v="15"/>
    <n v="340"/>
    <n v="20"/>
    <n v="360"/>
    <n v="146"/>
    <n v="15"/>
    <n v="0"/>
    <n v="464.441039740365"/>
    <n v="53.975177238329699"/>
    <m/>
    <m/>
    <m/>
    <m/>
    <m/>
    <m/>
    <n v="-3673.1659516114701"/>
    <n v="4713"/>
    <s v="DBE"/>
  </r>
  <r>
    <x v="4"/>
    <x v="16"/>
    <n v="538"/>
    <n v="111"/>
    <n v="649"/>
    <n v="123"/>
    <n v="28"/>
    <n v="0"/>
    <n v="46.7195380417119"/>
    <n v="2.9585103482999999E-2"/>
    <m/>
    <m/>
    <m/>
    <m/>
    <m/>
    <m/>
    <n v="285.25383852567302"/>
    <n v="847"/>
    <s v="DBE"/>
  </r>
  <r>
    <x v="4"/>
    <x v="17"/>
    <n v="3509"/>
    <n v="12"/>
    <n v="3521"/>
    <n v="271"/>
    <n v="1"/>
    <n v="0"/>
    <n v="3703.8714617949499"/>
    <n v="284.879675082581"/>
    <m/>
    <m/>
    <m/>
    <m/>
    <m/>
    <m/>
    <n v="-3375.5413236293698"/>
    <n v="11157"/>
    <s v="DBE"/>
  </r>
  <r>
    <x v="4"/>
    <x v="18"/>
    <n v="112"/>
    <n v="114"/>
    <n v="226"/>
    <n v="81"/>
    <n v="68"/>
    <n v="0"/>
    <n v="14.40055528095"/>
    <n v="30.286667528999999"/>
    <m/>
    <m/>
    <m/>
    <m/>
    <m/>
    <m/>
    <n v="-5423.7290980569796"/>
    <n v="5843"/>
    <s v="DBE"/>
  </r>
  <r>
    <x v="4"/>
    <x v="19"/>
    <n v="52"/>
    <n v="0"/>
    <n v="52"/>
    <n v="37"/>
    <s v="NA"/>
    <n v="0.12026565270965001"/>
    <n v="1294.76835364314"/>
    <n v="1.94622865207398"/>
    <m/>
    <m/>
    <m/>
    <m/>
    <m/>
    <m/>
    <n v="44.813192853173298"/>
    <n v="1386"/>
    <s v="DBE"/>
  </r>
  <r>
    <x v="4"/>
    <x v="20"/>
    <n v="1939"/>
    <n v="0"/>
    <n v="1939"/>
    <n v="245"/>
    <s v="NA"/>
    <n v="68.590941099910907"/>
    <n v="319.36131581287401"/>
    <n v="59.386293170630303"/>
    <m/>
    <m/>
    <m/>
    <m/>
    <m/>
    <m/>
    <n v="-2098.4114196363598"/>
    <n v="4730"/>
    <s v="DBE"/>
  </r>
  <r>
    <x v="4"/>
    <x v="21"/>
    <n v="4873"/>
    <n v="9"/>
    <n v="4882"/>
    <n v="266"/>
    <s v="NA"/>
    <n v="0.202822847223534"/>
    <n v="793.877060223684"/>
    <n v="109.821563405517"/>
    <m/>
    <m/>
    <m/>
    <m/>
    <m/>
    <m/>
    <n v="86.0369983466462"/>
    <n v="6052"/>
    <s v="DBE"/>
  </r>
  <r>
    <x v="4"/>
    <x v="22"/>
    <n v="515"/>
    <n v="160"/>
    <n v="675"/>
    <n v="14"/>
    <n v="6"/>
    <n v="67.500902416953295"/>
    <n v="776.66711971703705"/>
    <n v="28.033658607981302"/>
    <m/>
    <m/>
    <m/>
    <m/>
    <m/>
    <m/>
    <n v="-3462.1897957651399"/>
    <n v="5029"/>
    <s v="DBE"/>
  </r>
  <r>
    <x v="4"/>
    <x v="23"/>
    <n v="1227"/>
    <n v="0"/>
    <n v="1227"/>
    <n v="15"/>
    <s v="NA"/>
    <n v="45.049524030009302"/>
    <n v="41094.099007714998"/>
    <n v="553.18150360557297"/>
    <m/>
    <m/>
    <m/>
    <m/>
    <m/>
    <m/>
    <n v="-44194.705145706102"/>
    <n v="87129"/>
    <s v="DBE"/>
  </r>
  <r>
    <x v="4"/>
    <x v="24"/>
    <n v="12392"/>
    <n v="11"/>
    <n v="12403"/>
    <s v="NA"/>
    <s v="NA"/>
    <n v="944.94373467148205"/>
    <n v="6000.6838071829397"/>
    <n v="179.80587462894599"/>
    <m/>
    <m/>
    <m/>
    <m/>
    <m/>
    <m/>
    <n v="-32527.445526843901"/>
    <n v="52056"/>
    <s v="DBE"/>
  </r>
  <r>
    <x v="4"/>
    <x v="25"/>
    <n v="1959"/>
    <n v="207"/>
    <n v="2166"/>
    <s v="NA"/>
    <s v="NA"/>
    <n v="170.72933062171799"/>
    <n v="350.75659331125598"/>
    <n v="4.1764122128137497"/>
    <m/>
    <m/>
    <m/>
    <m/>
    <m/>
    <m/>
    <n v="157.68025739531001"/>
    <n v="2692"/>
    <s v="DBE"/>
  </r>
  <r>
    <x v="4"/>
    <x v="26"/>
    <n v="88"/>
    <n v="3"/>
    <n v="91"/>
    <s v="NA"/>
    <s v="NA"/>
    <n v="26.350646120535998"/>
    <n v="1374.4401133830399"/>
    <n v="12.515733049985201"/>
    <m/>
    <m/>
    <m/>
    <m/>
    <m/>
    <m/>
    <n v="-221.45067027521799"/>
    <n v="1726"/>
    <s v="DBE"/>
  </r>
  <r>
    <x v="4"/>
    <x v="27"/>
    <n v="2022"/>
    <n v="8"/>
    <n v="2030"/>
    <s v="NA"/>
    <s v="NA"/>
    <n v="79.182352929514195"/>
    <n v="1500.0017987188501"/>
    <n v="73.996019624373005"/>
    <m/>
    <m/>
    <m/>
    <m/>
    <m/>
    <m/>
    <n v="-856.05475711367103"/>
    <n v="4539"/>
    <s v="DBE"/>
  </r>
  <r>
    <x v="4"/>
    <x v="28"/>
    <n v="10316"/>
    <n v="33"/>
    <n v="10349"/>
    <s v="NA"/>
    <s v="NA"/>
    <n v="90.923227281288206"/>
    <n v="7773.41641325411"/>
    <n v="1280.1689576087399"/>
    <m/>
    <m/>
    <m/>
    <m/>
    <m/>
    <m/>
    <n v="1875.11549399757"/>
    <n v="19494"/>
    <s v="DBE"/>
  </r>
  <r>
    <x v="4"/>
    <x v="29"/>
    <n v="4399"/>
    <n v="23"/>
    <n v="4422"/>
    <s v="NA"/>
    <s v="NA"/>
    <n v="312.691099191543"/>
    <n v="18710.9236500316"/>
    <n v="23.680890555891999"/>
    <m/>
    <m/>
    <m/>
    <m/>
    <m/>
    <m/>
    <n v="2602.7851185634599"/>
    <n v="23469"/>
    <s v="DBE"/>
  </r>
  <r>
    <x v="4"/>
    <x v="30"/>
    <n v="1063"/>
    <n v="68"/>
    <n v="1131"/>
    <s v="NA"/>
    <s v="NA"/>
    <n v="386.834194953007"/>
    <n v="9548.3980075398795"/>
    <m/>
    <m/>
    <m/>
    <m/>
    <m/>
    <m/>
    <m/>
    <n v="-1767.7307412182699"/>
    <n v="12834"/>
    <s v="DBE"/>
  </r>
  <r>
    <x v="4"/>
    <x v="31"/>
    <n v="1203"/>
    <n v="2"/>
    <n v="1205"/>
    <s v="NA"/>
    <s v="NA"/>
    <n v="254.02387670648599"/>
    <n v="6091.3873669910199"/>
    <m/>
    <m/>
    <m/>
    <m/>
    <m/>
    <m/>
    <m/>
    <n v="-405.94328477931401"/>
    <n v="7956"/>
    <s v="DBE"/>
  </r>
  <r>
    <x v="4"/>
    <x v="32"/>
    <n v="20157"/>
    <n v="34"/>
    <n v="20191"/>
    <s v="NA"/>
    <s v="NA"/>
    <n v="1167.0598139118999"/>
    <n v="49313.697866214599"/>
    <n v="354.24416752815"/>
    <m/>
    <m/>
    <m/>
    <m/>
    <m/>
    <m/>
    <n v="-16833.018447921899"/>
    <n v="87859"/>
    <s v="DBE"/>
  </r>
  <r>
    <x v="4"/>
    <x v="33"/>
    <n v="1860"/>
    <n v="10"/>
    <n v="1870"/>
    <s v="NA"/>
    <s v="NA"/>
    <n v="202.565478864418"/>
    <n v="8205.4785014525005"/>
    <m/>
    <m/>
    <m/>
    <m/>
    <m/>
    <m/>
    <m/>
    <n v="-347.94733425229498"/>
    <n v="10626"/>
    <s v="DBE"/>
  </r>
  <r>
    <x v="4"/>
    <x v="34"/>
    <n v="418"/>
    <n v="150"/>
    <n v="568"/>
    <s v="NA"/>
    <s v="NA"/>
    <n v="111.339906353591"/>
    <n v="1564.6654736128201"/>
    <m/>
    <m/>
    <m/>
    <m/>
    <m/>
    <m/>
    <m/>
    <n v="-2324.3816613969602"/>
    <n v="4568"/>
    <s v="DBE"/>
  </r>
  <r>
    <x v="4"/>
    <x v="35"/>
    <n v="861"/>
    <n v="103"/>
    <n v="964"/>
    <s v="NA"/>
    <s v="NA"/>
    <n v="0"/>
    <n v="9332.5641355390599"/>
    <n v="8.7565774928145093"/>
    <m/>
    <m/>
    <m/>
    <m/>
    <m/>
    <m/>
    <n v="-2154.5592853237699"/>
    <n v="12460"/>
    <s v="DBE"/>
  </r>
  <r>
    <x v="4"/>
    <x v="36"/>
    <n v="32184"/>
    <n v="152"/>
    <n v="32336"/>
    <s v="NA"/>
    <s v="NA"/>
    <n v="0"/>
    <n v="3371.0413238985898"/>
    <m/>
    <m/>
    <m/>
    <m/>
    <m/>
    <m/>
    <m/>
    <n v="32220.9707132941"/>
    <n v="35707"/>
    <s v="DBE"/>
  </r>
  <r>
    <x v="4"/>
    <x v="37"/>
    <n v="3256"/>
    <n v="277"/>
    <n v="3533"/>
    <s v="NA"/>
    <s v="NA"/>
    <n v="40.923490227645203"/>
    <n v="8971.2655870587205"/>
    <n v="69.411386515523205"/>
    <m/>
    <m/>
    <m/>
    <m/>
    <m/>
    <m/>
    <n v="-569.66497058427797"/>
    <n v="13184"/>
    <s v="DBE"/>
  </r>
  <r>
    <x v="4"/>
    <x v="38"/>
    <n v="424"/>
    <n v="147"/>
    <n v="571"/>
    <s v="NA"/>
    <s v="NA"/>
    <n v="0.51280777181178805"/>
    <n v="1345.32055335015"/>
    <n v="6.35799383838929"/>
    <m/>
    <m/>
    <m/>
    <m/>
    <m/>
    <m/>
    <n v="577.35799383838901"/>
    <n v="1923"/>
    <s v="DBE"/>
  </r>
  <r>
    <x v="4"/>
    <x v="39"/>
    <n v="994"/>
    <n v="153"/>
    <n v="1147"/>
    <s v="NA"/>
    <s v="NA"/>
    <n v="0"/>
    <n v="5978.8953597809896"/>
    <n v="41.339313095608702"/>
    <m/>
    <m/>
    <m/>
    <m/>
    <m/>
    <m/>
    <n v="-838.90484341779199"/>
    <n v="8006"/>
    <s v="DBE"/>
  </r>
  <r>
    <x v="4"/>
    <x v="40"/>
    <n v="19944"/>
    <n v="8"/>
    <n v="19952"/>
    <s v="NA"/>
    <s v="NA"/>
    <n v="1820.12071721754"/>
    <n v="100150.274709602"/>
    <n v="634.81106904126102"/>
    <m/>
    <m/>
    <m/>
    <m/>
    <m/>
    <m/>
    <n v="11889.3679778243"/>
    <n v="122557"/>
    <s v="DBE"/>
  </r>
  <r>
    <x v="4"/>
    <x v="41"/>
    <n v="16725"/>
    <n v="497"/>
    <n v="17222"/>
    <s v="NA"/>
    <s v="NA"/>
    <m/>
    <n v="52767.084897474102"/>
    <n v="193.10862152002099"/>
    <m/>
    <m/>
    <m/>
    <m/>
    <m/>
    <m/>
    <n v="-7528.4929158736504"/>
    <n v="77711"/>
    <s v="DBE"/>
  </r>
  <r>
    <x v="4"/>
    <x v="42"/>
    <n v="256"/>
    <n v="903"/>
    <n v="1159"/>
    <s v="NA"/>
    <s v="NA"/>
    <m/>
    <n v="5551.1648831843504"/>
    <n v="15.955974058897"/>
    <m/>
    <m/>
    <m/>
    <m/>
    <m/>
    <m/>
    <n v="872.87718684043796"/>
    <n v="6726"/>
    <s v="DBE"/>
  </r>
  <r>
    <x v="4"/>
    <x v="43"/>
    <n v="1657"/>
    <n v="30"/>
    <n v="1687"/>
    <s v="NA"/>
    <s v="NA"/>
    <m/>
    <n v="5749.2727408812998"/>
    <n v="77.2916685572022"/>
    <m/>
    <m/>
    <m/>
    <m/>
    <m/>
    <m/>
    <n v="-923.38776890519603"/>
    <n v="8437"/>
    <s v="DBE"/>
  </r>
  <r>
    <x v="4"/>
    <x v="44"/>
    <n v="32031"/>
    <n v="14"/>
    <n v="32045"/>
    <s v="NA"/>
    <s v="NA"/>
    <m/>
    <n v="90536.867908277505"/>
    <n v="2022.073720051"/>
    <m/>
    <m/>
    <m/>
    <m/>
    <m/>
    <m/>
    <n v="-6527.8581965866897"/>
    <n v="131132"/>
    <s v="DBE"/>
  </r>
  <r>
    <x v="4"/>
    <x v="45"/>
    <n v="5076"/>
    <n v="2189"/>
    <n v="7265"/>
    <s v="NA"/>
    <s v="NA"/>
    <m/>
    <n v="17714.3929198472"/>
    <n v="139.27439141028"/>
    <m/>
    <m/>
    <m/>
    <m/>
    <m/>
    <m/>
    <n v="2675.1190509251101"/>
    <n v="25119"/>
    <s v="DBE"/>
  </r>
  <r>
    <x v="4"/>
    <x v="46"/>
    <n v="82"/>
    <n v="271"/>
    <n v="353"/>
    <s v="NA"/>
    <s v="NA"/>
    <m/>
    <n v="721.75169157318896"/>
    <n v="3.6687611832322302"/>
    <m/>
    <m/>
    <m/>
    <m/>
    <m/>
    <m/>
    <n v="246.593137789011"/>
    <n v="1078"/>
    <s v="DBE"/>
  </r>
  <r>
    <x v="4"/>
    <x v="47"/>
    <n v="4435"/>
    <n v="15"/>
    <n v="4450"/>
    <s v="NA"/>
    <s v="NA"/>
    <m/>
    <n v="27444"/>
    <n v="130"/>
    <m/>
    <m/>
    <m/>
    <m/>
    <m/>
    <m/>
    <m/>
    <n v="32024"/>
    <s v="NA"/>
  </r>
  <r>
    <x v="4"/>
    <x v="48"/>
    <n v="11349"/>
    <n v="129"/>
    <n v="11478"/>
    <s v="NA"/>
    <s v="NA"/>
    <m/>
    <n v="34526"/>
    <n v="627"/>
    <m/>
    <m/>
    <m/>
    <m/>
    <m/>
    <m/>
    <m/>
    <n v="46631"/>
    <s v="RSA"/>
  </r>
  <r>
    <x v="4"/>
    <x v="49"/>
    <n v="8984"/>
    <n v="830"/>
    <n v="9814"/>
    <s v="NA"/>
    <s v="NA"/>
    <m/>
    <n v="35664"/>
    <n v="737"/>
    <m/>
    <m/>
    <m/>
    <m/>
    <m/>
    <m/>
    <m/>
    <n v="46215"/>
    <s v="NA"/>
  </r>
  <r>
    <x v="4"/>
    <x v="50"/>
    <n v="641"/>
    <n v="217"/>
    <n v="858"/>
    <s v="NA"/>
    <s v="NA"/>
    <m/>
    <n v="6551"/>
    <n v="18"/>
    <m/>
    <m/>
    <m/>
    <m/>
    <m/>
    <m/>
    <m/>
    <n v="7427"/>
    <s v="NA"/>
  </r>
  <r>
    <x v="4"/>
    <x v="51"/>
    <n v="10366"/>
    <n v="294"/>
    <n v="10660"/>
    <s v="NA"/>
    <s v="NA"/>
    <m/>
    <n v="53981.999999999898"/>
    <n v="72"/>
    <m/>
    <m/>
    <m/>
    <m/>
    <m/>
    <m/>
    <m/>
    <n v="64714"/>
    <s v="NA"/>
  </r>
  <r>
    <x v="4"/>
    <x v="52"/>
    <n v="9128"/>
    <n v="17"/>
    <n v="9145"/>
    <s v="NA"/>
    <s v="NA"/>
    <m/>
    <n v="125331"/>
    <m/>
    <m/>
    <m/>
    <m/>
    <m/>
    <m/>
    <m/>
    <m/>
    <n v="134476"/>
    <s v="NA"/>
  </r>
  <r>
    <x v="4"/>
    <x v="53"/>
    <n v="13941"/>
    <n v="1208"/>
    <n v="15149"/>
    <s v="NA"/>
    <s v="NA"/>
    <m/>
    <n v="119829"/>
    <n v="1357"/>
    <m/>
    <m/>
    <m/>
    <m/>
    <m/>
    <m/>
    <m/>
    <n v="136335"/>
    <s v="NA"/>
  </r>
  <r>
    <x v="4"/>
    <x v="54"/>
    <n v="5942"/>
    <n v="797"/>
    <n v="6739"/>
    <s v="NA"/>
    <s v="NA"/>
    <m/>
    <n v="32632"/>
    <n v="133"/>
    <m/>
    <m/>
    <m/>
    <m/>
    <m/>
    <m/>
    <m/>
    <n v="39504"/>
    <s v="NA"/>
  </r>
  <r>
    <x v="4"/>
    <x v="55"/>
    <n v="25314"/>
    <n v="422"/>
    <n v="25736"/>
    <s v="NA"/>
    <s v="NA"/>
    <m/>
    <n v="48890"/>
    <n v="770"/>
    <m/>
    <m/>
    <m/>
    <m/>
    <m/>
    <m/>
    <m/>
    <n v="75396"/>
    <s v="NA"/>
  </r>
  <r>
    <x v="4"/>
    <x v="56"/>
    <n v="33198"/>
    <n v="294"/>
    <n v="33492"/>
    <s v="NA"/>
    <s v="NA"/>
    <m/>
    <n v="283826"/>
    <n v="462"/>
    <m/>
    <m/>
    <m/>
    <m/>
    <m/>
    <m/>
    <m/>
    <n v="317780"/>
    <s v="NA"/>
  </r>
  <r>
    <x v="4"/>
    <x v="57"/>
    <n v="16919"/>
    <n v="545"/>
    <n v="17464"/>
    <s v="NA"/>
    <s v="NA"/>
    <m/>
    <n v="44412"/>
    <n v="255"/>
    <m/>
    <m/>
    <m/>
    <m/>
    <m/>
    <m/>
    <m/>
    <n v="62131"/>
    <s v="NA"/>
  </r>
  <r>
    <x v="4"/>
    <x v="58"/>
    <n v="2455"/>
    <n v="77"/>
    <n v="2532"/>
    <s v="NA"/>
    <s v="NA"/>
    <m/>
    <n v="12611"/>
    <n v="110"/>
    <m/>
    <m/>
    <m/>
    <m/>
    <m/>
    <m/>
    <m/>
    <n v="15253"/>
    <s v="NA"/>
  </r>
  <r>
    <x v="4"/>
    <x v="59"/>
    <n v="11067"/>
    <n v="76"/>
    <n v="11143"/>
    <s v="NA"/>
    <s v="NA"/>
    <m/>
    <n v="30889"/>
    <n v="584"/>
    <m/>
    <m/>
    <m/>
    <m/>
    <m/>
    <m/>
    <m/>
    <n v="42616"/>
    <s v="RSA"/>
  </r>
  <r>
    <x v="4"/>
    <x v="60"/>
    <n v="20303"/>
    <n v="268"/>
    <n v="20571"/>
    <s v="NA"/>
    <s v="NA"/>
    <m/>
    <n v="59348"/>
    <n v="694"/>
    <m/>
    <m/>
    <m/>
    <m/>
    <m/>
    <m/>
    <m/>
    <n v="80613"/>
    <s v="NA"/>
  </r>
  <r>
    <x v="4"/>
    <x v="61"/>
    <n v="26997"/>
    <n v="73"/>
    <n v="27070"/>
    <s v="NA"/>
    <s v="NA"/>
    <m/>
    <n v="40791"/>
    <n v="192"/>
    <m/>
    <m/>
    <m/>
    <m/>
    <m/>
    <m/>
    <m/>
    <n v="68053"/>
    <s v="NA"/>
  </r>
  <r>
    <x v="4"/>
    <x v="62"/>
    <n v="13396"/>
    <n v="2032"/>
    <n v="15428"/>
    <s v="NA"/>
    <s v="NA"/>
    <m/>
    <n v="12010"/>
    <n v="416"/>
    <m/>
    <m/>
    <m/>
    <m/>
    <m/>
    <m/>
    <m/>
    <n v="27854"/>
    <s v="NA"/>
  </r>
  <r>
    <x v="4"/>
    <x v="63"/>
    <n v="17640"/>
    <n v="49"/>
    <n v="17689"/>
    <s v="NA"/>
    <s v="NA"/>
    <m/>
    <n v="18195"/>
    <n v="295"/>
    <m/>
    <m/>
    <m/>
    <m/>
    <m/>
    <m/>
    <m/>
    <n v="36179"/>
    <s v="RSA"/>
  </r>
  <r>
    <x v="4"/>
    <x v="64"/>
    <n v="47779"/>
    <n v="682"/>
    <n v="48461"/>
    <s v="NA"/>
    <s v="NA"/>
    <m/>
    <n v="318378"/>
    <n v="525"/>
    <m/>
    <m/>
    <m/>
    <m/>
    <m/>
    <m/>
    <m/>
    <n v="367364"/>
    <s v="NA"/>
  </r>
  <r>
    <x v="4"/>
    <x v="65"/>
    <n v="13324"/>
    <n v="773"/>
    <n v="14097"/>
    <s v="NA"/>
    <s v="NA"/>
    <m/>
    <n v="103156"/>
    <n v="48"/>
    <m/>
    <m/>
    <m/>
    <m/>
    <m/>
    <m/>
    <m/>
    <n v="117301"/>
    <s v="NA"/>
  </r>
  <r>
    <x v="4"/>
    <x v="66"/>
    <n v="20375"/>
    <n v="272"/>
    <n v="20647"/>
    <s v="NA"/>
    <s v="NA"/>
    <m/>
    <n v="91843.999999999898"/>
    <n v="81"/>
    <m/>
    <m/>
    <m/>
    <m/>
    <m/>
    <m/>
    <m/>
    <n v="112572"/>
    <s v="NA"/>
  </r>
  <r>
    <x v="4"/>
    <x v="67"/>
    <n v="13718"/>
    <n v="415"/>
    <n v="14133"/>
    <s v="NA"/>
    <s v="NA"/>
    <m/>
    <n v="33923"/>
    <n v="467"/>
    <m/>
    <m/>
    <m/>
    <m/>
    <m/>
    <m/>
    <m/>
    <n v="48523"/>
    <s v="NA"/>
  </r>
  <r>
    <x v="4"/>
    <x v="68"/>
    <n v="25922"/>
    <n v="78"/>
    <n v="26000"/>
    <s v="NA"/>
    <s v="NA"/>
    <m/>
    <n v="166097"/>
    <n v="122"/>
    <m/>
    <m/>
    <m/>
    <m/>
    <m/>
    <m/>
    <m/>
    <n v="192219"/>
    <s v="RSA"/>
  </r>
  <r>
    <x v="4"/>
    <x v="69"/>
    <n v="22036"/>
    <n v="2114"/>
    <n v="24150"/>
    <s v="NA"/>
    <s v="NA"/>
    <m/>
    <n v="243858"/>
    <n v="25"/>
    <m/>
    <m/>
    <m/>
    <m/>
    <m/>
    <m/>
    <m/>
    <n v="268033"/>
    <s v="NA"/>
  </r>
  <r>
    <x v="4"/>
    <x v="70"/>
    <n v="11543"/>
    <n v="1457"/>
    <n v="13000"/>
    <s v="NA"/>
    <s v="NA"/>
    <m/>
    <n v="83045"/>
    <n v="20"/>
    <m/>
    <m/>
    <m/>
    <m/>
    <m/>
    <m/>
    <m/>
    <n v="96065"/>
    <s v="NA"/>
  </r>
  <r>
    <x v="4"/>
    <x v="71"/>
    <n v="17833"/>
    <n v="1077"/>
    <n v="18910"/>
    <s v="NA"/>
    <s v="NA"/>
    <m/>
    <n v="51800"/>
    <n v="56"/>
    <m/>
    <m/>
    <m/>
    <m/>
    <m/>
    <m/>
    <m/>
    <n v="70766"/>
    <s v="NA"/>
  </r>
  <r>
    <x v="5"/>
    <x v="0"/>
    <n v="6054"/>
    <n v="0"/>
    <n v="6054"/>
    <s v="NA"/>
    <s v="NA"/>
    <n v="1.26151086995211"/>
    <n v="65.903685225006896"/>
    <n v="25.077398346653801"/>
    <m/>
    <n v="5201.6278456333503"/>
    <n v="1748.4417684500299"/>
    <m/>
    <n v="13.448018808417901"/>
    <n v="4.7068065829462702"/>
    <n v="287.00852948378002"/>
    <n v="13114"/>
    <s v="RSA"/>
  </r>
  <r>
    <x v="5"/>
    <x v="1"/>
    <n v="69782"/>
    <n v="0"/>
    <n v="69782"/>
    <s v="NA"/>
    <s v="NA"/>
    <n v="262.52382750381798"/>
    <n v="1926.2775953319399"/>
    <n v="1158.9266525064199"/>
    <m/>
    <n v="38248.864764739003"/>
    <n v="1252.55784774781"/>
    <m/>
    <n v="3.7417334117128398"/>
    <m/>
    <n v="53897.494080516197"/>
    <n v="112635"/>
    <s v="RSA"/>
  </r>
  <r>
    <x v="5"/>
    <x v="2"/>
    <n v="4872"/>
    <n v="84"/>
    <n v="4956"/>
    <s v="NA"/>
    <s v="NA"/>
    <n v="339.65741325022702"/>
    <n v="43.967077958178997"/>
    <n v="27.9547024956298"/>
    <m/>
    <n v="1346.3054278510999"/>
    <n v="514.04782737653898"/>
    <m/>
    <n v="25.213184042710999"/>
    <n v="8.6942013940382594"/>
    <n v="304.13243950722699"/>
    <n v="7262"/>
    <s v="RSA"/>
  </r>
  <r>
    <x v="5"/>
    <x v="3"/>
    <n v="229"/>
    <n v="0"/>
    <n v="229"/>
    <s v="NA"/>
    <s v="NA"/>
    <n v="2.31641689381342"/>
    <n v="10.2759882580072"/>
    <n v="1.60481971367747"/>
    <m/>
    <n v="62.387351778656097"/>
    <n v="20.4703557312253"/>
    <m/>
    <n v="0.63241106719367601"/>
    <m/>
    <n v="85.148464739960502"/>
    <n v="327"/>
    <s v="RSA"/>
  </r>
  <r>
    <x v="5"/>
    <x v="4"/>
    <n v="2264"/>
    <n v="0"/>
    <n v="2264"/>
    <s v="NA"/>
    <s v="NA"/>
    <n v="633.27022859808699"/>
    <n v="30.755458551261999"/>
    <n v="9.6297945513672598"/>
    <m/>
    <n v="1164.0857142857101"/>
    <n v="453.2"/>
    <m/>
    <m/>
    <m/>
    <n v="-234.45273183502999"/>
    <n v="4555"/>
    <s v="RSA"/>
  </r>
  <r>
    <x v="5"/>
    <x v="5"/>
    <n v="283048"/>
    <n v="0"/>
    <n v="283048"/>
    <s v="NA"/>
    <s v="NA"/>
    <n v="670.12332912411898"/>
    <n v="69501.425461509105"/>
    <n v="7585.3351318156201"/>
    <m/>
    <n v="154479.50695254101"/>
    <n v="3842.7986261470801"/>
    <n v="-3663.6576295146801"/>
    <m/>
    <m/>
    <n v="228600.10651173099"/>
    <n v="515464"/>
    <s v="RSA"/>
  </r>
  <r>
    <x v="5"/>
    <x v="6"/>
    <n v="1693"/>
    <n v="1044"/>
    <n v="2737"/>
    <s v="NA"/>
    <s v="NA"/>
    <n v="24.2415974530726"/>
    <n v="41.5833984398148"/>
    <n v="71.232020335122101"/>
    <m/>
    <n v="460.484093911983"/>
    <n v="147.10316089033401"/>
    <n v="1.0078259985770901"/>
    <n v="120.085374529932"/>
    <n v="72.051224717959101"/>
    <n v="13.785416087426601"/>
    <n v="3675"/>
    <s v="RSA"/>
  </r>
  <r>
    <x v="5"/>
    <x v="7"/>
    <n v="201"/>
    <n v="2"/>
    <n v="203"/>
    <s v="NA"/>
    <s v="NA"/>
    <n v="31.512661660918901"/>
    <n v="183.66182475274101"/>
    <n v="140.35236986935601"/>
    <m/>
    <n v="56.854729729729698"/>
    <n v="24.418918918918902"/>
    <n v="-90.104729729729698"/>
    <n v="0.78378378378378399"/>
    <m/>
    <n v="-604.66231444873404"/>
    <n v="550"/>
    <s v="RSA"/>
  </r>
  <r>
    <x v="5"/>
    <x v="8"/>
    <n v="12697"/>
    <n v="0"/>
    <n v="12697"/>
    <s v="NA"/>
    <s v="NA"/>
    <n v="508.99988066210301"/>
    <n v="984.648222169007"/>
    <n v="434.84992766655802"/>
    <m/>
    <n v="10362.2318641806"/>
    <n v="2846.8477962708998"/>
    <n v="29.314601327056401"/>
    <m/>
    <m/>
    <n v="3885.1472223324599"/>
    <n v="27864"/>
    <s v="RSA"/>
  </r>
  <r>
    <x v="5"/>
    <x v="9"/>
    <n v="256110"/>
    <n v="66"/>
    <n v="256176"/>
    <s v="NA"/>
    <s v="NA"/>
    <n v="2021.43282474846"/>
    <n v="54632.874437339698"/>
    <n v="11417.3363689609"/>
    <m/>
    <n v="109761.071801121"/>
    <m/>
    <m/>
    <n v="23.874823200886201"/>
    <m/>
    <n v="187443.62324184901"/>
    <n v="434033"/>
    <s v="RSA"/>
  </r>
  <r>
    <x v="5"/>
    <x v="10"/>
    <n v="10729"/>
    <n v="874"/>
    <n v="11603"/>
    <s v="NA"/>
    <s v="NA"/>
    <n v="81.957763903292204"/>
    <n v="1647.4820009385501"/>
    <n v="1139.9445525219401"/>
    <m/>
    <n v="5777.4753759796604"/>
    <m/>
    <m/>
    <n v="254.36687142554501"/>
    <m/>
    <n v="-2158.5066776915201"/>
    <n v="20504"/>
    <s v="RSA"/>
  </r>
  <r>
    <x v="5"/>
    <x v="11"/>
    <n v="667"/>
    <n v="0"/>
    <n v="667"/>
    <s v="NA"/>
    <s v="NA"/>
    <n v="0"/>
    <n v="1305.27642927275"/>
    <n v="2151.5674225133598"/>
    <n v="-2171.4893750000001"/>
    <n v="109.0234375"/>
    <n v="-49.472499999999997"/>
    <m/>
    <n v="0.1165625"/>
    <m/>
    <n v="-6870.5746272429897"/>
    <n v="2012"/>
    <s v="RSA"/>
  </r>
  <r>
    <x v="5"/>
    <x v="12"/>
    <n v="16060"/>
    <n v="0"/>
    <n v="16060"/>
    <s v="NA"/>
    <s v="NA"/>
    <n v="9.9309436492537007"/>
    <n v="3625.69469712603"/>
    <n v="2309.0697376514399"/>
    <m/>
    <n v="1854.6634419397001"/>
    <n v="634.02917465242899"/>
    <n v="-31.815962398466699"/>
    <m/>
    <m/>
    <n v="6412.2449940666502"/>
    <n v="24462"/>
    <s v="RSA"/>
  </r>
  <r>
    <x v="5"/>
    <x v="13"/>
    <n v="354292"/>
    <n v="0"/>
    <n v="354292"/>
    <s v="NA"/>
    <s v="NA"/>
    <n v="0"/>
    <n v="68596.246522879999"/>
    <m/>
    <m/>
    <n v="39365.663956586199"/>
    <m/>
    <m/>
    <m/>
    <m/>
    <n v="220175.98758525701"/>
    <n v="462254"/>
    <s v="RSA"/>
  </r>
  <r>
    <x v="5"/>
    <x v="14"/>
    <n v="2631"/>
    <n v="213"/>
    <n v="2844"/>
    <s v="NA"/>
    <s v="NA"/>
    <n v="0.85026646928170702"/>
    <n v="178.44560974973601"/>
    <n v="141.46137239541801"/>
    <m/>
    <n v="704.86859578654003"/>
    <n v="188.28067874415899"/>
    <n v="-33.738585129928701"/>
    <n v="90.266251332076394"/>
    <n v="17.4333961800148"/>
    <n v="-23.411617677210899"/>
    <n v="4132"/>
    <s v="RSA"/>
  </r>
  <r>
    <x v="5"/>
    <x v="15"/>
    <n v="2984"/>
    <n v="0"/>
    <n v="2984"/>
    <s v="NA"/>
    <s v="NA"/>
    <n v="0"/>
    <n v="3390.8922433877701"/>
    <n v="4690.3717971861297"/>
    <m/>
    <m/>
    <m/>
    <m/>
    <m/>
    <m/>
    <n v="-10461.225485073101"/>
    <n v="21526"/>
    <s v="DBE"/>
  </r>
  <r>
    <x v="5"/>
    <x v="16"/>
    <n v="6545"/>
    <n v="0"/>
    <n v="6545"/>
    <s v="NA"/>
    <s v="NA"/>
    <n v="889.60205659153803"/>
    <n v="527.41322615346201"/>
    <n v="1104.4295995100299"/>
    <m/>
    <m/>
    <m/>
    <m/>
    <m/>
    <m/>
    <n v="-2655.1366066297301"/>
    <n v="11722"/>
    <s v="DBE"/>
  </r>
  <r>
    <x v="5"/>
    <x v="17"/>
    <n v="40087"/>
    <n v="0"/>
    <n v="40087"/>
    <s v="NA"/>
    <s v="NA"/>
    <n v="405.33765039310703"/>
    <n v="31215.2098673037"/>
    <n v="6182.7193754197197"/>
    <m/>
    <m/>
    <m/>
    <m/>
    <m/>
    <m/>
    <n v="-3027.9007047841101"/>
    <n v="80918"/>
    <s v="DBE"/>
  </r>
  <r>
    <x v="5"/>
    <x v="18"/>
    <n v="1678"/>
    <n v="747"/>
    <n v="2425"/>
    <s v="NA"/>
    <s v="NA"/>
    <n v="2.91311451087841"/>
    <n v="2600.71673939226"/>
    <n v="1108.27104767592"/>
    <m/>
    <m/>
    <m/>
    <m/>
    <m/>
    <m/>
    <n v="-4631.7867572374398"/>
    <n v="10769"/>
    <s v="DBE"/>
  </r>
  <r>
    <x v="5"/>
    <x v="19"/>
    <n v="1782"/>
    <n v="0"/>
    <n v="1782"/>
    <s v="NA"/>
    <s v="NA"/>
    <n v="1717.2554784927499"/>
    <n v="99553.651685471297"/>
    <n v="25327.216385137999"/>
    <m/>
    <m/>
    <m/>
    <m/>
    <m/>
    <m/>
    <n v="-85000.3795953425"/>
    <n v="213381"/>
    <s v="DBE"/>
  </r>
  <r>
    <x v="5"/>
    <x v="20"/>
    <n v="5415"/>
    <n v="115"/>
    <n v="5530"/>
    <s v="NA"/>
    <s v="NA"/>
    <n v="205.59769828175499"/>
    <n v="5161.6866981653602"/>
    <n v="1411.6978883322599"/>
    <m/>
    <m/>
    <m/>
    <m/>
    <m/>
    <m/>
    <n v="-1826.24186730165"/>
    <n v="14135"/>
    <s v="DBE"/>
  </r>
  <r>
    <x v="5"/>
    <x v="21"/>
    <n v="95695"/>
    <n v="0"/>
    <n v="95695"/>
    <s v="NA"/>
    <s v="NA"/>
    <n v="8.6865824208398692"/>
    <n v="48780.469942641103"/>
    <n v="13973.7707853845"/>
    <m/>
    <m/>
    <m/>
    <m/>
    <m/>
    <m/>
    <n v="-18638.424852876899"/>
    <n v="177096"/>
    <s v="DBE"/>
  </r>
  <r>
    <x v="5"/>
    <x v="22"/>
    <n v="3706"/>
    <n v="166"/>
    <n v="3872"/>
    <s v="NA"/>
    <s v="NA"/>
    <n v="11.388134780154401"/>
    <n v="688.189912162577"/>
    <n v="723.77740666655404"/>
    <m/>
    <m/>
    <m/>
    <m/>
    <m/>
    <m/>
    <n v="-5996.5575597412699"/>
    <n v="11292"/>
    <s v="DBE"/>
  </r>
  <r>
    <x v="5"/>
    <x v="23"/>
    <n v="97154"/>
    <n v="0"/>
    <n v="97154"/>
    <s v="NA"/>
    <s v="NA"/>
    <n v="73.382571568703199"/>
    <n v="46403.215510378897"/>
    <n v="16949.748551922701"/>
    <m/>
    <m/>
    <m/>
    <m/>
    <m/>
    <m/>
    <n v="28203.703808479899"/>
    <n v="160580"/>
    <s v="DBE"/>
  </r>
  <r>
    <x v="5"/>
    <x v="24"/>
    <n v="6193"/>
    <n v="0"/>
    <n v="6193"/>
    <s v="NA"/>
    <s v="NA"/>
    <n v="0.37449996412466602"/>
    <n v="2087.8364792371199"/>
    <n v="4190.2943390746304"/>
    <m/>
    <m/>
    <m/>
    <m/>
    <m/>
    <m/>
    <n v="-14880.930777075"/>
    <n v="27352"/>
    <s v="DBE"/>
  </r>
  <r>
    <x v="5"/>
    <x v="25"/>
    <n v="38547"/>
    <n v="2"/>
    <n v="38549"/>
    <s v="NA"/>
    <s v="NA"/>
    <n v="161.96400320707599"/>
    <n v="46163.415898215499"/>
    <n v="10910.417654369499"/>
    <m/>
    <m/>
    <m/>
    <m/>
    <m/>
    <m/>
    <n v="-60709.329012165603"/>
    <n v="156494"/>
    <s v="DBE"/>
  </r>
  <r>
    <x v="5"/>
    <x v="26"/>
    <n v="622"/>
    <n v="1"/>
    <n v="623"/>
    <s v="NA"/>
    <s v="NA"/>
    <n v="53.517727720357698"/>
    <n v="975.93632575071194"/>
    <n v="72.240080913808498"/>
    <m/>
    <m/>
    <m/>
    <m/>
    <m/>
    <m/>
    <n v="-581.24568860909903"/>
    <n v="2306"/>
    <s v="DBE"/>
  </r>
  <r>
    <x v="5"/>
    <x v="27"/>
    <n v="40001"/>
    <n v="0"/>
    <n v="40001"/>
    <s v="NA"/>
    <s v="NA"/>
    <n v="1.6682933795117101"/>
    <n v="4901.9018177437301"/>
    <n v="4139.4426665128703"/>
    <m/>
    <m/>
    <m/>
    <m/>
    <m/>
    <m/>
    <n v="17728.065892981798"/>
    <n v="49044"/>
    <s v="DBE"/>
  </r>
  <r>
    <x v="5"/>
    <x v="28"/>
    <n v="7600"/>
    <n v="0"/>
    <n v="7600"/>
    <s v="NA"/>
    <s v="NA"/>
    <n v="5.4403140614832902E-12"/>
    <n v="3315.1275241465701"/>
    <n v="3038.92273927313"/>
    <m/>
    <m/>
    <m/>
    <m/>
    <m/>
    <m/>
    <n v="3665.0631947062202"/>
    <n v="13954"/>
    <s v="DBE"/>
  </r>
  <r>
    <x v="5"/>
    <x v="29"/>
    <n v="69681"/>
    <n v="0"/>
    <n v="69681"/>
    <s v="NA"/>
    <s v="NA"/>
    <n v="305.63102427468903"/>
    <n v="149637.01410786799"/>
    <n v="20496.214568460899"/>
    <m/>
    <m/>
    <m/>
    <m/>
    <m/>
    <m/>
    <n v="-34852.552862678298"/>
    <n v="274972"/>
    <s v="DBE"/>
  </r>
  <r>
    <x v="5"/>
    <x v="30"/>
    <n v="783"/>
    <n v="1"/>
    <n v="784"/>
    <s v="NA"/>
    <s v="NA"/>
    <n v="4.3531565455790702"/>
    <n v="1021.5354399755601"/>
    <n v="60.715411517073001"/>
    <m/>
    <m/>
    <m/>
    <m/>
    <m/>
    <m/>
    <n v="-175.775932225969"/>
    <n v="2046"/>
    <s v="DBE"/>
  </r>
  <r>
    <x v="5"/>
    <x v="31"/>
    <n v="6282"/>
    <n v="0"/>
    <n v="6282"/>
    <s v="NA"/>
    <s v="NA"/>
    <n v="32.5384890039197"/>
    <n v="12088.863003912"/>
    <n v="15527.4764487177"/>
    <m/>
    <m/>
    <m/>
    <m/>
    <m/>
    <m/>
    <n v="-10782.6547100916"/>
    <n v="44714"/>
    <s v="DBE"/>
  </r>
  <r>
    <x v="5"/>
    <x v="32"/>
    <n v="9117"/>
    <n v="0"/>
    <n v="9117"/>
    <s v="NA"/>
    <s v="NA"/>
    <n v="0.93965899607632397"/>
    <n v="20125.461619354199"/>
    <n v="1151.10448399446"/>
    <m/>
    <m/>
    <m/>
    <m/>
    <m/>
    <m/>
    <n v="-7351.4981841618101"/>
    <n v="37746"/>
    <s v="DBE"/>
  </r>
  <r>
    <x v="5"/>
    <x v="33"/>
    <n v="32194"/>
    <n v="12"/>
    <n v="32206"/>
    <s v="NA"/>
    <s v="NA"/>
    <n v="175.52891446267901"/>
    <n v="57794.609765955298"/>
    <n v="5999.2234929299802"/>
    <m/>
    <m/>
    <m/>
    <m/>
    <m/>
    <m/>
    <n v="3735.72700512967"/>
    <n v="96175"/>
    <s v="DBE"/>
  </r>
  <r>
    <x v="5"/>
    <x v="34"/>
    <n v="285"/>
    <n v="0"/>
    <n v="285"/>
    <s v="NA"/>
    <s v="NA"/>
    <n v="7.0705097073631706E-2"/>
    <n v="41.599638541114402"/>
    <n v="42.920632483880901"/>
    <m/>
    <m/>
    <m/>
    <m/>
    <m/>
    <m/>
    <n v="319.20571111210302"/>
    <n v="370"/>
    <s v="DBE"/>
  </r>
  <r>
    <x v="5"/>
    <x v="35"/>
    <n v="13157"/>
    <n v="0"/>
    <n v="13157"/>
    <s v="NA"/>
    <s v="NA"/>
    <n v="0"/>
    <n v="10462.823968855701"/>
    <n v="1989.65971653724"/>
    <m/>
    <m/>
    <m/>
    <m/>
    <m/>
    <m/>
    <n v="8275.4571372231294"/>
    <n v="25609"/>
    <s v="DBE"/>
  </r>
  <r>
    <x v="5"/>
    <x v="36"/>
    <n v="3136"/>
    <n v="27"/>
    <n v="3163"/>
    <s v="NA"/>
    <s v="NA"/>
    <n v="0"/>
    <n v="6048.5230689101099"/>
    <n v="1164.4597721688599"/>
    <m/>
    <m/>
    <m/>
    <m/>
    <m/>
    <m/>
    <n v="148.31959107774699"/>
    <n v="10376"/>
    <s v="DBE"/>
  </r>
  <r>
    <x v="5"/>
    <x v="37"/>
    <n v="14841"/>
    <n v="37"/>
    <n v="14878"/>
    <s v="NA"/>
    <s v="NA"/>
    <n v="0"/>
    <n v="41846.556247663502"/>
    <n v="3752.5214903585602"/>
    <m/>
    <m/>
    <m/>
    <m/>
    <m/>
    <m/>
    <n v="454.74862869407599"/>
    <n v="60477"/>
    <s v="DBE"/>
  </r>
  <r>
    <x v="5"/>
    <x v="38"/>
    <n v="178"/>
    <n v="14"/>
    <n v="192"/>
    <s v="NA"/>
    <s v="NA"/>
    <n v="2.0516361867539801E-2"/>
    <n v="885.36565095232197"/>
    <n v="38.640729709623201"/>
    <m/>
    <m/>
    <m/>
    <m/>
    <m/>
    <m/>
    <n v="-122.92236285526501"/>
    <n v="1239"/>
    <s v="DBE"/>
  </r>
  <r>
    <x v="5"/>
    <x v="39"/>
    <n v="9356"/>
    <n v="0"/>
    <n v="9356"/>
    <s v="NA"/>
    <s v="NA"/>
    <n v="0"/>
    <n v="24413.058087221601"/>
    <n v="2347.2545299946401"/>
    <m/>
    <m/>
    <m/>
    <m/>
    <m/>
    <m/>
    <n v="3861.03102923804"/>
    <n v="36116"/>
    <s v="DBE"/>
  </r>
  <r>
    <x v="5"/>
    <x v="40"/>
    <n v="800"/>
    <n v="0"/>
    <n v="800"/>
    <s v="NA"/>
    <s v="NA"/>
    <n v="5.02080954835247"/>
    <n v="1647.0860927467199"/>
    <n v="208.98394065036999"/>
    <m/>
    <m/>
    <m/>
    <m/>
    <m/>
    <m/>
    <n v="52.997327140494598"/>
    <n v="2661"/>
    <s v="DBE"/>
  </r>
  <r>
    <x v="5"/>
    <x v="41"/>
    <n v="7535"/>
    <n v="66"/>
    <n v="7601"/>
    <s v="NA"/>
    <s v="NA"/>
    <m/>
    <n v="22747.352773422201"/>
    <n v="2375.50416920819"/>
    <m/>
    <m/>
    <m/>
    <m/>
    <m/>
    <m/>
    <n v="-203.76875166448599"/>
    <n v="32928"/>
    <s v="DBE"/>
  </r>
  <r>
    <x v="5"/>
    <x v="42"/>
    <n v="63"/>
    <n v="0"/>
    <n v="63"/>
    <s v="NA"/>
    <s v="NA"/>
    <m/>
    <n v="225.99119270027899"/>
    <n v="6.9413205946458802"/>
    <m/>
    <m/>
    <m/>
    <m/>
    <m/>
    <m/>
    <n v="-5.30882388366543"/>
    <n v="301"/>
    <s v="DBE"/>
  </r>
  <r>
    <x v="5"/>
    <x v="43"/>
    <n v="3905"/>
    <n v="0"/>
    <n v="3905"/>
    <s v="NA"/>
    <s v="NA"/>
    <m/>
    <n v="4635.4211338201103"/>
    <n v="783.40606269935097"/>
    <m/>
    <m/>
    <m/>
    <m/>
    <m/>
    <m/>
    <n v="-3166.8031021698898"/>
    <n v="12491"/>
    <s v="DBE"/>
  </r>
  <r>
    <x v="5"/>
    <x v="44"/>
    <n v="416"/>
    <n v="0"/>
    <n v="416"/>
    <s v="NA"/>
    <s v="NA"/>
    <m/>
    <n v="1015.5331994905"/>
    <n v="76.2657224997713"/>
    <m/>
    <m/>
    <m/>
    <m/>
    <m/>
    <m/>
    <n v="-198.298792278809"/>
    <n v="1706"/>
    <s v="DBE"/>
  </r>
  <r>
    <x v="5"/>
    <x v="45"/>
    <n v="1427"/>
    <n v="3"/>
    <n v="1430"/>
    <s v="NA"/>
    <s v="NA"/>
    <m/>
    <n v="3957.19427782924"/>
    <n v="250.67856399433501"/>
    <m/>
    <m/>
    <m/>
    <m/>
    <m/>
    <m/>
    <n v="382.814822712026"/>
    <n v="5638"/>
    <s v="DBE"/>
  </r>
  <r>
    <x v="5"/>
    <x v="46"/>
    <n v="116"/>
    <n v="0"/>
    <n v="116"/>
    <s v="NA"/>
    <s v="NA"/>
    <m/>
    <n v="366.32243898908303"/>
    <n v="14.5524217915516"/>
    <m/>
    <m/>
    <m/>
    <m/>
    <m/>
    <m/>
    <n v="70.804451823072199"/>
    <n v="497"/>
    <s v="DBE"/>
  </r>
  <r>
    <x v="5"/>
    <x v="47"/>
    <n v="2038"/>
    <n v="0"/>
    <n v="2038"/>
    <s v="NA"/>
    <s v="NA"/>
    <m/>
    <n v="11499.341890315"/>
    <n v="363.18786464410698"/>
    <m/>
    <m/>
    <m/>
    <m/>
    <m/>
    <m/>
    <m/>
    <n v="13901"/>
    <s v="NA"/>
  </r>
  <r>
    <x v="5"/>
    <x v="48"/>
    <n v="59"/>
    <n v="38"/>
    <n v="97"/>
    <s v="NA"/>
    <s v="NA"/>
    <m/>
    <n v="240.021497265699"/>
    <n v="12.961915037087"/>
    <m/>
    <m/>
    <m/>
    <m/>
    <m/>
    <m/>
    <m/>
    <n v="350"/>
    <s v="RSA"/>
  </r>
  <r>
    <x v="5"/>
    <x v="49"/>
    <n v="995"/>
    <n v="14"/>
    <n v="1009"/>
    <s v="NA"/>
    <s v="NA"/>
    <m/>
    <n v="3817.9411764705801"/>
    <n v="169.58945386063999"/>
    <m/>
    <m/>
    <m/>
    <m/>
    <m/>
    <m/>
    <m/>
    <n v="4997"/>
    <s v="NA"/>
  </r>
  <r>
    <x v="5"/>
    <x v="50"/>
    <n v="11"/>
    <n v="0"/>
    <n v="11"/>
    <s v="NA"/>
    <s v="NA"/>
    <m/>
    <n v="46.973491454482101"/>
    <n v="1"/>
    <m/>
    <m/>
    <m/>
    <m/>
    <m/>
    <m/>
    <m/>
    <n v="59"/>
    <s v="NA"/>
  </r>
  <r>
    <x v="5"/>
    <x v="51"/>
    <n v="1038"/>
    <n v="0"/>
    <n v="1038"/>
    <s v="NA"/>
    <s v="NA"/>
    <m/>
    <n v="5436.0372096851197"/>
    <n v="566"/>
    <m/>
    <m/>
    <m/>
    <m/>
    <m/>
    <m/>
    <m/>
    <n v="7040"/>
    <s v="NA"/>
  </r>
  <r>
    <x v="5"/>
    <x v="52"/>
    <n v="32"/>
    <n v="0"/>
    <n v="32"/>
    <s v="NA"/>
    <s v="NA"/>
    <m/>
    <n v="331.62308499475301"/>
    <n v="3"/>
    <m/>
    <m/>
    <m/>
    <m/>
    <m/>
    <m/>
    <m/>
    <n v="367"/>
    <s v="NA"/>
  </r>
  <r>
    <x v="5"/>
    <x v="53"/>
    <n v="223"/>
    <n v="0"/>
    <n v="223"/>
    <s v="NA"/>
    <s v="NA"/>
    <m/>
    <n v="1906.2077922077899"/>
    <n v="41"/>
    <m/>
    <m/>
    <m/>
    <m/>
    <m/>
    <m/>
    <m/>
    <n v="2170"/>
    <s v="NA"/>
  </r>
  <r>
    <x v="5"/>
    <x v="54"/>
    <n v="18"/>
    <n v="0"/>
    <n v="18"/>
    <s v="NA"/>
    <s v="NA"/>
    <m/>
    <n v="69.245473110959907"/>
    <n v="1"/>
    <m/>
    <m/>
    <m/>
    <m/>
    <m/>
    <m/>
    <m/>
    <n v="88"/>
    <s v="NA"/>
  </r>
  <r>
    <x v="5"/>
    <x v="55"/>
    <n v="617"/>
    <n v="0"/>
    <n v="617"/>
    <s v="NA"/>
    <s v="NA"/>
    <m/>
    <n v="2586.4999670502798"/>
    <n v="50"/>
    <m/>
    <m/>
    <m/>
    <m/>
    <m/>
    <m/>
    <m/>
    <n v="3253"/>
    <s v="NA"/>
  </r>
  <r>
    <x v="5"/>
    <x v="56"/>
    <n v="4"/>
    <n v="0"/>
    <n v="4"/>
    <s v="NA"/>
    <s v="NA"/>
    <m/>
    <n v="30.528095772540201"/>
    <n v="0.22775907220351599"/>
    <m/>
    <m/>
    <m/>
    <m/>
    <m/>
    <m/>
    <m/>
    <n v="35"/>
    <s v="NA"/>
  </r>
  <r>
    <x v="5"/>
    <x v="57"/>
    <n v="350"/>
    <n v="1"/>
    <n v="351"/>
    <s v="NA"/>
    <s v="NA"/>
    <m/>
    <n v="1786.2248004329599"/>
    <n v="23.507644432417798"/>
    <m/>
    <m/>
    <m/>
    <m/>
    <m/>
    <m/>
    <m/>
    <n v="2161"/>
    <s v="NA"/>
  </r>
  <r>
    <x v="5"/>
    <x v="58"/>
    <n v="0"/>
    <n v="0"/>
    <n v="0"/>
    <s v="NA"/>
    <s v="NA"/>
    <m/>
    <m/>
    <m/>
    <m/>
    <m/>
    <m/>
    <m/>
    <m/>
    <m/>
    <m/>
    <n v="0"/>
    <s v="NA"/>
  </r>
  <r>
    <x v="5"/>
    <x v="59"/>
    <n v="985"/>
    <n v="0"/>
    <n v="985"/>
    <s v="NA"/>
    <s v="NA"/>
    <m/>
    <n v="1968.43194481295"/>
    <n v="279.89785088883002"/>
    <m/>
    <m/>
    <m/>
    <m/>
    <m/>
    <m/>
    <m/>
    <n v="3233"/>
    <s v="RSA"/>
  </r>
  <r>
    <x v="5"/>
    <x v="60"/>
    <n v="12"/>
    <n v="0"/>
    <n v="12"/>
    <s v="NA"/>
    <s v="NA"/>
    <m/>
    <n v="16.1180441270815"/>
    <n v="1.3023904493598499"/>
    <m/>
    <m/>
    <m/>
    <m/>
    <m/>
    <m/>
    <m/>
    <n v="29"/>
    <s v="NA"/>
  </r>
  <r>
    <x v="5"/>
    <x v="61"/>
    <n v="323"/>
    <n v="2"/>
    <n v="325"/>
    <s v="NA"/>
    <s v="NA"/>
    <m/>
    <n v="783.10673215141298"/>
    <n v="16.9796871791361"/>
    <m/>
    <m/>
    <m/>
    <m/>
    <m/>
    <m/>
    <m/>
    <n v="1125"/>
    <s v="NA"/>
  </r>
  <r>
    <x v="5"/>
    <x v="62"/>
    <n v="0"/>
    <n v="0"/>
    <n v="0"/>
    <s v="NA"/>
    <s v="NA"/>
    <m/>
    <m/>
    <m/>
    <m/>
    <m/>
    <m/>
    <m/>
    <m/>
    <m/>
    <m/>
    <n v="0"/>
    <s v="NA"/>
  </r>
  <r>
    <x v="5"/>
    <x v="63"/>
    <n v="1000"/>
    <n v="0"/>
    <n v="1000"/>
    <s v="NA"/>
    <s v="NA"/>
    <m/>
    <n v="2695.4164613109901"/>
    <n v="166.33809758501701"/>
    <m/>
    <m/>
    <m/>
    <m/>
    <m/>
    <m/>
    <m/>
    <n v="3862"/>
    <s v="RSA"/>
  </r>
  <r>
    <x v="5"/>
    <x v="64"/>
    <n v="0"/>
    <n v="0"/>
    <n v="0"/>
    <s v="NA"/>
    <s v="NA"/>
    <m/>
    <m/>
    <m/>
    <m/>
    <m/>
    <m/>
    <m/>
    <m/>
    <m/>
    <m/>
    <n v="0"/>
    <s v="NA"/>
  </r>
  <r>
    <x v="5"/>
    <x v="65"/>
    <n v="434"/>
    <n v="0"/>
    <n v="434"/>
    <s v="NA"/>
    <s v="NA"/>
    <m/>
    <n v="1929.28742469498"/>
    <n v="8.0030628258998604"/>
    <m/>
    <m/>
    <m/>
    <m/>
    <m/>
    <m/>
    <m/>
    <n v="2371"/>
    <s v="NA"/>
  </r>
  <r>
    <x v="5"/>
    <x v="66"/>
    <n v="0"/>
    <n v="0"/>
    <n v="0"/>
    <s v="NA"/>
    <s v="NA"/>
    <m/>
    <n v="826.94327647758803"/>
    <n v="42.593811979373299"/>
    <m/>
    <m/>
    <m/>
    <m/>
    <m/>
    <m/>
    <m/>
    <n v="870"/>
    <s v="NA"/>
  </r>
  <r>
    <x v="5"/>
    <x v="67"/>
    <n v="9"/>
    <n v="0"/>
    <n v="9"/>
    <s v="NA"/>
    <s v="NA"/>
    <m/>
    <n v="28.630961115187102"/>
    <n v="2.0007336757153298"/>
    <m/>
    <m/>
    <m/>
    <m/>
    <m/>
    <m/>
    <m/>
    <n v="40"/>
    <s v="NA"/>
  </r>
  <r>
    <x v="5"/>
    <x v="68"/>
    <n v="11"/>
    <n v="0"/>
    <n v="11"/>
    <s v="NA"/>
    <s v="NA"/>
    <m/>
    <n v="65.362336510751504"/>
    <n v="2.1995123032586998"/>
    <m/>
    <m/>
    <m/>
    <m/>
    <m/>
    <m/>
    <m/>
    <n v="79"/>
    <s v="RSA"/>
  </r>
  <r>
    <x v="5"/>
    <x v="69"/>
    <n v="210"/>
    <n v="0"/>
    <n v="210"/>
    <s v="NA"/>
    <s v="NA"/>
    <m/>
    <n v="691.408845423142"/>
    <n v="7.0315613405747603"/>
    <m/>
    <m/>
    <m/>
    <m/>
    <m/>
    <m/>
    <m/>
    <n v="908"/>
    <s v="NA"/>
  </r>
  <r>
    <x v="5"/>
    <x v="70"/>
    <n v="0"/>
    <n v="0"/>
    <n v="0"/>
    <s v="NA"/>
    <s v="NA"/>
    <m/>
    <m/>
    <m/>
    <m/>
    <m/>
    <m/>
    <m/>
    <m/>
    <m/>
    <m/>
    <n v="0"/>
    <s v="NA"/>
  </r>
  <r>
    <x v="5"/>
    <x v="71"/>
    <n v="0"/>
    <n v="0"/>
    <n v="0"/>
    <s v="NA"/>
    <s v="NA"/>
    <m/>
    <m/>
    <m/>
    <m/>
    <m/>
    <m/>
    <m/>
    <m/>
    <m/>
    <m/>
    <n v="0"/>
    <s v="NA"/>
  </r>
  <r>
    <x v="6"/>
    <x v="0"/>
    <n v="9819"/>
    <n v="0"/>
    <n v="9819"/>
    <n v="239"/>
    <s v="NA"/>
    <n v="238.08742921829699"/>
    <n v="176.33019918821901"/>
    <n v="544.20415210195301"/>
    <m/>
    <n v="15418"/>
    <n v="221"/>
    <m/>
    <m/>
    <m/>
    <n v="-30616.095808169201"/>
    <n v="26656"/>
    <s v="RSA"/>
  </r>
  <r>
    <x v="6"/>
    <x v="1"/>
    <n v="24929"/>
    <n v="0"/>
    <n v="24929"/>
    <s v="NA"/>
    <s v="NA"/>
    <n v="1003.59740899906"/>
    <n v="998.52442640306003"/>
    <n v="3797.1893188587101"/>
    <m/>
    <n v="224361"/>
    <m/>
    <m/>
    <m/>
    <m/>
    <n v="-214662.63015631499"/>
    <n v="255089"/>
    <s v="RSA"/>
  </r>
  <r>
    <x v="6"/>
    <x v="2"/>
    <n v="53932"/>
    <n v="81"/>
    <n v="54013"/>
    <s v="NA"/>
    <s v="NA"/>
    <n v="0"/>
    <n v="482.02734501468899"/>
    <n v="998.06999103287205"/>
    <m/>
    <n v="23114"/>
    <m/>
    <m/>
    <n v="35"/>
    <m/>
    <n v="-14189.810807305899"/>
    <n v="78642"/>
    <s v="RSA"/>
  </r>
  <r>
    <x v="6"/>
    <x v="3"/>
    <n v="30"/>
    <n v="0"/>
    <n v="30"/>
    <s v="NA"/>
    <s v="NA"/>
    <n v="28.218060378400001"/>
    <n v="72.726441916610995"/>
    <n v="66.464210239631797"/>
    <m/>
    <n v="19940"/>
    <n v="30"/>
    <m/>
    <m/>
    <m/>
    <n v="-16636.989902377401"/>
    <n v="20167"/>
    <s v="RSA"/>
  </r>
  <r>
    <x v="6"/>
    <x v="4"/>
    <n v="89"/>
    <n v="0"/>
    <n v="89"/>
    <s v="NA"/>
    <s v="NA"/>
    <n v="121.26739999954"/>
    <n v="59.109092788858"/>
    <n v="133.51430298064099"/>
    <m/>
    <n v="25340"/>
    <m/>
    <m/>
    <m/>
    <m/>
    <n v="-25499.0274918014"/>
    <n v="25743"/>
    <s v="RSA"/>
  </r>
  <r>
    <x v="6"/>
    <x v="5"/>
    <n v="48489"/>
    <n v="0"/>
    <n v="48489"/>
    <s v="NA"/>
    <s v="NA"/>
    <n v="176.57476888810001"/>
    <n v="1736.44231477628"/>
    <n v="6600.9765646954102"/>
    <n v="5"/>
    <n v="34379"/>
    <n v="3080"/>
    <m/>
    <m/>
    <m/>
    <n v="-66321.276576344098"/>
    <n v="94467"/>
    <s v="RSA"/>
  </r>
  <r>
    <x v="6"/>
    <x v="6"/>
    <n v="15423"/>
    <n v="10"/>
    <n v="15433"/>
    <s v="NA"/>
    <s v="NA"/>
    <n v="47.914316197787798"/>
    <n v="235.34642789627401"/>
    <n v="2725.1234522202299"/>
    <m/>
    <n v="3856"/>
    <m/>
    <m/>
    <n v="2"/>
    <m/>
    <n v="-18478.4980949561"/>
    <n v="22299"/>
    <s v="RSA"/>
  </r>
  <r>
    <x v="6"/>
    <x v="7"/>
    <n v="8608"/>
    <n v="4"/>
    <n v="8612"/>
    <s v="NA"/>
    <s v="NA"/>
    <n v="168.87186976379999"/>
    <n v="134.234358660097"/>
    <n v="1514.01189075454"/>
    <m/>
    <n v="5602"/>
    <n v="1796"/>
    <m/>
    <n v="2"/>
    <m/>
    <n v="-7757.7424635206999"/>
    <n v="17829"/>
    <s v="RSA"/>
  </r>
  <r>
    <x v="6"/>
    <x v="8"/>
    <n v="10087"/>
    <n v="9"/>
    <n v="10096"/>
    <s v="NA"/>
    <s v="NA"/>
    <n v="0"/>
    <n v="184.12960914652601"/>
    <n v="623.18102075543095"/>
    <m/>
    <n v="16752"/>
    <n v="1081"/>
    <m/>
    <n v="13"/>
    <m/>
    <n v="-18510.653566423702"/>
    <n v="28749"/>
    <s v="RSA"/>
  </r>
  <r>
    <x v="6"/>
    <x v="9"/>
    <n v="68610"/>
    <n v="3"/>
    <n v="68613"/>
    <s v="NA"/>
    <s v="NA"/>
    <n v="0"/>
    <n v="5455.0514751026203"/>
    <n v="20024.559643241701"/>
    <m/>
    <n v="25490"/>
    <n v="7859"/>
    <m/>
    <n v="2"/>
    <n v="4"/>
    <n v="-139257.076041878"/>
    <n v="127448"/>
    <s v="RSA"/>
  </r>
  <r>
    <x v="6"/>
    <x v="10"/>
    <n v="86262"/>
    <n v="49"/>
    <n v="86311"/>
    <s v="NA"/>
    <s v="NA"/>
    <n v="51.904877271807003"/>
    <n v="1908.8755112332799"/>
    <n v="9484.7323636540495"/>
    <m/>
    <n v="71637"/>
    <n v="12665"/>
    <m/>
    <n v="38"/>
    <n v="4"/>
    <n v="-84719.028468158504"/>
    <n v="182101"/>
    <s v="RSA"/>
  </r>
  <r>
    <x v="6"/>
    <x v="11"/>
    <n v="26230"/>
    <n v="3"/>
    <n v="26233"/>
    <s v="NA"/>
    <s v="NA"/>
    <n v="9.8947268457141995"/>
    <n v="2422.2276212439801"/>
    <n v="6341.4164594968897"/>
    <m/>
    <n v="148637"/>
    <m/>
    <m/>
    <n v="17"/>
    <m/>
    <n v="-148582.54073487699"/>
    <n v="183661"/>
    <s v="RSA"/>
  </r>
  <r>
    <x v="6"/>
    <x v="12"/>
    <n v="757"/>
    <n v="1"/>
    <n v="758"/>
    <s v="NA"/>
    <s v="NA"/>
    <n v="15.3528850848539"/>
    <n v="560.20634473171594"/>
    <n v="1686.94972200242"/>
    <m/>
    <n v="22182"/>
    <m/>
    <m/>
    <n v="29"/>
    <m/>
    <n v="-22288.354942403901"/>
    <n v="25232"/>
    <s v="RSA"/>
  </r>
  <r>
    <x v="6"/>
    <x v="13"/>
    <n v="60262"/>
    <n v="0"/>
    <n v="60262"/>
    <s v="NA"/>
    <s v="NA"/>
    <n v="0"/>
    <n v="3439.3948632162101"/>
    <m/>
    <m/>
    <n v="23699"/>
    <n v="14784"/>
    <m/>
    <m/>
    <m/>
    <n v="-40415.324912550801"/>
    <n v="102184"/>
    <s v="RSA"/>
  </r>
  <r>
    <x v="6"/>
    <x v="14"/>
    <n v="45297"/>
    <n v="0"/>
    <n v="45297"/>
    <s v="NA"/>
    <s v="NA"/>
    <n v="247.36054584739199"/>
    <n v="2270.857735567"/>
    <n v="5457.8616542151303"/>
    <m/>
    <n v="26603"/>
    <m/>
    <m/>
    <m/>
    <m/>
    <n v="-28716.700523379001"/>
    <n v="79876"/>
    <s v="RSA"/>
  </r>
  <r>
    <x v="6"/>
    <x v="15"/>
    <n v="29867"/>
    <n v="49"/>
    <n v="29916"/>
    <s v="NA"/>
    <s v="NA"/>
    <n v="149.247493681392"/>
    <n v="530.07942031453501"/>
    <n v="2540.4522264357001"/>
    <m/>
    <m/>
    <m/>
    <m/>
    <m/>
    <m/>
    <n v="-2630.4687900469198"/>
    <n v="35766"/>
    <s v="DBE"/>
  </r>
  <r>
    <x v="6"/>
    <x v="16"/>
    <n v="5347"/>
    <n v="0"/>
    <n v="5347"/>
    <s v="NA"/>
    <s v="NA"/>
    <n v="0"/>
    <n v="106.311417425857"/>
    <n v="979.87081339380995"/>
    <m/>
    <m/>
    <m/>
    <m/>
    <m/>
    <m/>
    <n v="-9789.0131575671003"/>
    <n v="16222"/>
    <s v="DBE"/>
  </r>
  <r>
    <x v="6"/>
    <x v="17"/>
    <n v="35816"/>
    <n v="0"/>
    <n v="35816"/>
    <s v="NA"/>
    <s v="NA"/>
    <n v="65.802959953065795"/>
    <n v="2343.7708642283101"/>
    <n v="4479.5539457824198"/>
    <m/>
    <m/>
    <m/>
    <m/>
    <m/>
    <m/>
    <n v="-12868.811198035501"/>
    <n v="55574"/>
    <s v="DBE"/>
  </r>
  <r>
    <x v="6"/>
    <x v="18"/>
    <n v="98537"/>
    <n v="0"/>
    <n v="98537"/>
    <s v="NA"/>
    <s v="NA"/>
    <n v="21.733644474790001"/>
    <n v="5856.1118841834104"/>
    <n v="15253.0241620834"/>
    <m/>
    <m/>
    <m/>
    <m/>
    <m/>
    <m/>
    <n v="-89328.719995117994"/>
    <n v="208997"/>
    <s v="DBE"/>
  </r>
  <r>
    <x v="6"/>
    <x v="19"/>
    <n v="9281"/>
    <n v="5"/>
    <n v="9286"/>
    <s v="NA"/>
    <s v="NA"/>
    <n v="0"/>
    <n v="8278.7386698999908"/>
    <n v="37223.600772920399"/>
    <m/>
    <m/>
    <m/>
    <m/>
    <m/>
    <m/>
    <n v="-69425.579457382395"/>
    <n v="124214"/>
    <s v="DBE"/>
  </r>
  <r>
    <x v="6"/>
    <x v="20"/>
    <n v="13166"/>
    <n v="0"/>
    <n v="13166"/>
    <s v="NA"/>
    <s v="NA"/>
    <n v="0"/>
    <n v="870.37984752469401"/>
    <n v="3119.3764170487598"/>
    <m/>
    <m/>
    <m/>
    <m/>
    <m/>
    <m/>
    <n v="-11960.6944480521"/>
    <n v="29116"/>
    <s v="DBE"/>
  </r>
  <r>
    <x v="6"/>
    <x v="21"/>
    <n v="24637"/>
    <n v="0"/>
    <n v="24637"/>
    <s v="NA"/>
    <s v="NA"/>
    <n v="3.1895576336957599E-3"/>
    <n v="1754.38345734986"/>
    <n v="6478.0593081978895"/>
    <m/>
    <m/>
    <m/>
    <m/>
    <m/>
    <m/>
    <n v="-29259.221671683099"/>
    <n v="62129"/>
    <s v="DBE"/>
  </r>
  <r>
    <x v="6"/>
    <x v="22"/>
    <n v="170981"/>
    <n v="2"/>
    <n v="170983"/>
    <s v="NA"/>
    <s v="NA"/>
    <n v="4.8165213064393197E-2"/>
    <n v="7137.6416783350996"/>
    <n v="37624.654811709297"/>
    <m/>
    <m/>
    <m/>
    <m/>
    <m/>
    <m/>
    <n v="-8864.4694974959293"/>
    <n v="224610"/>
    <s v="DBE"/>
  </r>
  <r>
    <x v="6"/>
    <x v="23"/>
    <n v="89858"/>
    <n v="1"/>
    <n v="89859"/>
    <s v="NA"/>
    <s v="NA"/>
    <n v="1.6871923496542101"/>
    <n v="42735.730632451501"/>
    <n v="197459.80685444601"/>
    <m/>
    <m/>
    <m/>
    <m/>
    <m/>
    <m/>
    <n v="-80549.990902576494"/>
    <n v="410606"/>
    <s v="DBE"/>
  </r>
  <r>
    <x v="6"/>
    <x v="24"/>
    <n v="24552"/>
    <n v="0"/>
    <n v="24552"/>
    <s v="NA"/>
    <s v="NA"/>
    <n v="1.2419378016678301E-9"/>
    <n v="4530.1967583881096"/>
    <n v="5254.7861025509001"/>
    <m/>
    <m/>
    <m/>
    <m/>
    <m/>
    <m/>
    <n v="-145922.023618229"/>
    <n v="180257"/>
    <s v="DBE"/>
  </r>
  <r>
    <x v="6"/>
    <x v="25"/>
    <n v="32570"/>
    <n v="20"/>
    <n v="32590"/>
    <s v="NA"/>
    <s v="NA"/>
    <n v="0.169740228771807"/>
    <n v="7834.24959739526"/>
    <n v="18090.754788373099"/>
    <m/>
    <m/>
    <m/>
    <m/>
    <m/>
    <m/>
    <n v="-136121.86534716701"/>
    <n v="194637"/>
    <s v="DBE"/>
  </r>
  <r>
    <x v="6"/>
    <x v="26"/>
    <n v="266941"/>
    <n v="6"/>
    <n v="266946"/>
    <s v="NA"/>
    <s v="NA"/>
    <n v="18893.273848258599"/>
    <n v="477531.03484839498"/>
    <n v="327863.941704066"/>
    <m/>
    <m/>
    <m/>
    <m/>
    <m/>
    <m/>
    <n v="-606725.92357469397"/>
    <n v="1697960"/>
    <s v="DBE"/>
  </r>
  <r>
    <x v="6"/>
    <x v="27"/>
    <n v="87612"/>
    <n v="841"/>
    <n v="88453"/>
    <s v="NA"/>
    <s v="NA"/>
    <n v="1.3701513440571201E-11"/>
    <n v="5566.5037005373497"/>
    <n v="3956.6457437157501"/>
    <m/>
    <m/>
    <m/>
    <m/>
    <m/>
    <m/>
    <n v="-39612.839693132701"/>
    <n v="137589"/>
    <s v="DBE"/>
  </r>
  <r>
    <x v="6"/>
    <x v="28"/>
    <n v="122856"/>
    <n v="6"/>
    <n v="122862"/>
    <s v="NA"/>
    <s v="NA"/>
    <n v="1.31564374177078E-48"/>
    <n v="8768.7786456731992"/>
    <n v="6644.0122175453498"/>
    <m/>
    <m/>
    <m/>
    <m/>
    <m/>
    <m/>
    <n v="-64832.719029431799"/>
    <n v="203108"/>
    <s v="DBE"/>
  </r>
  <r>
    <x v="6"/>
    <x v="29"/>
    <n v="29125"/>
    <n v="394"/>
    <n v="29519"/>
    <s v="NA"/>
    <s v="NA"/>
    <n v="0"/>
    <n v="10876.785950581299"/>
    <n v="35667"/>
    <m/>
    <m/>
    <m/>
    <m/>
    <m/>
    <m/>
    <n v="-142277.69271671801"/>
    <n v="218340"/>
    <s v="DBE"/>
  </r>
  <r>
    <x v="6"/>
    <x v="30"/>
    <n v="688013"/>
    <n v="2"/>
    <n v="688015"/>
    <s v="NA"/>
    <s v="NA"/>
    <n v="632.01212287143903"/>
    <n v="250705.774323305"/>
    <n v="212353"/>
    <m/>
    <m/>
    <m/>
    <m/>
    <m/>
    <m/>
    <n v="205495.31036294601"/>
    <n v="1151706"/>
    <s v="DBE"/>
  </r>
  <r>
    <x v="6"/>
    <x v="31"/>
    <n v="66098"/>
    <n v="422"/>
    <n v="66520"/>
    <s v="NA"/>
    <s v="NA"/>
    <n v="0.28925514632788302"/>
    <n v="63140.613933562803"/>
    <n v="145000"/>
    <m/>
    <m/>
    <m/>
    <m/>
    <m/>
    <m/>
    <n v="-103211.386925777"/>
    <n v="377872"/>
    <s v="DBE"/>
  </r>
  <r>
    <x v="6"/>
    <x v="32"/>
    <n v="141119"/>
    <n v="33"/>
    <n v="141152"/>
    <s v="NA"/>
    <s v="NA"/>
    <n v="0"/>
    <n v="194808.891275125"/>
    <n v="176522"/>
    <m/>
    <m/>
    <m/>
    <m/>
    <m/>
    <m/>
    <n v="-70320.007002752594"/>
    <n v="582803"/>
    <s v="DBE"/>
  </r>
  <r>
    <x v="6"/>
    <x v="33"/>
    <n v="97035"/>
    <n v="14"/>
    <n v="97049"/>
    <s v="NA"/>
    <s v="NA"/>
    <n v="0"/>
    <n v="6809.0404648243202"/>
    <n v="51178"/>
    <m/>
    <m/>
    <m/>
    <m/>
    <m/>
    <m/>
    <n v="-36242.083243653302"/>
    <n v="191278"/>
    <s v="DBE"/>
  </r>
  <r>
    <x v="6"/>
    <x v="34"/>
    <n v="384799"/>
    <n v="20"/>
    <n v="384819"/>
    <s v="NA"/>
    <s v="NA"/>
    <n v="0.23633859649122799"/>
    <n v="637567.43252741999"/>
    <n v="189851"/>
    <m/>
    <m/>
    <m/>
    <m/>
    <m/>
    <m/>
    <n v="120210.697503541"/>
    <n v="1212238"/>
    <s v="DBE"/>
  </r>
  <r>
    <x v="6"/>
    <x v="35"/>
    <n v="179807"/>
    <n v="2322"/>
    <n v="182129"/>
    <s v="NA"/>
    <s v="NA"/>
    <n v="0"/>
    <n v="15779.265670508201"/>
    <n v="26231"/>
    <m/>
    <m/>
    <m/>
    <m/>
    <m/>
    <m/>
    <n v="13559.503735317199"/>
    <n v="224139"/>
    <s v="DBE"/>
  </r>
  <r>
    <x v="6"/>
    <x v="36"/>
    <n v="148194"/>
    <n v="244"/>
    <n v="148438"/>
    <s v="NA"/>
    <s v="NA"/>
    <n v="0"/>
    <n v="8168.0586535028697"/>
    <n v="21330"/>
    <m/>
    <m/>
    <m/>
    <m/>
    <m/>
    <m/>
    <n v="-13022.5529502473"/>
    <n v="190959"/>
    <s v="DBE"/>
  </r>
  <r>
    <x v="6"/>
    <x v="37"/>
    <n v="28584"/>
    <n v="420"/>
    <n v="29004"/>
    <s v="NA"/>
    <s v="NA"/>
    <n v="0"/>
    <n v="2157.1533468983998"/>
    <n v="13581.384800088799"/>
    <m/>
    <m/>
    <m/>
    <m/>
    <m/>
    <m/>
    <n v="14652.828161528299"/>
    <n v="44743"/>
    <s v="DBE"/>
  </r>
  <r>
    <x v="6"/>
    <x v="38"/>
    <n v="237532"/>
    <n v="12"/>
    <n v="237544"/>
    <s v="NA"/>
    <s v="NA"/>
    <n v="0"/>
    <n v="57274.831767070202"/>
    <n v="72691.060585710497"/>
    <m/>
    <m/>
    <m/>
    <m/>
    <m/>
    <m/>
    <n v="9611.3626783306208"/>
    <n v="367510"/>
    <s v="DBE"/>
  </r>
  <r>
    <x v="6"/>
    <x v="39"/>
    <n v="45201"/>
    <n v="46"/>
    <n v="45247"/>
    <s v="NA"/>
    <s v="NA"/>
    <n v="0"/>
    <n v="1847.3423524437301"/>
    <n v="8970.0983869772499"/>
    <m/>
    <m/>
    <m/>
    <m/>
    <m/>
    <m/>
    <n v="12177.640583112399"/>
    <n v="56064"/>
    <s v="DBE"/>
  </r>
  <r>
    <x v="6"/>
    <x v="40"/>
    <n v="23867"/>
    <n v="7"/>
    <n v="23874"/>
    <s v="NA"/>
    <s v="NA"/>
    <n v="0"/>
    <n v="12836.2451923054"/>
    <n v="52804.154415131903"/>
    <m/>
    <m/>
    <m/>
    <m/>
    <m/>
    <m/>
    <n v="-25289.7784866367"/>
    <n v="114804"/>
    <s v="DBE"/>
  </r>
  <r>
    <x v="6"/>
    <x v="41"/>
    <n v="4557"/>
    <n v="3"/>
    <n v="4560"/>
    <s v="NA"/>
    <s v="NA"/>
    <m/>
    <n v="26291.857153551198"/>
    <n v="40984.9887931868"/>
    <m/>
    <m/>
    <m/>
    <m/>
    <m/>
    <m/>
    <n v="-44904.300468589201"/>
    <n v="116741"/>
    <s v="DBE"/>
  </r>
  <r>
    <x v="6"/>
    <x v="42"/>
    <n v="138031"/>
    <n v="41"/>
    <n v="138072"/>
    <s v="NA"/>
    <s v="NA"/>
    <m/>
    <n v="494405.413531208"/>
    <n v="134431.92723887201"/>
    <m/>
    <m/>
    <m/>
    <m/>
    <m/>
    <m/>
    <n v="-72286.637537947507"/>
    <n v="839196"/>
    <s v="DBE"/>
  </r>
  <r>
    <x v="6"/>
    <x v="43"/>
    <n v="16939"/>
    <n v="87"/>
    <n v="17026"/>
    <s v="NA"/>
    <s v="NA"/>
    <m/>
    <n v="7749.6889941440104"/>
    <n v="7444.3824658540198"/>
    <m/>
    <m/>
    <m/>
    <m/>
    <m/>
    <m/>
    <n v="-19664.7615966087"/>
    <n v="51885"/>
    <s v="DBE"/>
  </r>
  <r>
    <x v="6"/>
    <x v="44"/>
    <n v="92746"/>
    <n v="17"/>
    <n v="92763"/>
    <s v="NA"/>
    <s v="NA"/>
    <m/>
    <n v="66744.1066655123"/>
    <n v="63238.349365009002"/>
    <m/>
    <m/>
    <m/>
    <m/>
    <m/>
    <m/>
    <n v="-30060.480911635601"/>
    <n v="252806"/>
    <s v="DBE"/>
  </r>
  <r>
    <x v="6"/>
    <x v="45"/>
    <n v="50004"/>
    <n v="93"/>
    <n v="50097"/>
    <s v="NA"/>
    <s v="NA"/>
    <m/>
    <n v="40788.548623861199"/>
    <n v="55576.683967078097"/>
    <m/>
    <m/>
    <m/>
    <m/>
    <m/>
    <m/>
    <n v="-43618.537115387597"/>
    <n v="190081"/>
    <s v="DBE"/>
  </r>
  <r>
    <x v="6"/>
    <x v="46"/>
    <n v="117445"/>
    <n v="572"/>
    <n v="118017"/>
    <s v="NA"/>
    <s v="NA"/>
    <m/>
    <n v="1143820.38965356"/>
    <n v="87240.305451572902"/>
    <m/>
    <m/>
    <m/>
    <m/>
    <m/>
    <m/>
    <n v="-138744.65201518999"/>
    <n v="1487822"/>
    <s v="DBE"/>
  </r>
  <r>
    <x v="6"/>
    <x v="47"/>
    <n v="11761"/>
    <n v="887"/>
    <n v="12648"/>
    <s v="NA"/>
    <s v="NA"/>
    <m/>
    <n v="14958"/>
    <n v="16581"/>
    <m/>
    <m/>
    <m/>
    <m/>
    <m/>
    <m/>
    <m/>
    <n v="44187"/>
    <s v="NA"/>
  </r>
  <r>
    <x v="6"/>
    <x v="48"/>
    <n v="65765"/>
    <n v="15"/>
    <n v="65780"/>
    <s v="NA"/>
    <s v="NA"/>
    <m/>
    <n v="288433"/>
    <n v="57027"/>
    <m/>
    <n v="15000"/>
    <m/>
    <m/>
    <m/>
    <m/>
    <m/>
    <n v="426240"/>
    <s v="RSA"/>
  </r>
  <r>
    <x v="6"/>
    <x v="49"/>
    <n v="39533"/>
    <n v="126"/>
    <n v="39659"/>
    <s v="NA"/>
    <s v="NA"/>
    <m/>
    <n v="102819"/>
    <n v="44770.000000000102"/>
    <m/>
    <m/>
    <m/>
    <m/>
    <m/>
    <m/>
    <m/>
    <n v="187248"/>
    <s v="NA"/>
  </r>
  <r>
    <x v="6"/>
    <x v="50"/>
    <n v="299892"/>
    <n v="761"/>
    <n v="300653"/>
    <s v="NA"/>
    <s v="NA"/>
    <m/>
    <n v="1016273"/>
    <n v="50543"/>
    <m/>
    <m/>
    <m/>
    <m/>
    <m/>
    <m/>
    <m/>
    <n v="1367469"/>
    <s v="NA"/>
  </r>
  <r>
    <x v="6"/>
    <x v="51"/>
    <n v="4657"/>
    <n v="429"/>
    <n v="5086"/>
    <s v="NA"/>
    <s v="NA"/>
    <m/>
    <n v="12126"/>
    <n v="6975.99999999999"/>
    <m/>
    <m/>
    <m/>
    <m/>
    <m/>
    <m/>
    <m/>
    <n v="24188"/>
    <s v="NA"/>
  </r>
  <r>
    <x v="6"/>
    <x v="52"/>
    <n v="95940"/>
    <n v="2"/>
    <n v="95942"/>
    <s v="NA"/>
    <s v="NA"/>
    <m/>
    <n v="180549"/>
    <n v="49669.000000000102"/>
    <m/>
    <m/>
    <m/>
    <m/>
    <m/>
    <m/>
    <m/>
    <n v="326160"/>
    <s v="NA"/>
  </r>
  <r>
    <x v="6"/>
    <x v="53"/>
    <n v="32578"/>
    <n v="169"/>
    <n v="32747"/>
    <s v="NA"/>
    <s v="NA"/>
    <m/>
    <n v="27526"/>
    <n v="22897"/>
    <m/>
    <m/>
    <m/>
    <m/>
    <m/>
    <m/>
    <m/>
    <n v="83170"/>
    <s v="NA"/>
  </r>
  <r>
    <x v="6"/>
    <x v="54"/>
    <n v="109655"/>
    <n v="163"/>
    <n v="109818"/>
    <s v="NA"/>
    <s v="NA"/>
    <m/>
    <n v="270285"/>
    <n v="52816"/>
    <m/>
    <m/>
    <m/>
    <m/>
    <m/>
    <m/>
    <m/>
    <n v="432919"/>
    <s v="NA"/>
  </r>
  <r>
    <x v="6"/>
    <x v="55"/>
    <n v="1522"/>
    <n v="65"/>
    <n v="1587"/>
    <s v="NA"/>
    <s v="NA"/>
    <m/>
    <n v="13803"/>
    <n v="12807"/>
    <m/>
    <m/>
    <m/>
    <m/>
    <m/>
    <m/>
    <m/>
    <n v="28197"/>
    <s v="NA"/>
  </r>
  <r>
    <x v="6"/>
    <x v="56"/>
    <n v="21044"/>
    <n v="25"/>
    <n v="21069"/>
    <s v="NA"/>
    <s v="NA"/>
    <m/>
    <n v="75337"/>
    <n v="3142"/>
    <m/>
    <m/>
    <m/>
    <m/>
    <m/>
    <m/>
    <m/>
    <n v="99548"/>
    <s v="NA"/>
  </r>
  <r>
    <x v="6"/>
    <x v="57"/>
    <n v="10830"/>
    <n v="29"/>
    <n v="10859"/>
    <s v="NA"/>
    <s v="NA"/>
    <m/>
    <n v="55923"/>
    <n v="4300"/>
    <m/>
    <m/>
    <m/>
    <m/>
    <m/>
    <m/>
    <m/>
    <n v="71082"/>
    <s v="NA"/>
  </r>
  <r>
    <x v="6"/>
    <x v="58"/>
    <n v="23045"/>
    <n v="0"/>
    <n v="23045"/>
    <s v="NA"/>
    <s v="NA"/>
    <m/>
    <n v="225473"/>
    <n v="7807"/>
    <m/>
    <m/>
    <m/>
    <m/>
    <m/>
    <m/>
    <m/>
    <n v="256325"/>
    <s v="NA"/>
  </r>
  <r>
    <x v="6"/>
    <x v="59"/>
    <n v="2390"/>
    <n v="31"/>
    <n v="2421"/>
    <s v="NA"/>
    <s v="NA"/>
    <m/>
    <n v="26909"/>
    <n v="10805"/>
    <m/>
    <n v="132586"/>
    <m/>
    <m/>
    <m/>
    <m/>
    <m/>
    <n v="172721"/>
    <s v="RSA"/>
  </r>
  <r>
    <x v="6"/>
    <x v="60"/>
    <n v="4607"/>
    <n v="21"/>
    <n v="4628"/>
    <s v="NA"/>
    <s v="NA"/>
    <m/>
    <n v="8646.9999999999909"/>
    <n v="1669"/>
    <m/>
    <m/>
    <m/>
    <m/>
    <m/>
    <m/>
    <m/>
    <n v="14944"/>
    <s v="NA"/>
  </r>
  <r>
    <x v="6"/>
    <x v="61"/>
    <n v="26716"/>
    <n v="0"/>
    <n v="26716"/>
    <s v="NA"/>
    <s v="NA"/>
    <m/>
    <n v="75185"/>
    <n v="6631"/>
    <m/>
    <m/>
    <m/>
    <m/>
    <m/>
    <m/>
    <m/>
    <n v="108532"/>
    <s v="NA"/>
  </r>
  <r>
    <x v="6"/>
    <x v="62"/>
    <n v="198921"/>
    <n v="215"/>
    <n v="199136"/>
    <s v="NA"/>
    <s v="NA"/>
    <m/>
    <n v="806525"/>
    <n v="30181"/>
    <m/>
    <m/>
    <m/>
    <m/>
    <m/>
    <m/>
    <m/>
    <n v="1035842"/>
    <s v="NA"/>
  </r>
  <r>
    <x v="6"/>
    <x v="63"/>
    <n v="14447"/>
    <n v="125"/>
    <n v="14572"/>
    <s v="NA"/>
    <s v="NA"/>
    <m/>
    <n v="51999"/>
    <n v="4134"/>
    <m/>
    <n v="20800"/>
    <m/>
    <m/>
    <m/>
    <m/>
    <m/>
    <n v="91505"/>
    <s v="RSA"/>
  </r>
  <r>
    <x v="6"/>
    <x v="64"/>
    <n v="2670"/>
    <n v="0"/>
    <n v="2670"/>
    <s v="NA"/>
    <s v="NA"/>
    <m/>
    <n v="4991"/>
    <n v="519"/>
    <m/>
    <m/>
    <m/>
    <m/>
    <m/>
    <m/>
    <m/>
    <n v="8180"/>
    <s v="NA"/>
  </r>
  <r>
    <x v="6"/>
    <x v="65"/>
    <n v="38807"/>
    <n v="5"/>
    <n v="38812"/>
    <s v="NA"/>
    <s v="NA"/>
    <m/>
    <n v="114399"/>
    <n v="4467"/>
    <m/>
    <m/>
    <m/>
    <m/>
    <m/>
    <m/>
    <m/>
    <n v="157678"/>
    <s v="NA"/>
  </r>
  <r>
    <x v="6"/>
    <x v="66"/>
    <n v="234850"/>
    <n v="183"/>
    <n v="235033"/>
    <s v="NA"/>
    <s v="NA"/>
    <m/>
    <n v="257672"/>
    <n v="23954"/>
    <m/>
    <m/>
    <m/>
    <m/>
    <m/>
    <m/>
    <m/>
    <n v="516659"/>
    <s v="NA"/>
  </r>
  <r>
    <x v="6"/>
    <x v="67"/>
    <n v="25020"/>
    <n v="137"/>
    <n v="25157"/>
    <s v="NA"/>
    <s v="NA"/>
    <m/>
    <n v="58473"/>
    <n v="3077"/>
    <m/>
    <m/>
    <m/>
    <m/>
    <m/>
    <m/>
    <m/>
    <n v="86707"/>
    <s v="NA"/>
  </r>
  <r>
    <x v="6"/>
    <x v="68"/>
    <n v="2159"/>
    <n v="11"/>
    <n v="2170"/>
    <s v="NA"/>
    <s v="NA"/>
    <m/>
    <n v="112180"/>
    <n v="1357"/>
    <m/>
    <n v="24102"/>
    <m/>
    <m/>
    <m/>
    <m/>
    <m/>
    <n v="139809"/>
    <s v="RSA"/>
  </r>
  <r>
    <x v="6"/>
    <x v="69"/>
    <n v="35050"/>
    <n v="8"/>
    <n v="35058"/>
    <s v="NA"/>
    <s v="NA"/>
    <m/>
    <n v="177838"/>
    <n v="8673"/>
    <m/>
    <m/>
    <m/>
    <m/>
    <m/>
    <m/>
    <m/>
    <n v="221569"/>
    <s v="NA"/>
  </r>
  <r>
    <x v="6"/>
    <x v="70"/>
    <n v="154036"/>
    <n v="276"/>
    <n v="154312"/>
    <s v="NA"/>
    <s v="NA"/>
    <m/>
    <n v="783524"/>
    <n v="27427"/>
    <m/>
    <m/>
    <m/>
    <m/>
    <m/>
    <m/>
    <m/>
    <n v="965263"/>
    <s v="NA"/>
  </r>
  <r>
    <x v="6"/>
    <x v="71"/>
    <n v="30191"/>
    <n v="3391"/>
    <n v="33582"/>
    <s v="NA"/>
    <s v="NA"/>
    <m/>
    <n v="151461"/>
    <n v="6670.99999999999"/>
    <m/>
    <m/>
    <m/>
    <m/>
    <m/>
    <m/>
    <m/>
    <n v="191714"/>
    <s v="NA"/>
  </r>
  <r>
    <x v="7"/>
    <x v="0"/>
    <n v="17844"/>
    <n v="513"/>
    <n v="18357"/>
    <s v="NA"/>
    <s v="NA"/>
    <n v="64.114338003465704"/>
    <n v="512.40008507639402"/>
    <n v="182.60613586785499"/>
    <m/>
    <n v="11896"/>
    <m/>
    <m/>
    <n v="342"/>
    <m/>
    <n v="-20024.555964241801"/>
    <n v="31354"/>
    <s v="RSA"/>
  </r>
  <r>
    <x v="7"/>
    <x v="1"/>
    <n v="2955"/>
    <n v="658"/>
    <n v="3613"/>
    <s v="NA"/>
    <s v="NA"/>
    <n v="609.15913848622802"/>
    <n v="507.049715465232"/>
    <n v="517.96040748768996"/>
    <m/>
    <n v="985"/>
    <m/>
    <m/>
    <n v="219"/>
    <m/>
    <n v="-6226.2601021396604"/>
    <n v="6451"/>
    <s v="RSA"/>
  </r>
  <r>
    <x v="7"/>
    <x v="2"/>
    <n v="32077"/>
    <n v="115"/>
    <n v="32192"/>
    <s v="NA"/>
    <s v="NA"/>
    <n v="329.73021947519999"/>
    <n v="524.92580568715402"/>
    <n v="468.81685313610302"/>
    <m/>
    <n v="11762"/>
    <n v="3208"/>
    <m/>
    <n v="42"/>
    <n v="12"/>
    <n v="-19919.551081727899"/>
    <n v="48539"/>
    <s v="RSA"/>
  </r>
  <r>
    <x v="7"/>
    <x v="3"/>
    <n v="6185"/>
    <n v="178"/>
    <n v="6363"/>
    <s v="NA"/>
    <s v="NA"/>
    <n v="589.70471728750999"/>
    <n v="154.49261891322701"/>
    <n v="78.000187539882205"/>
    <m/>
    <n v="2268"/>
    <n v="619"/>
    <m/>
    <n v="65"/>
    <n v="17"/>
    <n v="-3100.2659439653798"/>
    <n v="10154"/>
    <s v="RSA"/>
  </r>
  <r>
    <x v="7"/>
    <x v="4"/>
    <n v="9561"/>
    <n v="315"/>
    <n v="9876"/>
    <s v="NA"/>
    <s v="NA"/>
    <n v="734.23305929000003"/>
    <n v="139.01604304892001"/>
    <n v="23.065032889227901"/>
    <m/>
    <n v="3187"/>
    <m/>
    <m/>
    <n v="105"/>
    <m/>
    <n v="-2000.53205018778"/>
    <n v="14064"/>
    <s v="RSA"/>
  </r>
  <r>
    <x v="7"/>
    <x v="5"/>
    <n v="3477"/>
    <n v="861"/>
    <n v="4338"/>
    <s v="NA"/>
    <s v="NA"/>
    <n v="42.221219585999997"/>
    <n v="6113.2861792848998"/>
    <n v="1381.0376592661901"/>
    <n v="1"/>
    <n v="3477"/>
    <m/>
    <n v="-1291"/>
    <n v="861"/>
    <m/>
    <n v="-7401.3394322083604"/>
    <n v="14923"/>
    <s v="RSA"/>
  </r>
  <r>
    <x v="7"/>
    <x v="6"/>
    <n v="6937"/>
    <n v="103"/>
    <n v="7040"/>
    <s v="NA"/>
    <s v="NA"/>
    <n v="403.95757680299999"/>
    <n v="601.67349868107999"/>
    <n v="631.58291358986105"/>
    <m/>
    <n v="1734"/>
    <m/>
    <n v="-213"/>
    <n v="26"/>
    <m/>
    <n v="-18924.747584612702"/>
    <n v="10224"/>
    <s v="RSA"/>
  </r>
  <r>
    <x v="7"/>
    <x v="7"/>
    <n v="8588"/>
    <n v="209"/>
    <n v="8797"/>
    <s v="NA"/>
    <s v="NA"/>
    <n v="1168.3981239532"/>
    <n v="3037.3491277929802"/>
    <n v="4787.3434990219803"/>
    <m/>
    <n v="5725"/>
    <m/>
    <n v="-1122"/>
    <n v="139"/>
    <m/>
    <n v="-27526.195611629999"/>
    <n v="22532"/>
    <s v="RSA"/>
  </r>
  <r>
    <x v="7"/>
    <x v="8"/>
    <n v="18283"/>
    <n v="2043"/>
    <n v="20326"/>
    <s v="NA"/>
    <s v="NA"/>
    <n v="1727.0107761984"/>
    <n v="3491.1687444858298"/>
    <n v="2347.6066028034702"/>
    <m/>
    <n v="12189"/>
    <m/>
    <m/>
    <n v="1362"/>
    <m/>
    <n v="-19048.809292086898"/>
    <n v="41443"/>
    <s v="RSA"/>
  </r>
  <r>
    <x v="7"/>
    <x v="9"/>
    <n v="15750"/>
    <n v="1178"/>
    <n v="16928"/>
    <s v="NA"/>
    <s v="NA"/>
    <n v="1081.6506657901"/>
    <n v="15909.7093002928"/>
    <n v="4225.5142829997903"/>
    <m/>
    <n v="8481"/>
    <m/>
    <n v="4238"/>
    <n v="634"/>
    <m/>
    <n v="-17390.162093501302"/>
    <n v="51498"/>
    <s v="RSA"/>
  </r>
  <r>
    <x v="7"/>
    <x v="10"/>
    <n v="54939"/>
    <n v="2387"/>
    <n v="57326"/>
    <s v="NA"/>
    <s v="NA"/>
    <n v="309.42621988600001"/>
    <n v="10129.6083190926"/>
    <n v="9168.5637877051504"/>
    <m/>
    <n v="36626"/>
    <m/>
    <n v="728"/>
    <n v="1591"/>
    <m/>
    <n v="-43721.273327378804"/>
    <n v="115879"/>
    <s v="RSA"/>
  </r>
  <r>
    <x v="7"/>
    <x v="11"/>
    <n v="28484"/>
    <n v="2695"/>
    <n v="31179"/>
    <s v="NA"/>
    <s v="NA"/>
    <n v="137.15012988607"/>
    <n v="12594.675634794799"/>
    <n v="20357.476686099799"/>
    <n v="-11730"/>
    <n v="20626"/>
    <m/>
    <m/>
    <n v="1952"/>
    <m/>
    <n v="-38299.533892868902"/>
    <n v="75116"/>
    <s v="RSA"/>
  </r>
  <r>
    <x v="7"/>
    <x v="12"/>
    <n v="55860"/>
    <n v="1573"/>
    <n v="57433"/>
    <s v="NA"/>
    <s v="NA"/>
    <n v="218.54539839994899"/>
    <n v="16226.395741182399"/>
    <n v="17191.306964022398"/>
    <m/>
    <n v="27930"/>
    <m/>
    <n v="2903"/>
    <n v="786"/>
    <m/>
    <n v="754.514168403442"/>
    <n v="122688"/>
    <s v="RSA"/>
  </r>
  <r>
    <x v="7"/>
    <x v="13"/>
    <n v="15766"/>
    <n v="6665"/>
    <n v="22431"/>
    <s v="NA"/>
    <s v="NA"/>
    <n v="0"/>
    <n v="10398.643047681"/>
    <m/>
    <m/>
    <n v="3344"/>
    <m/>
    <n v="-1931"/>
    <n v="1414"/>
    <m/>
    <n v="-8311.1609609848492"/>
    <n v="35657"/>
    <s v="RSA"/>
  </r>
  <r>
    <x v="7"/>
    <x v="14"/>
    <n v="9878"/>
    <n v="978"/>
    <n v="10856"/>
    <s v="NA"/>
    <s v="NA"/>
    <n v="295.42210884353699"/>
    <n v="1144.5070730206601"/>
    <n v="806.08236576782303"/>
    <m/>
    <n v="9878"/>
    <m/>
    <m/>
    <n v="978"/>
    <m/>
    <n v="-15746.2244049043"/>
    <n v="23958"/>
    <s v="RSA"/>
  </r>
  <r>
    <x v="7"/>
    <x v="15"/>
    <n v="14838"/>
    <n v="180"/>
    <n v="15018"/>
    <s v="NA"/>
    <s v="NA"/>
    <n v="0"/>
    <n v="12800.0156049869"/>
    <n v="21819.700505013399"/>
    <m/>
    <m/>
    <m/>
    <m/>
    <m/>
    <m/>
    <n v="-50327.540098462101"/>
    <n v="99965"/>
    <s v="DBE"/>
  </r>
  <r>
    <x v="7"/>
    <x v="16"/>
    <n v="2555"/>
    <n v="343"/>
    <n v="2898"/>
    <s v="NA"/>
    <s v="NA"/>
    <n v="3256.2218278800001"/>
    <n v="573.42598564795003"/>
    <n v="649.64594921700495"/>
    <m/>
    <m/>
    <m/>
    <m/>
    <m/>
    <m/>
    <n v="-2089.6674554429901"/>
    <n v="9467"/>
    <s v="DBE"/>
  </r>
  <r>
    <x v="7"/>
    <x v="17"/>
    <n v="2858"/>
    <n v="213"/>
    <n v="3071"/>
    <s v="NA"/>
    <s v="NA"/>
    <n v="303.55741064699998"/>
    <n v="11610.5286319317"/>
    <n v="1177.77576504231"/>
    <m/>
    <m/>
    <m/>
    <m/>
    <m/>
    <m/>
    <n v="-4135.5541079948898"/>
    <n v="20298"/>
    <s v="DBE"/>
  </r>
  <r>
    <x v="7"/>
    <x v="18"/>
    <n v="15150"/>
    <n v="1262"/>
    <n v="16412"/>
    <s v="NA"/>
    <s v="NA"/>
    <n v="1226.6118663"/>
    <n v="10101.008572631699"/>
    <n v="5187.0838119156497"/>
    <m/>
    <m/>
    <m/>
    <m/>
    <m/>
    <m/>
    <n v="-16131.209885661499"/>
    <n v="49058"/>
    <s v="DBE"/>
  </r>
  <r>
    <x v="7"/>
    <x v="19"/>
    <n v="9606"/>
    <n v="315"/>
    <n v="9921"/>
    <s v="NA"/>
    <s v="NA"/>
    <n v="2229.5022508564998"/>
    <n v="72798.415495153793"/>
    <n v="19525.0291986702"/>
    <m/>
    <m/>
    <m/>
    <m/>
    <m/>
    <m/>
    <n v="-65459.796614462102"/>
    <n v="169934"/>
    <s v="DBE"/>
  </r>
  <r>
    <x v="7"/>
    <x v="20"/>
    <n v="9811"/>
    <n v="624"/>
    <n v="10435"/>
    <s v="NA"/>
    <s v="NA"/>
    <n v="593.46000605770598"/>
    <n v="15756.496471616099"/>
    <n v="5008.1343504415699"/>
    <m/>
    <m/>
    <m/>
    <m/>
    <m/>
    <m/>
    <n v="-10635.0357768382"/>
    <n v="42428"/>
    <s v="DBE"/>
  </r>
  <r>
    <x v="7"/>
    <x v="21"/>
    <n v="2173"/>
    <n v="2508"/>
    <n v="4681"/>
    <s v="NA"/>
    <s v="NA"/>
    <n v="0.21502203099014"/>
    <n v="2778.07204169542"/>
    <n v="967.41881092394704"/>
    <m/>
    <m/>
    <m/>
    <m/>
    <m/>
    <m/>
    <n v="-1384.07603937976"/>
    <n v="9811"/>
    <s v="DBE"/>
  </r>
  <r>
    <x v="7"/>
    <x v="22"/>
    <n v="12921"/>
    <n v="408"/>
    <n v="13329"/>
    <s v="NA"/>
    <s v="NA"/>
    <n v="33.343088396391998"/>
    <n v="2571.9873440040601"/>
    <n v="2459.0826301144798"/>
    <m/>
    <m/>
    <m/>
    <m/>
    <m/>
    <m/>
    <n v="-9739.9528212393798"/>
    <n v="28133"/>
    <s v="DBE"/>
  </r>
  <r>
    <x v="7"/>
    <x v="23"/>
    <n v="88647"/>
    <n v="742"/>
    <n v="89389"/>
    <s v="NA"/>
    <s v="NA"/>
    <n v="104.817849468088"/>
    <n v="58381.528883032501"/>
    <n v="23764.545153178002"/>
    <m/>
    <m/>
    <m/>
    <m/>
    <m/>
    <m/>
    <n v="5629.5696195561804"/>
    <n v="171640"/>
    <s v="DBE"/>
  </r>
  <r>
    <x v="7"/>
    <x v="24"/>
    <n v="4135"/>
    <n v="372"/>
    <n v="4507"/>
    <s v="NA"/>
    <s v="NA"/>
    <n v="1.33318772943646"/>
    <n v="2788.2857791667502"/>
    <n v="5870.1404662425603"/>
    <m/>
    <m/>
    <m/>
    <m/>
    <m/>
    <m/>
    <n v="-26119.3332606041"/>
    <n v="39286"/>
    <s v="DBE"/>
  </r>
  <r>
    <x v="7"/>
    <x v="25"/>
    <n v="7248"/>
    <n v="1477"/>
    <n v="8725"/>
    <s v="NA"/>
    <s v="NA"/>
    <n v="161.457182907587"/>
    <n v="4356.7105138022398"/>
    <n v="3445.47968042204"/>
    <m/>
    <m/>
    <m/>
    <m/>
    <m/>
    <m/>
    <n v="-5664.6488640613297"/>
    <n v="22353"/>
    <s v="DBE"/>
  </r>
  <r>
    <x v="7"/>
    <x v="26"/>
    <n v="6498"/>
    <n v="369"/>
    <n v="6867"/>
    <s v="NA"/>
    <s v="NA"/>
    <n v="1287.38739247939"/>
    <n v="37662.590231535301"/>
    <n v="5181.2391618399797"/>
    <m/>
    <m/>
    <m/>
    <m/>
    <m/>
    <m/>
    <n v="-32955.040007383999"/>
    <n v="83953"/>
    <s v="DBE"/>
  </r>
  <r>
    <x v="7"/>
    <x v="27"/>
    <n v="99998"/>
    <n v="455"/>
    <n v="100453"/>
    <s v="NA"/>
    <s v="NA"/>
    <n v="5.1864469299179898"/>
    <n v="33450.780468850098"/>
    <n v="38073.123862328597"/>
    <m/>
    <m/>
    <m/>
    <m/>
    <m/>
    <m/>
    <n v="-73917.305923126594"/>
    <n v="245899"/>
    <s v="DBE"/>
  </r>
  <r>
    <x v="7"/>
    <x v="28"/>
    <n v="7181"/>
    <n v="10617"/>
    <n v="17798"/>
    <s v="NA"/>
    <s v="NA"/>
    <n v="1.5134223028805E-15"/>
    <n v="4627.7680874324797"/>
    <n v="3584.7872793687502"/>
    <m/>
    <m/>
    <m/>
    <m/>
    <m/>
    <m/>
    <n v="4059.8996343460499"/>
    <n v="26011"/>
    <s v="DBE"/>
  </r>
  <r>
    <x v="7"/>
    <x v="29"/>
    <n v="3411"/>
    <n v="947"/>
    <n v="4358"/>
    <s v="NA"/>
    <s v="NA"/>
    <n v="5.2229999999999999"/>
    <n v="10060.5632483717"/>
    <n v="9971.1479977855706"/>
    <m/>
    <m/>
    <m/>
    <m/>
    <m/>
    <m/>
    <n v="-22273.382706438799"/>
    <n v="46668"/>
    <s v="DBE"/>
  </r>
  <r>
    <x v="7"/>
    <x v="30"/>
    <n v="17952"/>
    <n v="676"/>
    <n v="18628"/>
    <s v="NA"/>
    <s v="NA"/>
    <n v="368.92683113204401"/>
    <n v="25866.515541476201"/>
    <n v="2214.42973826551"/>
    <m/>
    <m/>
    <m/>
    <m/>
    <m/>
    <m/>
    <n v="-12424.705787586399"/>
    <n v="59503"/>
    <s v="DBE"/>
  </r>
  <r>
    <x v="7"/>
    <x v="31"/>
    <n v="41747"/>
    <n v="4902"/>
    <n v="46649"/>
    <s v="NA"/>
    <s v="NA"/>
    <n v="980.21006395349298"/>
    <n v="155848.182449877"/>
    <n v="102620.646325354"/>
    <m/>
    <m/>
    <m/>
    <m/>
    <m/>
    <m/>
    <n v="-10353.008745584501"/>
    <n v="316451"/>
    <s v="DBE"/>
  </r>
  <r>
    <x v="7"/>
    <x v="32"/>
    <n v="9040"/>
    <n v="8629"/>
    <n v="17669"/>
    <s v="NA"/>
    <s v="NA"/>
    <n v="0"/>
    <n v="11724.032678694801"/>
    <n v="2989.6451577683201"/>
    <m/>
    <m/>
    <m/>
    <m/>
    <m/>
    <m/>
    <n v="6346.7079899731598"/>
    <n v="32383"/>
    <s v="DBE"/>
  </r>
  <r>
    <x v="7"/>
    <x v="33"/>
    <n v="5374"/>
    <n v="1513"/>
    <n v="6887"/>
    <s v="NA"/>
    <s v="NA"/>
    <n v="19.488491876209999"/>
    <n v="16132.393018844599"/>
    <n v="11172"/>
    <m/>
    <m/>
    <m/>
    <m/>
    <m/>
    <m/>
    <n v="-30151.135578332702"/>
    <n v="64362"/>
    <s v="DBE"/>
  </r>
  <r>
    <x v="7"/>
    <x v="34"/>
    <n v="16963"/>
    <n v="2709"/>
    <n v="19672"/>
    <s v="NA"/>
    <s v="NA"/>
    <n v="307.16206138284298"/>
    <n v="115249.841090763"/>
    <n v="6833"/>
    <m/>
    <m/>
    <m/>
    <m/>
    <m/>
    <m/>
    <n v="-43251.644252233396"/>
    <n v="185314"/>
    <s v="DBE"/>
  </r>
  <r>
    <x v="7"/>
    <x v="35"/>
    <n v="44913"/>
    <n v="5444"/>
    <n v="50357"/>
    <s v="NA"/>
    <s v="NA"/>
    <n v="0"/>
    <n v="56120.199315883197"/>
    <n v="15194.244166407399"/>
    <m/>
    <m/>
    <m/>
    <m/>
    <m/>
    <m/>
    <n v="9715.1428370099293"/>
    <n v="121671"/>
    <s v="DBE"/>
  </r>
  <r>
    <x v="7"/>
    <x v="36"/>
    <n v="9417"/>
    <n v="405"/>
    <n v="9822"/>
    <s v="NA"/>
    <s v="NA"/>
    <n v="0"/>
    <n v="13207.9048156023"/>
    <n v="2506"/>
    <m/>
    <m/>
    <m/>
    <m/>
    <m/>
    <m/>
    <n v="-2572.4575380169599"/>
    <n v="28108"/>
    <s v="DBE"/>
  </r>
  <r>
    <x v="7"/>
    <x v="37"/>
    <n v="3572"/>
    <n v="1244"/>
    <n v="4816"/>
    <s v="NA"/>
    <s v="NA"/>
    <n v="0"/>
    <n v="2863.2845405389598"/>
    <n v="3060.0660063883602"/>
    <m/>
    <m/>
    <m/>
    <m/>
    <m/>
    <m/>
    <n v="-849.82061062147"/>
    <n v="11589"/>
    <s v="DBE"/>
  </r>
  <r>
    <x v="7"/>
    <x v="38"/>
    <n v="4578"/>
    <n v="1226"/>
    <n v="5804"/>
    <s v="NA"/>
    <s v="NA"/>
    <n v="0"/>
    <n v="10846.2082876393"/>
    <n v="4051.2749221435001"/>
    <m/>
    <m/>
    <m/>
    <m/>
    <m/>
    <m/>
    <n v="5750.5741518439499"/>
    <n v="20701"/>
    <s v="DBE"/>
  </r>
  <r>
    <x v="7"/>
    <x v="39"/>
    <n v="28899"/>
    <n v="173"/>
    <n v="29072"/>
    <s v="NA"/>
    <s v="NA"/>
    <n v="0"/>
    <n v="43019.322600797699"/>
    <n v="10243.8347928969"/>
    <m/>
    <m/>
    <m/>
    <m/>
    <m/>
    <m/>
    <n v="-1857.9712960069801"/>
    <n v="84193"/>
    <s v="DBE"/>
  </r>
  <r>
    <x v="7"/>
    <x v="40"/>
    <n v="7384"/>
    <n v="1041"/>
    <n v="8425"/>
    <s v="NA"/>
    <s v="NA"/>
    <n v="1.8282340385273701"/>
    <n v="10293.010824320299"/>
    <n v="4333.3522706633803"/>
    <m/>
    <m/>
    <m/>
    <m/>
    <m/>
    <m/>
    <n v="1143.30361696605"/>
    <n v="23053"/>
    <s v="DBE"/>
  </r>
  <r>
    <x v="7"/>
    <x v="41"/>
    <n v="930"/>
    <n v="1279"/>
    <n v="2209"/>
    <s v="NA"/>
    <s v="NA"/>
    <m/>
    <n v="7269.2759205432903"/>
    <n v="2099.3373529380401"/>
    <m/>
    <m/>
    <m/>
    <m/>
    <m/>
    <m/>
    <n v="1457.7294901917901"/>
    <n v="11578"/>
    <s v="DBE"/>
  </r>
  <r>
    <x v="7"/>
    <x v="42"/>
    <n v="4670"/>
    <n v="139"/>
    <n v="4809"/>
    <s v="NA"/>
    <s v="NA"/>
    <m/>
    <n v="20902.801138270501"/>
    <n v="3658.1305403438901"/>
    <m/>
    <m/>
    <m/>
    <m/>
    <m/>
    <m/>
    <n v="-10353.3793763905"/>
    <n v="39723"/>
    <s v="DBE"/>
  </r>
  <r>
    <x v="7"/>
    <x v="43"/>
    <n v="25088"/>
    <n v="406"/>
    <n v="25494"/>
    <s v="NA"/>
    <s v="NA"/>
    <m/>
    <n v="31169.118603556399"/>
    <n v="8134.1296140043996"/>
    <m/>
    <m/>
    <m/>
    <m/>
    <m/>
    <m/>
    <n v="-19020.8377361944"/>
    <n v="83818"/>
    <s v="DBE"/>
  </r>
  <r>
    <x v="7"/>
    <x v="44"/>
    <n v="3828"/>
    <n v="1197"/>
    <n v="5025"/>
    <s v="NA"/>
    <s v="NA"/>
    <m/>
    <n v="13660.1711902404"/>
    <n v="1805.1718142674799"/>
    <m/>
    <m/>
    <m/>
    <m/>
    <m/>
    <m/>
    <n v="-1072.2765033276901"/>
    <n v="21563"/>
    <s v="DBE"/>
  </r>
  <r>
    <x v="7"/>
    <x v="45"/>
    <n v="258"/>
    <n v="2312"/>
    <n v="2570"/>
    <s v="NA"/>
    <s v="NA"/>
    <m/>
    <n v="3158.54722082322"/>
    <n v="230.69330142461601"/>
    <m/>
    <m/>
    <m/>
    <m/>
    <m/>
    <m/>
    <n v="1717.7785164577599"/>
    <n v="5959"/>
    <s v="DBE"/>
  </r>
  <r>
    <x v="7"/>
    <x v="46"/>
    <n v="2582"/>
    <n v="307"/>
    <n v="2889"/>
    <s v="NA"/>
    <s v="NA"/>
    <m/>
    <n v="8242.5306353262004"/>
    <n v="592.58850385974199"/>
    <m/>
    <m/>
    <m/>
    <m/>
    <m/>
    <m/>
    <n v="2708.16436481043"/>
    <n v="11724"/>
    <s v="DBE"/>
  </r>
  <r>
    <x v="7"/>
    <x v="47"/>
    <n v="17133"/>
    <n v="611"/>
    <n v="17744"/>
    <s v="NA"/>
    <s v="NA"/>
    <m/>
    <n v="106259"/>
    <n v="5378"/>
    <m/>
    <m/>
    <m/>
    <m/>
    <m/>
    <m/>
    <m/>
    <n v="129381"/>
    <s v="NA"/>
  </r>
  <r>
    <x v="7"/>
    <x v="48"/>
    <n v="1982"/>
    <n v="2574"/>
    <n v="4556"/>
    <s v="NA"/>
    <s v="NA"/>
    <m/>
    <n v="6737"/>
    <n v="608"/>
    <m/>
    <m/>
    <m/>
    <m/>
    <m/>
    <m/>
    <m/>
    <n v="11901"/>
    <s v="RSA"/>
  </r>
  <r>
    <x v="7"/>
    <x v="49"/>
    <n v="70"/>
    <n v="1721"/>
    <n v="1791"/>
    <s v="NA"/>
    <s v="NA"/>
    <m/>
    <n v="8069.6437168141601"/>
    <n v="611"/>
    <m/>
    <m/>
    <m/>
    <m/>
    <m/>
    <m/>
    <m/>
    <n v="10472"/>
    <s v="NA"/>
  </r>
  <r>
    <x v="7"/>
    <x v="50"/>
    <n v="795"/>
    <n v="104"/>
    <n v="899"/>
    <s v="NA"/>
    <s v="NA"/>
    <m/>
    <n v="3199"/>
    <n v="119"/>
    <m/>
    <m/>
    <m/>
    <m/>
    <m/>
    <m/>
    <m/>
    <n v="4217"/>
    <s v="NA"/>
  </r>
  <r>
    <x v="7"/>
    <x v="51"/>
    <n v="8323"/>
    <n v="246"/>
    <n v="8569"/>
    <s v="NA"/>
    <s v="NA"/>
    <m/>
    <n v="66141"/>
    <n v="4966"/>
    <m/>
    <m/>
    <m/>
    <m/>
    <m/>
    <m/>
    <m/>
    <n v="79676"/>
    <s v="NA"/>
  </r>
  <r>
    <x v="7"/>
    <x v="52"/>
    <n v="426"/>
    <n v="1873"/>
    <n v="2299"/>
    <s v="NA"/>
    <s v="NA"/>
    <m/>
    <n v="6590"/>
    <n v="86"/>
    <m/>
    <m/>
    <m/>
    <m/>
    <m/>
    <m/>
    <m/>
    <n v="8975"/>
    <s v="NA"/>
  </r>
  <r>
    <x v="7"/>
    <x v="53"/>
    <n v="78"/>
    <n v="725"/>
    <n v="803"/>
    <s v="NA"/>
    <s v="NA"/>
    <m/>
    <n v="4445.7954449599301"/>
    <n v="11"/>
    <m/>
    <m/>
    <m/>
    <m/>
    <m/>
    <m/>
    <m/>
    <n v="5260"/>
    <s v="NA"/>
  </r>
  <r>
    <x v="7"/>
    <x v="54"/>
    <n v="777"/>
    <n v="104"/>
    <n v="881"/>
    <s v="NA"/>
    <s v="NA"/>
    <m/>
    <n v="2509"/>
    <n v="26"/>
    <m/>
    <m/>
    <m/>
    <m/>
    <m/>
    <m/>
    <m/>
    <n v="3416"/>
    <s v="NA"/>
  </r>
  <r>
    <x v="7"/>
    <x v="55"/>
    <n v="10113"/>
    <n v="176"/>
    <n v="10289"/>
    <s v="NA"/>
    <s v="NA"/>
    <m/>
    <n v="85921.653603061801"/>
    <n v="4170"/>
    <m/>
    <m/>
    <m/>
    <m/>
    <m/>
    <m/>
    <m/>
    <n v="100381"/>
    <s v="NA"/>
  </r>
  <r>
    <x v="7"/>
    <x v="56"/>
    <n v="1138"/>
    <n v="527"/>
    <n v="1665"/>
    <s v="NA"/>
    <s v="NA"/>
    <m/>
    <n v="9834.1310221426993"/>
    <n v="120"/>
    <m/>
    <m/>
    <m/>
    <m/>
    <m/>
    <m/>
    <m/>
    <n v="11619"/>
    <s v="NA"/>
  </r>
  <r>
    <x v="7"/>
    <x v="57"/>
    <n v="65"/>
    <n v="527"/>
    <n v="592"/>
    <s v="NA"/>
    <s v="NA"/>
    <m/>
    <n v="2412.4862092291701"/>
    <n v="12"/>
    <m/>
    <m/>
    <m/>
    <m/>
    <m/>
    <m/>
    <m/>
    <n v="3016"/>
    <s v="NA"/>
  </r>
  <r>
    <x v="7"/>
    <x v="58"/>
    <n v="1642"/>
    <n v="37"/>
    <n v="1679"/>
    <s v="NA"/>
    <s v="NA"/>
    <m/>
    <n v="10798.433441552999"/>
    <n v="176"/>
    <m/>
    <m/>
    <m/>
    <m/>
    <m/>
    <m/>
    <m/>
    <n v="12653"/>
    <s v="NA"/>
  </r>
  <r>
    <x v="7"/>
    <x v="59"/>
    <n v="19396"/>
    <n v="575"/>
    <n v="19971"/>
    <s v="NA"/>
    <s v="NA"/>
    <m/>
    <n v="57475.460901108701"/>
    <n v="4281.6982154396801"/>
    <m/>
    <m/>
    <m/>
    <m/>
    <m/>
    <m/>
    <m/>
    <n v="81728"/>
    <s v="RSA"/>
  </r>
  <r>
    <x v="7"/>
    <x v="60"/>
    <n v="4113"/>
    <n v="745"/>
    <n v="4858"/>
    <s v="NA"/>
    <s v="NA"/>
    <m/>
    <n v="4575.4857855133896"/>
    <n v="316.40740041532899"/>
    <m/>
    <m/>
    <m/>
    <m/>
    <m/>
    <m/>
    <m/>
    <n v="9750"/>
    <s v="NA"/>
  </r>
  <r>
    <x v="7"/>
    <x v="61"/>
    <n v="159"/>
    <n v="887"/>
    <n v="1046"/>
    <s v="NA"/>
    <s v="NA"/>
    <m/>
    <n v="572.21082424937902"/>
    <n v="20"/>
    <m/>
    <m/>
    <m/>
    <m/>
    <m/>
    <m/>
    <m/>
    <n v="1638"/>
    <s v="NA"/>
  </r>
  <r>
    <x v="7"/>
    <x v="62"/>
    <n v="248"/>
    <n v="4"/>
    <n v="252"/>
    <s v="NA"/>
    <s v="NA"/>
    <m/>
    <n v="1618"/>
    <n v="24"/>
    <m/>
    <m/>
    <m/>
    <m/>
    <m/>
    <m/>
    <m/>
    <n v="1894"/>
    <s v="NA"/>
  </r>
  <r>
    <x v="7"/>
    <x v="63"/>
    <n v="5413"/>
    <n v="36"/>
    <n v="5449"/>
    <s v="NA"/>
    <s v="NA"/>
    <m/>
    <n v="8123"/>
    <n v="391"/>
    <m/>
    <m/>
    <m/>
    <m/>
    <m/>
    <m/>
    <m/>
    <n v="13963"/>
    <s v="RSA"/>
  </r>
  <r>
    <x v="7"/>
    <x v="64"/>
    <n v="582"/>
    <n v="286"/>
    <n v="868"/>
    <s v="NA"/>
    <s v="NA"/>
    <m/>
    <n v="1907"/>
    <n v="19"/>
    <m/>
    <m/>
    <m/>
    <m/>
    <m/>
    <m/>
    <m/>
    <n v="2794"/>
    <s v="NA"/>
  </r>
  <r>
    <x v="7"/>
    <x v="65"/>
    <n v="61"/>
    <n v="20"/>
    <n v="81"/>
    <s v="NA"/>
    <s v="NA"/>
    <m/>
    <n v="541.336633663366"/>
    <n v="7.7906647807637901"/>
    <m/>
    <m/>
    <m/>
    <m/>
    <m/>
    <m/>
    <m/>
    <n v="630"/>
    <s v="NA"/>
  </r>
  <r>
    <x v="7"/>
    <x v="66"/>
    <n v="891"/>
    <n v="0"/>
    <n v="891"/>
    <s v="NA"/>
    <s v="NA"/>
    <m/>
    <n v="5303"/>
    <n v="534"/>
    <m/>
    <m/>
    <m/>
    <m/>
    <m/>
    <m/>
    <m/>
    <n v="6728"/>
    <s v="NA"/>
  </r>
  <r>
    <x v="7"/>
    <x v="67"/>
    <n v="7807"/>
    <n v="41"/>
    <n v="7848"/>
    <s v="NA"/>
    <s v="NA"/>
    <m/>
    <n v="27055"/>
    <n v="184"/>
    <m/>
    <m/>
    <m/>
    <m/>
    <m/>
    <m/>
    <m/>
    <n v="35087"/>
    <s v="NA"/>
  </r>
  <r>
    <x v="7"/>
    <x v="68"/>
    <n v="77"/>
    <n v="0"/>
    <n v="77"/>
    <s v="NA"/>
    <s v="NA"/>
    <m/>
    <n v="466"/>
    <n v="8"/>
    <m/>
    <m/>
    <m/>
    <m/>
    <m/>
    <m/>
    <m/>
    <n v="551"/>
    <s v="RSA"/>
  </r>
  <r>
    <x v="7"/>
    <x v="69"/>
    <n v="45"/>
    <n v="0"/>
    <n v="45"/>
    <s v="NA"/>
    <s v="NA"/>
    <m/>
    <n v="290.79063604240298"/>
    <n v="6.8573321554770299"/>
    <m/>
    <m/>
    <m/>
    <m/>
    <m/>
    <m/>
    <m/>
    <n v="343"/>
    <s v="NA"/>
  </r>
  <r>
    <x v="7"/>
    <x v="70"/>
    <n v="74"/>
    <n v="0"/>
    <n v="74"/>
    <s v="NA"/>
    <s v="NA"/>
    <m/>
    <n v="452"/>
    <n v="1"/>
    <m/>
    <m/>
    <m/>
    <m/>
    <m/>
    <m/>
    <m/>
    <n v="527"/>
    <s v="NA"/>
  </r>
  <r>
    <x v="7"/>
    <x v="71"/>
    <n v="7070"/>
    <n v="0"/>
    <n v="7070"/>
    <s v="NA"/>
    <s v="NA"/>
    <m/>
    <n v="22636"/>
    <n v="320"/>
    <m/>
    <m/>
    <m/>
    <m/>
    <m/>
    <m/>
    <m/>
    <n v="30026"/>
    <s v="NA"/>
  </r>
  <r>
    <x v="8"/>
    <x v="0"/>
    <n v="34185"/>
    <n v="15"/>
    <n v="34200"/>
    <s v="NA"/>
    <s v="NA"/>
    <n v="0.33997269149409398"/>
    <n v="429.316485876613"/>
    <n v="1.1438523954000299"/>
    <m/>
    <n v="14651"/>
    <m/>
    <m/>
    <n v="6"/>
    <m/>
    <n v="-14367.9486959893"/>
    <n v="49288"/>
    <s v="RSA"/>
  </r>
  <r>
    <x v="8"/>
    <x v="1"/>
    <n v="31923"/>
    <n v="41"/>
    <n v="31964"/>
    <s v="NA"/>
    <s v="NA"/>
    <n v="0"/>
    <n v="1995.68502638474"/>
    <n v="247.61956337472199"/>
    <m/>
    <n v="7981"/>
    <m/>
    <m/>
    <n v="10"/>
    <m/>
    <n v="10902.343407291501"/>
    <n v="42198"/>
    <s v="RSA"/>
  </r>
  <r>
    <x v="8"/>
    <x v="2"/>
    <n v="56184"/>
    <n v="33"/>
    <n v="56217"/>
    <s v="NA"/>
    <s v="NA"/>
    <n v="396.83946296699997"/>
    <n v="214.62067184800301"/>
    <n v="8.0197916819050796"/>
    <m/>
    <n v="14046"/>
    <m/>
    <m/>
    <n v="8"/>
    <m/>
    <n v="15938.2097027585"/>
    <n v="70890"/>
    <s v="RSA"/>
  </r>
  <r>
    <x v="8"/>
    <x v="3"/>
    <n v="75537"/>
    <n v="0"/>
    <n v="75537"/>
    <s v="NA"/>
    <s v="NA"/>
    <n v="31.230771347000001"/>
    <n v="827.37170020499605"/>
    <n v="1.8775250243214001E-2"/>
    <m/>
    <n v="25179"/>
    <m/>
    <m/>
    <m/>
    <m/>
    <n v="17341.6383691421"/>
    <n v="101575"/>
    <s v="RSA"/>
  </r>
  <r>
    <x v="8"/>
    <x v="4"/>
    <n v="3813"/>
    <n v="7"/>
    <n v="3820"/>
    <s v="NA"/>
    <s v="NA"/>
    <n v="212.06362202"/>
    <n v="317.23765247792801"/>
    <n v="4.3518753556878096"/>
    <m/>
    <n v="2542"/>
    <n v="3813"/>
    <m/>
    <n v="5"/>
    <n v="7"/>
    <n v="-27209.417903105201"/>
    <n v="10721"/>
    <s v="RSA"/>
  </r>
  <r>
    <x v="8"/>
    <x v="5"/>
    <n v="15148"/>
    <n v="29"/>
    <n v="15177"/>
    <s v="NA"/>
    <s v="NA"/>
    <n v="0"/>
    <n v="19623.661568059699"/>
    <n v="513.90162353615494"/>
    <m/>
    <n v="5049"/>
    <m/>
    <m/>
    <n v="10"/>
    <m/>
    <n v="-3750.7427719540001"/>
    <n v="40374"/>
    <s v="RSA"/>
  </r>
  <r>
    <x v="8"/>
    <x v="6"/>
    <n v="49983"/>
    <n v="0"/>
    <n v="49983"/>
    <s v="NA"/>
    <s v="NA"/>
    <n v="55.189484104999998"/>
    <n v="1148.5485755622401"/>
    <n v="238.58866155189099"/>
    <m/>
    <n v="16661"/>
    <m/>
    <m/>
    <m/>
    <m/>
    <n v="-17331.198206402001"/>
    <n v="68086"/>
    <s v="RSA"/>
  </r>
  <r>
    <x v="8"/>
    <x v="7"/>
    <n v="65758"/>
    <n v="0"/>
    <n v="65758"/>
    <s v="NA"/>
    <s v="NA"/>
    <n v="73.059039100600003"/>
    <n v="6380.1495924030996"/>
    <n v="1063.9461955556001"/>
    <m/>
    <n v="28182"/>
    <m/>
    <m/>
    <m/>
    <m/>
    <n v="-7409.2462863244"/>
    <n v="101457"/>
    <s v="RSA"/>
  </r>
  <r>
    <x v="8"/>
    <x v="8"/>
    <n v="115684"/>
    <n v="31"/>
    <n v="115715"/>
    <s v="NA"/>
    <s v="NA"/>
    <n v="1875.0532685430001"/>
    <n v="18747.835783744598"/>
    <n v="842.28652996096002"/>
    <m/>
    <n v="49579"/>
    <m/>
    <m/>
    <n v="13"/>
    <m/>
    <n v="-50630.225062540099"/>
    <n v="186772"/>
    <s v="RSA"/>
  </r>
  <r>
    <x v="8"/>
    <x v="9"/>
    <n v="399531"/>
    <n v="26"/>
    <n v="399557"/>
    <s v="NA"/>
    <s v="NA"/>
    <n v="1130.9108253659999"/>
    <n v="464506.326803629"/>
    <n v="57492.704496235099"/>
    <m/>
    <n v="133177"/>
    <m/>
    <m/>
    <n v="9"/>
    <m/>
    <n v="-542111.44686235196"/>
    <n v="1055873"/>
    <s v="RSA"/>
  </r>
  <r>
    <x v="8"/>
    <x v="10"/>
    <n v="250087"/>
    <n v="30"/>
    <n v="250117"/>
    <s v="NA"/>
    <s v="NA"/>
    <n v="216.84962577600001"/>
    <n v="19551.187519895499"/>
    <n v="3108.74485109945"/>
    <m/>
    <n v="107180"/>
    <m/>
    <m/>
    <n v="13"/>
    <m/>
    <n v="-100646.212963981"/>
    <n v="380187"/>
    <s v="RSA"/>
  </r>
  <r>
    <x v="8"/>
    <x v="11"/>
    <n v="70904"/>
    <n v="98"/>
    <n v="71002"/>
    <s v="NA"/>
    <s v="NA"/>
    <n v="14.954393170758999"/>
    <n v="21601.558832683499"/>
    <n v="4269.1625273234704"/>
    <m/>
    <n v="47269"/>
    <m/>
    <n v="-95"/>
    <n v="65"/>
    <m/>
    <n v="-67198.106451917498"/>
    <n v="144127"/>
    <s v="RSA"/>
  </r>
  <r>
    <x v="8"/>
    <x v="12"/>
    <n v="805596"/>
    <n v="21"/>
    <n v="805617"/>
    <s v="NA"/>
    <s v="NA"/>
    <n v="1736.9609140290299"/>
    <n v="225198.09580221001"/>
    <n v="61139.828510036001"/>
    <m/>
    <n v="297960"/>
    <m/>
    <n v="-30"/>
    <n v="8"/>
    <m/>
    <n v="-308322.90351373301"/>
    <n v="1391630"/>
    <s v="RSA"/>
  </r>
  <r>
    <x v="8"/>
    <x v="13"/>
    <n v="761668"/>
    <n v="0"/>
    <n v="761668"/>
    <s v="NA"/>
    <s v="NA"/>
    <n v="0"/>
    <n v="305220.187948754"/>
    <m/>
    <m/>
    <n v="214829"/>
    <m/>
    <n v="-419"/>
    <m/>
    <m/>
    <n v="-294437.57702344999"/>
    <n v="1281298"/>
    <s v="RSA"/>
  </r>
  <r>
    <x v="8"/>
    <x v="14"/>
    <n v="307210"/>
    <n v="163"/>
    <n v="307373"/>
    <s v="NA"/>
    <s v="NA"/>
    <n v="1.3452918624051999"/>
    <n v="5393.7317284811897"/>
    <n v="981.63931444944899"/>
    <m/>
    <n v="86649"/>
    <m/>
    <n v="-9"/>
    <n v="46"/>
    <m/>
    <n v="96528.229930629794"/>
    <n v="400436"/>
    <s v="RSA"/>
  </r>
  <r>
    <x v="8"/>
    <x v="15"/>
    <n v="6717"/>
    <n v="33"/>
    <n v="6750"/>
    <s v="NA"/>
    <s v="NA"/>
    <n v="7.8608361696409998"/>
    <n v="5441.1979778038603"/>
    <n v="1928.7305953330899"/>
    <m/>
    <m/>
    <m/>
    <m/>
    <m/>
    <m/>
    <n v="-32346.187068003699"/>
    <n v="46474"/>
    <s v="DBE"/>
  </r>
  <r>
    <x v="8"/>
    <x v="16"/>
    <n v="128295"/>
    <n v="0"/>
    <n v="128295"/>
    <s v="NA"/>
    <s v="NA"/>
    <n v="2616.4226650360001"/>
    <n v="12886.230564395601"/>
    <n v="792.11486717615401"/>
    <m/>
    <m/>
    <m/>
    <m/>
    <m/>
    <m/>
    <n v="-74383.927561220902"/>
    <n v="218974"/>
    <s v="DBE"/>
  </r>
  <r>
    <x v="8"/>
    <x v="17"/>
    <n v="168259"/>
    <n v="761"/>
    <n v="169020"/>
    <s v="NA"/>
    <s v="NA"/>
    <n v="23.123309649050402"/>
    <n v="66181.826221201496"/>
    <n v="4019.6394452662098"/>
    <m/>
    <m/>
    <m/>
    <m/>
    <m/>
    <m/>
    <n v="47929.037903471501"/>
    <n v="239245"/>
    <s v="DBE"/>
  </r>
  <r>
    <x v="8"/>
    <x v="18"/>
    <n v="388605"/>
    <n v="195"/>
    <n v="388800"/>
    <s v="NA"/>
    <s v="NA"/>
    <n v="0.73442964244300002"/>
    <n v="32878.525241166702"/>
    <n v="3974.3848169564299"/>
    <m/>
    <m/>
    <m/>
    <m/>
    <m/>
    <m/>
    <n v="154479.170515954"/>
    <n v="425654"/>
    <s v="DBE"/>
  </r>
  <r>
    <x v="8"/>
    <x v="19"/>
    <n v="2106"/>
    <n v="0"/>
    <n v="2106"/>
    <s v="NA"/>
    <s v="NA"/>
    <n v="94.5800779017857"/>
    <n v="11879.068132116599"/>
    <n v="1194.5286336004301"/>
    <m/>
    <m/>
    <m/>
    <m/>
    <m/>
    <m/>
    <n v="-28574.2404794125"/>
    <n v="43848"/>
    <s v="DBE"/>
  </r>
  <r>
    <x v="8"/>
    <x v="20"/>
    <n v="8259"/>
    <n v="350"/>
    <n v="8609"/>
    <s v="NA"/>
    <s v="NA"/>
    <n v="1158.44423344241"/>
    <n v="23185.5932187051"/>
    <n v="3194.8393171257298"/>
    <m/>
    <m/>
    <m/>
    <m/>
    <m/>
    <m/>
    <n v="-44864.313014429703"/>
    <n v="81012"/>
    <s v="DBE"/>
  </r>
  <r>
    <x v="8"/>
    <x v="21"/>
    <n v="41542"/>
    <n v="175"/>
    <n v="41717"/>
    <s v="NA"/>
    <s v="NA"/>
    <n v="1.5940123531740302E-2"/>
    <n v="9734.2690850604395"/>
    <n v="936.22150358957595"/>
    <m/>
    <m/>
    <m/>
    <m/>
    <m/>
    <m/>
    <n v="-15476.886412903899"/>
    <n v="67864"/>
    <s v="DBE"/>
  </r>
  <r>
    <x v="8"/>
    <x v="22"/>
    <n v="15309"/>
    <n v="0"/>
    <n v="15309"/>
    <s v="NA"/>
    <s v="NA"/>
    <n v="323.12930077118898"/>
    <n v="15558.5203077105"/>
    <n v="2125.2373051618401"/>
    <m/>
    <m/>
    <m/>
    <m/>
    <m/>
    <m/>
    <n v="-62242.248255768398"/>
    <n v="95558"/>
    <s v="DBE"/>
  </r>
  <r>
    <x v="8"/>
    <x v="23"/>
    <n v="4343"/>
    <n v="0"/>
    <n v="4343"/>
    <s v="NA"/>
    <s v="NA"/>
    <n v="2.5737208825822901"/>
    <n v="4840.1762265011503"/>
    <n v="335.96450107281998"/>
    <m/>
    <m/>
    <m/>
    <m/>
    <m/>
    <m/>
    <n v="-4948.2997522634796"/>
    <n v="14470"/>
    <s v="DBE"/>
  </r>
  <r>
    <x v="8"/>
    <x v="24"/>
    <n v="8577"/>
    <n v="0"/>
    <n v="8577"/>
    <s v="NA"/>
    <s v="NA"/>
    <n v="0"/>
    <n v="2222.1852249961198"/>
    <n v="261.01570173360801"/>
    <m/>
    <m/>
    <m/>
    <m/>
    <m/>
    <m/>
    <n v="-24302.887999281302"/>
    <n v="35363"/>
    <s v="DBE"/>
  </r>
  <r>
    <x v="8"/>
    <x v="25"/>
    <n v="4496"/>
    <n v="0"/>
    <n v="4496"/>
    <s v="NA"/>
    <s v="NA"/>
    <n v="12.021768937591"/>
    <n v="5166.7086831165998"/>
    <n v="98.891685562058498"/>
    <m/>
    <m/>
    <m/>
    <m/>
    <m/>
    <m/>
    <n v="-7469.72509952169"/>
    <n v="17243"/>
    <s v="DBE"/>
  </r>
  <r>
    <x v="8"/>
    <x v="26"/>
    <n v="1418"/>
    <n v="0"/>
    <n v="1418"/>
    <s v="NA"/>
    <s v="NA"/>
    <n v="587.68913161870103"/>
    <n v="41221.722667964998"/>
    <n v="201.67397119180799"/>
    <m/>
    <m/>
    <m/>
    <m/>
    <m/>
    <m/>
    <n v="-8030.2468902356504"/>
    <n v="51459"/>
    <s v="DBE"/>
  </r>
  <r>
    <x v="8"/>
    <x v="27"/>
    <n v="15379"/>
    <n v="0"/>
    <n v="15379"/>
    <s v="NA"/>
    <s v="NA"/>
    <n v="348.61922060869199"/>
    <n v="12054.8136518916"/>
    <n v="412.75964051061999"/>
    <m/>
    <m/>
    <m/>
    <m/>
    <m/>
    <m/>
    <n v="-7175.8653774547201"/>
    <n v="35371"/>
    <s v="DBE"/>
  </r>
  <r>
    <x v="8"/>
    <x v="28"/>
    <n v="16618"/>
    <n v="142"/>
    <n v="16760"/>
    <s v="NA"/>
    <s v="NA"/>
    <n v="34.172368751538698"/>
    <n v="19883.948715518502"/>
    <n v="2085.3201108827602"/>
    <m/>
    <m/>
    <m/>
    <m/>
    <m/>
    <m/>
    <n v="-12832.2814566823"/>
    <n v="51596"/>
    <s v="DBE"/>
  </r>
  <r>
    <x v="8"/>
    <x v="29"/>
    <n v="9515"/>
    <n v="0"/>
    <n v="9515"/>
    <s v="NA"/>
    <s v="NA"/>
    <n v="61.907346684047702"/>
    <n v="79210.098931804794"/>
    <n v="51.886299355130703"/>
    <m/>
    <m/>
    <m/>
    <m/>
    <m/>
    <m/>
    <n v="-25219.138466175998"/>
    <n v="114058"/>
    <s v="DBE"/>
  </r>
  <r>
    <x v="8"/>
    <x v="30"/>
    <n v="3258"/>
    <n v="7"/>
    <n v="3265"/>
    <s v="NA"/>
    <s v="NA"/>
    <n v="3.1006833562409599"/>
    <n v="76295.594392700907"/>
    <m/>
    <m/>
    <m/>
    <m/>
    <m/>
    <m/>
    <m/>
    <n v="-6410.7985859400296"/>
    <n v="85974"/>
    <s v="DBE"/>
  </r>
  <r>
    <x v="8"/>
    <x v="31"/>
    <n v="313"/>
    <n v="0"/>
    <n v="313"/>
    <s v="NA"/>
    <s v="NA"/>
    <n v="65.577661956129205"/>
    <n v="2714.3613480553499"/>
    <m/>
    <m/>
    <m/>
    <m/>
    <m/>
    <m/>
    <m/>
    <n v="-676.04880525554904"/>
    <n v="3769"/>
    <s v="DBE"/>
  </r>
  <r>
    <x v="8"/>
    <x v="32"/>
    <n v="15000"/>
    <n v="0"/>
    <n v="15000"/>
    <s v="NA"/>
    <s v="NA"/>
    <n v="10.6822709563301"/>
    <n v="58871.356284605601"/>
    <n v="263.61375764857098"/>
    <m/>
    <m/>
    <m/>
    <m/>
    <m/>
    <m/>
    <n v="-64217.695859237203"/>
    <n v="138363"/>
    <s v="DBE"/>
  </r>
  <r>
    <x v="8"/>
    <x v="33"/>
    <n v="4515"/>
    <n v="100"/>
    <n v="4615"/>
    <s v="NA"/>
    <s v="NA"/>
    <n v="0.24787674448380401"/>
    <n v="2729.11308831526"/>
    <m/>
    <m/>
    <m/>
    <m/>
    <m/>
    <m/>
    <m/>
    <n v="4615"/>
    <n v="7344"/>
    <s v="DBE"/>
  </r>
  <r>
    <x v="8"/>
    <x v="34"/>
    <n v="2934"/>
    <n v="0"/>
    <n v="2934"/>
    <s v="NA"/>
    <s v="NA"/>
    <n v="0"/>
    <n v="31713.797712363699"/>
    <m/>
    <m/>
    <m/>
    <m/>
    <m/>
    <m/>
    <m/>
    <n v="-2978.6657104155802"/>
    <n v="37626"/>
    <s v="DBE"/>
  </r>
  <r>
    <x v="8"/>
    <x v="35"/>
    <n v="1544"/>
    <n v="0"/>
    <n v="1544"/>
    <s v="NA"/>
    <s v="NA"/>
    <n v="0"/>
    <n v="4629.2154546765396"/>
    <n v="15.702852089321199"/>
    <m/>
    <m/>
    <m/>
    <m/>
    <m/>
    <m/>
    <n v="-3995.5341024080499"/>
    <n v="10184"/>
    <s v="DBE"/>
  </r>
  <r>
    <x v="8"/>
    <x v="36"/>
    <n v="5228"/>
    <n v="69"/>
    <n v="5297"/>
    <s v="NA"/>
    <s v="NA"/>
    <n v="0"/>
    <n v="7708.6530605584503"/>
    <m/>
    <m/>
    <m/>
    <m/>
    <m/>
    <m/>
    <m/>
    <n v="5297"/>
    <n v="13006"/>
    <s v="DBE"/>
  </r>
  <r>
    <x v="8"/>
    <x v="37"/>
    <n v="7265"/>
    <n v="25"/>
    <n v="7290"/>
    <s v="NA"/>
    <s v="NA"/>
    <n v="0"/>
    <n v="25563.602957919"/>
    <n v="154.87522206243099"/>
    <m/>
    <m/>
    <m/>
    <m/>
    <m/>
    <m/>
    <n v="-7825.6622507684397"/>
    <n v="40834"/>
    <s v="DBE"/>
  </r>
  <r>
    <x v="8"/>
    <x v="38"/>
    <n v="5097"/>
    <n v="0"/>
    <n v="5097"/>
    <s v="NA"/>
    <s v="NA"/>
    <n v="79.819709359985595"/>
    <n v="7872.3616730553804"/>
    <n v="76.430883477052404"/>
    <m/>
    <m/>
    <m/>
    <m/>
    <m/>
    <m/>
    <n v="4727.4179188297203"/>
    <n v="13126"/>
    <s v="DBE"/>
  </r>
  <r>
    <x v="8"/>
    <x v="39"/>
    <n v="1267"/>
    <n v="0"/>
    <n v="1267"/>
    <s v="NA"/>
    <s v="NA"/>
    <n v="0"/>
    <n v="13441.1139571229"/>
    <n v="52.693068100740703"/>
    <m/>
    <m/>
    <m/>
    <m/>
    <m/>
    <m/>
    <n v="-3112.7925050052199"/>
    <n v="17874"/>
    <s v="DBE"/>
  </r>
  <r>
    <x v="8"/>
    <x v="40"/>
    <n v="4239"/>
    <n v="0"/>
    <n v="4239"/>
    <s v="NA"/>
    <s v="NA"/>
    <n v="735.21645684424504"/>
    <n v="23008.865783780999"/>
    <n v="134.92599888015999"/>
    <m/>
    <m/>
    <m/>
    <m/>
    <m/>
    <m/>
    <n v="3311.6423644920401"/>
    <n v="28118"/>
    <s v="DBE"/>
  </r>
  <r>
    <x v="8"/>
    <x v="41"/>
    <n v="9189"/>
    <n v="0"/>
    <n v="9189"/>
    <s v="NA"/>
    <s v="NA"/>
    <m/>
    <n v="27456.870854091401"/>
    <n v="106.09716730328699"/>
    <m/>
    <m/>
    <m/>
    <m/>
    <m/>
    <m/>
    <n v="369.236661731298"/>
    <n v="36752"/>
    <s v="DBE"/>
  </r>
  <r>
    <x v="8"/>
    <x v="42"/>
    <n v="3193"/>
    <n v="0"/>
    <n v="3193"/>
    <s v="NA"/>
    <s v="NA"/>
    <m/>
    <n v="14666.986135356099"/>
    <n v="199.013379570539"/>
    <m/>
    <m/>
    <m/>
    <m/>
    <m/>
    <m/>
    <n v="261.47892525549702"/>
    <n v="18059"/>
    <s v="DBE"/>
  </r>
  <r>
    <x v="8"/>
    <x v="43"/>
    <n v="5092"/>
    <n v="0"/>
    <n v="5092"/>
    <s v="NA"/>
    <s v="NA"/>
    <m/>
    <n v="10203.303092821099"/>
    <n v="237.519116652549"/>
    <m/>
    <m/>
    <m/>
    <m/>
    <m/>
    <m/>
    <n v="-1741.1105016305401"/>
    <n v="17274"/>
    <s v="DBE"/>
  </r>
  <r>
    <x v="8"/>
    <x v="44"/>
    <n v="45615"/>
    <n v="91"/>
    <n v="45706"/>
    <s v="NA"/>
    <s v="NA"/>
    <m/>
    <n v="100658.17429960601"/>
    <n v="2879.6132727709501"/>
    <m/>
    <m/>
    <m/>
    <m/>
    <m/>
    <m/>
    <n v="3010.2768592358302"/>
    <n v="149244"/>
    <s v="DBE"/>
  </r>
  <r>
    <x v="8"/>
    <x v="45"/>
    <n v="19717"/>
    <n v="30"/>
    <n v="19747"/>
    <s v="NA"/>
    <s v="NA"/>
    <m/>
    <n v="37630.562078391602"/>
    <n v="540.99156332476298"/>
    <m/>
    <m/>
    <m/>
    <m/>
    <m/>
    <m/>
    <n v="6223.0577290798101"/>
    <n v="57919"/>
    <s v="DBE"/>
  </r>
  <r>
    <x v="8"/>
    <x v="46"/>
    <n v="2246"/>
    <n v="0"/>
    <n v="2246"/>
    <s v="NA"/>
    <s v="NA"/>
    <m/>
    <n v="9322.8758698671209"/>
    <n v="100.488263628532"/>
    <m/>
    <m/>
    <m/>
    <m/>
    <m/>
    <m/>
    <n v="-675.63942363294302"/>
    <n v="12345"/>
    <s v="DBE"/>
  </r>
  <r>
    <x v="8"/>
    <x v="47"/>
    <n v="5130"/>
    <n v="0"/>
    <n v="5130"/>
    <s v="NA"/>
    <s v="NA"/>
    <m/>
    <n v="27893"/>
    <n v="43"/>
    <m/>
    <m/>
    <m/>
    <m/>
    <m/>
    <m/>
    <m/>
    <n v="33066"/>
    <s v="NA"/>
  </r>
  <r>
    <x v="8"/>
    <x v="48"/>
    <n v="5987"/>
    <n v="0"/>
    <n v="5987"/>
    <s v="NA"/>
    <s v="NA"/>
    <m/>
    <n v="17413"/>
    <n v="71"/>
    <m/>
    <m/>
    <m/>
    <m/>
    <m/>
    <m/>
    <m/>
    <n v="23471"/>
    <s v="RSA"/>
  </r>
  <r>
    <x v="8"/>
    <x v="49"/>
    <n v="16920"/>
    <n v="0"/>
    <n v="16920"/>
    <s v="NA"/>
    <s v="NA"/>
    <m/>
    <n v="92266.000000000204"/>
    <n v="904"/>
    <m/>
    <m/>
    <m/>
    <m/>
    <m/>
    <m/>
    <m/>
    <n v="110090"/>
    <s v="NA"/>
  </r>
  <r>
    <x v="8"/>
    <x v="50"/>
    <n v="3060"/>
    <n v="0"/>
    <n v="3060"/>
    <s v="NA"/>
    <s v="NA"/>
    <m/>
    <n v="20634"/>
    <n v="79"/>
    <m/>
    <m/>
    <m/>
    <m/>
    <m/>
    <m/>
    <m/>
    <n v="23773"/>
    <s v="NA"/>
  </r>
  <r>
    <x v="8"/>
    <x v="51"/>
    <n v="1346"/>
    <n v="53"/>
    <n v="1399"/>
    <s v="NA"/>
    <s v="NA"/>
    <m/>
    <n v="1829"/>
    <n v="5"/>
    <m/>
    <m/>
    <m/>
    <m/>
    <m/>
    <m/>
    <m/>
    <n v="3233"/>
    <s v="NA"/>
  </r>
  <r>
    <x v="8"/>
    <x v="52"/>
    <n v="3790"/>
    <n v="0"/>
    <n v="3790"/>
    <s v="NA"/>
    <s v="NA"/>
    <m/>
    <n v="63705"/>
    <n v="202"/>
    <m/>
    <m/>
    <m/>
    <m/>
    <m/>
    <m/>
    <m/>
    <n v="67697"/>
    <s v="NA"/>
  </r>
  <r>
    <x v="8"/>
    <x v="53"/>
    <n v="12666"/>
    <n v="9"/>
    <n v="12675"/>
    <s v="NA"/>
    <s v="NA"/>
    <m/>
    <n v="50277"/>
    <n v="368"/>
    <m/>
    <m/>
    <m/>
    <m/>
    <m/>
    <m/>
    <m/>
    <n v="63320"/>
    <s v="NA"/>
  </r>
  <r>
    <x v="8"/>
    <x v="54"/>
    <n v="14959"/>
    <n v="47"/>
    <n v="15006"/>
    <s v="NA"/>
    <s v="NA"/>
    <m/>
    <n v="51938.097609561803"/>
    <n v="192"/>
    <m/>
    <m/>
    <m/>
    <m/>
    <m/>
    <m/>
    <m/>
    <n v="67136"/>
    <s v="NA"/>
  </r>
  <r>
    <x v="8"/>
    <x v="55"/>
    <n v="5379"/>
    <n v="12"/>
    <n v="5391"/>
    <s v="NA"/>
    <s v="NA"/>
    <m/>
    <n v="13164.6928271046"/>
    <n v="319"/>
    <m/>
    <m/>
    <m/>
    <m/>
    <m/>
    <m/>
    <m/>
    <n v="18875"/>
    <s v="NA"/>
  </r>
  <r>
    <x v="8"/>
    <x v="56"/>
    <n v="20548"/>
    <n v="29"/>
    <n v="20577"/>
    <s v="NA"/>
    <s v="NA"/>
    <m/>
    <n v="92881"/>
    <n v="217"/>
    <m/>
    <m/>
    <m/>
    <m/>
    <m/>
    <m/>
    <m/>
    <n v="113675"/>
    <s v="NA"/>
  </r>
  <r>
    <x v="8"/>
    <x v="57"/>
    <n v="32646"/>
    <n v="26"/>
    <n v="32672"/>
    <s v="NA"/>
    <s v="NA"/>
    <m/>
    <n v="92149"/>
    <n v="1212"/>
    <m/>
    <m/>
    <m/>
    <m/>
    <m/>
    <m/>
    <m/>
    <n v="126033"/>
    <s v="NA"/>
  </r>
  <r>
    <x v="8"/>
    <x v="58"/>
    <n v="15034"/>
    <n v="0"/>
    <n v="15034"/>
    <s v="NA"/>
    <s v="NA"/>
    <m/>
    <n v="42660"/>
    <n v="1058"/>
    <m/>
    <m/>
    <m/>
    <m/>
    <m/>
    <m/>
    <m/>
    <n v="58752"/>
    <s v="NA"/>
  </r>
  <r>
    <x v="8"/>
    <x v="59"/>
    <n v="2202"/>
    <n v="0"/>
    <n v="2202"/>
    <s v="NA"/>
    <s v="NA"/>
    <m/>
    <n v="3600"/>
    <n v="144"/>
    <m/>
    <m/>
    <m/>
    <m/>
    <m/>
    <m/>
    <m/>
    <n v="5946"/>
    <s v="RSA"/>
  </r>
  <r>
    <x v="8"/>
    <x v="60"/>
    <n v="22258"/>
    <n v="29"/>
    <n v="22287"/>
    <s v="NA"/>
    <s v="NA"/>
    <m/>
    <n v="21769"/>
    <n v="897"/>
    <m/>
    <m/>
    <m/>
    <m/>
    <m/>
    <m/>
    <m/>
    <n v="44953"/>
    <s v="NA"/>
  </r>
  <r>
    <x v="8"/>
    <x v="61"/>
    <n v="8162"/>
    <n v="0"/>
    <n v="8162"/>
    <s v="NA"/>
    <s v="NA"/>
    <m/>
    <n v="9978"/>
    <n v="379"/>
    <m/>
    <m/>
    <m/>
    <m/>
    <m/>
    <m/>
    <m/>
    <n v="18519"/>
    <s v="NA"/>
  </r>
  <r>
    <x v="8"/>
    <x v="62"/>
    <n v="42773"/>
    <n v="5"/>
    <n v="42778"/>
    <s v="NA"/>
    <s v="NA"/>
    <m/>
    <n v="36370.537691140402"/>
    <n v="1976.36656939419"/>
    <m/>
    <m/>
    <m/>
    <m/>
    <m/>
    <m/>
    <m/>
    <n v="81125"/>
    <s v="NA"/>
  </r>
  <r>
    <x v="8"/>
    <x v="63"/>
    <n v="17210"/>
    <n v="70"/>
    <n v="17280"/>
    <s v="NA"/>
    <s v="NA"/>
    <m/>
    <n v="19008"/>
    <n v="288"/>
    <m/>
    <m/>
    <m/>
    <m/>
    <m/>
    <m/>
    <m/>
    <n v="36576"/>
    <s v="RSA"/>
  </r>
  <r>
    <x v="8"/>
    <x v="64"/>
    <n v="27868"/>
    <n v="17"/>
    <n v="27885"/>
    <s v="NA"/>
    <s v="NA"/>
    <m/>
    <n v="160523"/>
    <n v="930"/>
    <m/>
    <m/>
    <m/>
    <m/>
    <m/>
    <m/>
    <m/>
    <n v="189338"/>
    <s v="NA"/>
  </r>
  <r>
    <x v="8"/>
    <x v="65"/>
    <n v="14701"/>
    <n v="0"/>
    <n v="14701"/>
    <s v="NA"/>
    <s v="NA"/>
    <m/>
    <n v="131210"/>
    <n v="15"/>
    <m/>
    <m/>
    <m/>
    <m/>
    <m/>
    <m/>
    <m/>
    <n v="145926"/>
    <s v="NA"/>
  </r>
  <r>
    <x v="8"/>
    <x v="66"/>
    <n v="3793"/>
    <n v="19"/>
    <n v="3812"/>
    <s v="NA"/>
    <s v="NA"/>
    <m/>
    <n v="16743"/>
    <n v="15"/>
    <m/>
    <m/>
    <m/>
    <m/>
    <m/>
    <m/>
    <m/>
    <n v="20570"/>
    <s v="NA"/>
  </r>
  <r>
    <x v="8"/>
    <x v="67"/>
    <n v="2586"/>
    <n v="0"/>
    <n v="2586"/>
    <s v="NA"/>
    <s v="NA"/>
    <m/>
    <n v="14115.0045558087"/>
    <n v="8.8359908883826908"/>
    <m/>
    <m/>
    <m/>
    <m/>
    <m/>
    <m/>
    <m/>
    <n v="16710"/>
    <s v="NA"/>
  </r>
  <r>
    <x v="8"/>
    <x v="68"/>
    <n v="5595"/>
    <n v="0"/>
    <n v="5595"/>
    <s v="NA"/>
    <s v="NA"/>
    <m/>
    <n v="40287.929762949898"/>
    <n v="26"/>
    <m/>
    <m/>
    <m/>
    <m/>
    <m/>
    <m/>
    <m/>
    <n v="45909"/>
    <s v="RSA"/>
  </r>
  <r>
    <x v="8"/>
    <x v="69"/>
    <n v="28800"/>
    <n v="0"/>
    <n v="28800"/>
    <s v="NA"/>
    <s v="NA"/>
    <m/>
    <n v="230178"/>
    <n v="33"/>
    <m/>
    <m/>
    <m/>
    <m/>
    <m/>
    <m/>
    <m/>
    <n v="259011"/>
    <s v="NA"/>
  </r>
  <r>
    <x v="8"/>
    <x v="70"/>
    <n v="21030"/>
    <n v="298"/>
    <n v="21328"/>
    <s v="NA"/>
    <s v="NA"/>
    <m/>
    <n v="87548"/>
    <n v="37"/>
    <m/>
    <m/>
    <m/>
    <m/>
    <m/>
    <m/>
    <m/>
    <n v="108913"/>
    <s v="NA"/>
  </r>
  <r>
    <x v="8"/>
    <x v="71"/>
    <n v="25794"/>
    <n v="0"/>
    <n v="25794"/>
    <s v="NA"/>
    <s v="NA"/>
    <m/>
    <n v="55719"/>
    <n v="82"/>
    <m/>
    <m/>
    <m/>
    <m/>
    <m/>
    <m/>
    <m/>
    <n v="81595"/>
    <s v="NA"/>
  </r>
  <r>
    <x v="9"/>
    <x v="0"/>
    <n v="3820"/>
    <n v="1"/>
    <n v="3821"/>
    <s v="NA"/>
    <s v="NA"/>
    <n v="19.639167910413001"/>
    <n v="70.416804551631898"/>
    <n v="0.14416508747644799"/>
    <m/>
    <n v="1281.1483142060099"/>
    <n v="24.4449426180438"/>
    <m/>
    <n v="2.50901170566432"/>
    <m/>
    <n v="-4882.3035703247697"/>
    <n v="5219"/>
    <s v="RSA"/>
  </r>
  <r>
    <x v="9"/>
    <x v="1"/>
    <n v="3143"/>
    <n v="97"/>
    <n v="3240"/>
    <s v="NA"/>
    <s v="NA"/>
    <n v="13.429318287409799"/>
    <n v="783.98388911516997"/>
    <n v="41.467140962688497"/>
    <m/>
    <n v="554.81738239102299"/>
    <m/>
    <m/>
    <n v="5.28468154633455"/>
    <m/>
    <n v="-2770.6102137780899"/>
    <n v="4639"/>
    <s v="RSA"/>
  </r>
  <r>
    <x v="9"/>
    <x v="2"/>
    <n v="4039"/>
    <n v="0"/>
    <n v="4039"/>
    <s v="NA"/>
    <s v="NA"/>
    <n v="494.61877249918302"/>
    <n v="35.269888080869002"/>
    <n v="3.8884161342475898"/>
    <m/>
    <n v="448.54040719460397"/>
    <m/>
    <m/>
    <n v="0.18178033141810301"/>
    <m/>
    <n v="-3298.86981662792"/>
    <n v="5021"/>
    <s v="RSA"/>
  </r>
  <r>
    <x v="9"/>
    <x v="3"/>
    <n v="822"/>
    <n v="0"/>
    <n v="822"/>
    <s v="NA"/>
    <s v="NA"/>
    <n v="28.117771700029401"/>
    <n v="13.4534161796216"/>
    <n v="6.8181387002626899E-4"/>
    <m/>
    <n v="206"/>
    <m/>
    <m/>
    <n v="4.4686868686868699"/>
    <m/>
    <n v="-1262.3153264253699"/>
    <n v="1074"/>
    <s v="RSA"/>
  </r>
  <r>
    <x v="9"/>
    <x v="4"/>
    <n v="67"/>
    <n v="0"/>
    <n v="67"/>
    <s v="NA"/>
    <s v="NA"/>
    <n v="1.5943981746373901"/>
    <n v="7.1265914762987297"/>
    <n v="0.79643368654789104"/>
    <n v="0.119760479041916"/>
    <n v="11.4105123087159"/>
    <m/>
    <m/>
    <n v="2.9274783765801698E-2"/>
    <m/>
    <n v="-872.37825483848701"/>
    <n v="88"/>
    <s v="RSA"/>
  </r>
  <r>
    <x v="9"/>
    <x v="5"/>
    <n v="1504"/>
    <n v="0"/>
    <n v="1504"/>
    <s v="NA"/>
    <s v="NA"/>
    <n v="17.452545419167102"/>
    <n v="1586.81197348054"/>
    <n v="45.002568331510197"/>
    <n v="5.4818565400843902"/>
    <n v="167.452320675105"/>
    <m/>
    <n v="140.59746835442999"/>
    <n v="2.36286919831224E-2"/>
    <m/>
    <n v="445.89476700832199"/>
    <n v="3467"/>
    <s v="RSA"/>
  </r>
  <r>
    <x v="9"/>
    <x v="6"/>
    <n v="7013"/>
    <n v="0"/>
    <n v="7013"/>
    <s v="NA"/>
    <s v="NA"/>
    <n v="38.288477665237103"/>
    <n v="117.197840573454"/>
    <n v="77.104143331639307"/>
    <n v="15.678524374176501"/>
    <n v="780.42028985507295"/>
    <n v="14.7826086956522"/>
    <n v="116.112648221344"/>
    <n v="5.5994729907773398E-2"/>
    <m/>
    <n v="-5396.8922878042704"/>
    <n v="8173"/>
    <s v="RSA"/>
  </r>
  <r>
    <x v="9"/>
    <x v="7"/>
    <n v="4640"/>
    <n v="14"/>
    <n v="4654"/>
    <s v="NA"/>
    <s v="NA"/>
    <n v="488.36772166648598"/>
    <n v="596.45995915720403"/>
    <n v="108.506604115348"/>
    <m/>
    <n v="1189.75659918162"/>
    <n v="119"/>
    <n v="-454.67272873151302"/>
    <n v="4.2639672648498301"/>
    <n v="1"/>
    <n v="-1914.2486322733901"/>
    <n v="6707"/>
    <s v="RSA"/>
  </r>
  <r>
    <x v="9"/>
    <x v="8"/>
    <n v="8997"/>
    <n v="0"/>
    <n v="8997"/>
    <s v="NA"/>
    <s v="NA"/>
    <n v="153.25928398667"/>
    <n v="375.26387636405298"/>
    <n v="16.5515618420058"/>
    <n v="17.069227101304801"/>
    <n v="1587.5882352941201"/>
    <m/>
    <n v="1048.83063851922"/>
    <n v="0.32825436733278401"/>
    <m/>
    <n v="-2969.9607723734998"/>
    <n v="12196"/>
    <s v="RSA"/>
  </r>
  <r>
    <x v="9"/>
    <x v="9"/>
    <n v="6011"/>
    <n v="33"/>
    <n v="6044"/>
    <s v="NA"/>
    <s v="NA"/>
    <n v="0"/>
    <n v="24454.331479293702"/>
    <n v="1022.19967563392"/>
    <m/>
    <n v="1547.75527960572"/>
    <n v="179"/>
    <n v="-15480.0332608277"/>
    <n v="8.1403948346595492"/>
    <m/>
    <n v="-428.35263011360098"/>
    <n v="17775"/>
    <s v="RSA"/>
  </r>
  <r>
    <x v="9"/>
    <x v="10"/>
    <n v="8742"/>
    <n v="13"/>
    <n v="8755"/>
    <s v="NA"/>
    <s v="NA"/>
    <n v="42.460691564299097"/>
    <n v="519.39534052283204"/>
    <n v="12.406768592461001"/>
    <m/>
    <n v="971.33798701695605"/>
    <m/>
    <m/>
    <n v="1.08376630521156"/>
    <m/>
    <n v="478.90703086823902"/>
    <n v="10302"/>
    <s v="RSA"/>
  </r>
  <r>
    <x v="9"/>
    <x v="11"/>
    <n v="3722"/>
    <n v="92"/>
    <n v="3814"/>
    <s v="NA"/>
    <s v="NA"/>
    <n v="9.9087699610151798"/>
    <n v="2997.7413567150802"/>
    <n v="687.66934804763105"/>
    <m/>
    <n v="1240.3333333333301"/>
    <m/>
    <n v="-1762.26405242501"/>
    <n v="31.052004485562101"/>
    <m/>
    <n v="-9638.4353978728195"/>
    <n v="7018"/>
    <s v="RSA"/>
  </r>
  <r>
    <x v="9"/>
    <x v="12"/>
    <n v="16942"/>
    <n v="140"/>
    <n v="17082"/>
    <s v="NA"/>
    <s v="NA"/>
    <n v="69.521745998317598"/>
    <n v="4821.9947036768799"/>
    <n v="2078.6102418957598"/>
    <m/>
    <n v="1882.0100295136001"/>
    <m/>
    <m/>
    <n v="18.6106248961913"/>
    <m/>
    <n v="-2021.5692224587001"/>
    <n v="25953"/>
    <s v="RSA"/>
  </r>
  <r>
    <x v="9"/>
    <x v="13"/>
    <n v="12578"/>
    <n v="14"/>
    <n v="12592"/>
    <s v="NA"/>
    <s v="NA"/>
    <n v="0"/>
    <n v="19701.221034424201"/>
    <m/>
    <m/>
    <n v="1715.32145222655"/>
    <m/>
    <n v="-3986.6143081591499"/>
    <n v="2.2997874339581998"/>
    <m/>
    <n v="10659.313466183499"/>
    <n v="30024"/>
    <s v="RSA"/>
  </r>
  <r>
    <x v="9"/>
    <x v="14"/>
    <n v="7620"/>
    <n v="16"/>
    <n v="7636"/>
    <s v="NA"/>
    <s v="NA"/>
    <n v="239.08478338425999"/>
    <n v="184.609990984126"/>
    <n v="19.0251316288422"/>
    <m/>
    <n v="662.39050962133001"/>
    <m/>
    <m/>
    <n v="1.2924593503328401"/>
    <m/>
    <n v="1615.0340074306"/>
    <n v="8742"/>
    <s v="RSA"/>
  </r>
  <r>
    <x v="9"/>
    <x v="15"/>
    <n v="2763"/>
    <n v="27"/>
    <n v="2790"/>
    <s v="NA"/>
    <s v="NA"/>
    <n v="1.05828096256055"/>
    <n v="641.44076269620803"/>
    <n v="59.151157158299199"/>
    <m/>
    <m/>
    <m/>
    <m/>
    <m/>
    <m/>
    <n v="-1116.49747195181"/>
    <n v="4608"/>
    <s v="DBE"/>
  </r>
  <r>
    <x v="9"/>
    <x v="16"/>
    <n v="5020"/>
    <n v="13"/>
    <n v="5033"/>
    <s v="NA"/>
    <s v="NA"/>
    <n v="5279.4108283670002"/>
    <n v="666.57326965050004"/>
    <n v="23.090775724490602"/>
    <m/>
    <m/>
    <m/>
    <m/>
    <m/>
    <m/>
    <n v="1553.50683394001"/>
    <n v="11002"/>
    <s v="DBE"/>
  </r>
  <r>
    <x v="9"/>
    <x v="17"/>
    <n v="23130"/>
    <n v="0"/>
    <n v="23130"/>
    <s v="NA"/>
    <s v="NA"/>
    <n v="46.582382476599598"/>
    <n v="14297.2212229957"/>
    <n v="629.41277042540798"/>
    <m/>
    <m/>
    <m/>
    <m/>
    <m/>
    <m/>
    <n v="-23448.5169272893"/>
    <n v="61552"/>
    <s v="DBE"/>
  </r>
  <r>
    <x v="9"/>
    <x v="18"/>
    <n v="5329"/>
    <n v="221"/>
    <n v="5550"/>
    <s v="NA"/>
    <s v="NA"/>
    <n v="2.0503980405129001"/>
    <n v="1300.7921292536701"/>
    <n v="23.7783800497687"/>
    <m/>
    <m/>
    <m/>
    <m/>
    <m/>
    <m/>
    <n v="2020.5840817116"/>
    <n v="6877"/>
    <s v="DBE"/>
  </r>
  <r>
    <x v="9"/>
    <x v="19"/>
    <n v="22386"/>
    <n v="7"/>
    <n v="22393"/>
    <s v="NA"/>
    <s v="NA"/>
    <n v="2703.0936980465099"/>
    <n v="11648.1878167304"/>
    <n v="287.19547465027699"/>
    <m/>
    <m/>
    <m/>
    <m/>
    <m/>
    <m/>
    <n v="-502.20766732636201"/>
    <n v="37534"/>
    <s v="DBE"/>
  </r>
  <r>
    <x v="9"/>
    <x v="20"/>
    <n v="14174"/>
    <n v="119"/>
    <n v="14293"/>
    <s v="NA"/>
    <s v="NA"/>
    <n v="137.80980206850001"/>
    <n v="3408.2372370102898"/>
    <n v="78.376074017692204"/>
    <m/>
    <m/>
    <m/>
    <m/>
    <m/>
    <m/>
    <n v="9542.7109063427106"/>
    <n v="17917"/>
    <s v="DBE"/>
  </r>
  <r>
    <x v="9"/>
    <x v="21"/>
    <n v="31922"/>
    <n v="127"/>
    <n v="32049"/>
    <s v="NA"/>
    <s v="NA"/>
    <n v="2.1139705464065899"/>
    <n v="5716.88638269488"/>
    <n v="311.83650778848101"/>
    <m/>
    <m/>
    <m/>
    <m/>
    <m/>
    <m/>
    <n v="-8178.5994927656502"/>
    <n v="46258"/>
    <s v="DBE"/>
  </r>
  <r>
    <x v="9"/>
    <x v="22"/>
    <n v="12348"/>
    <n v="44"/>
    <n v="12392"/>
    <s v="NA"/>
    <s v="NA"/>
    <n v="263.01818562356601"/>
    <n v="2416.8384330953299"/>
    <n v="20.9405172314389"/>
    <m/>
    <m/>
    <m/>
    <m/>
    <m/>
    <m/>
    <n v="162.668125168101"/>
    <n v="15093"/>
    <s v="DBE"/>
  </r>
  <r>
    <x v="9"/>
    <x v="23"/>
    <n v="10034"/>
    <n v="12"/>
    <n v="10046"/>
    <s v="NA"/>
    <s v="NA"/>
    <n v="15.8172546476807"/>
    <n v="14106.390594696401"/>
    <n v="4523.7352951738603"/>
    <m/>
    <m/>
    <m/>
    <m/>
    <m/>
    <m/>
    <n v="-1058.6525273818299"/>
    <n v="29751"/>
    <s v="DBE"/>
  </r>
  <r>
    <x v="9"/>
    <x v="24"/>
    <n v="845"/>
    <n v="72"/>
    <n v="917"/>
    <s v="NA"/>
    <s v="NA"/>
    <n v="27.3898052526024"/>
    <n v="263.92595167857201"/>
    <n v="23.555509522415498"/>
    <m/>
    <m/>
    <m/>
    <m/>
    <m/>
    <m/>
    <n v="-2068.5103163460599"/>
    <n v="3300"/>
    <s v="DBE"/>
  </r>
  <r>
    <x v="9"/>
    <x v="25"/>
    <n v="6597"/>
    <n v="6"/>
    <n v="6603"/>
    <s v="NA"/>
    <s v="NA"/>
    <n v="347.91855049598598"/>
    <n v="1904.0086698227501"/>
    <n v="78.730448901392705"/>
    <m/>
    <m/>
    <m/>
    <m/>
    <m/>
    <m/>
    <n v="-4148.01076976272"/>
    <n v="13082"/>
    <s v="DBE"/>
  </r>
  <r>
    <x v="9"/>
    <x v="26"/>
    <n v="1674"/>
    <n v="0"/>
    <n v="1674"/>
    <s v="NA"/>
    <s v="NA"/>
    <n v="258.19189957807998"/>
    <n v="11516.308722333601"/>
    <n v="45.941280413321302"/>
    <m/>
    <m/>
    <m/>
    <m/>
    <m/>
    <m/>
    <n v="-1630.5841642145299"/>
    <n v="15125"/>
    <s v="DBE"/>
  </r>
  <r>
    <x v="9"/>
    <x v="27"/>
    <n v="3950"/>
    <n v="71"/>
    <n v="4021"/>
    <s v="NA"/>
    <s v="NA"/>
    <n v="128.128336431907"/>
    <n v="2773.7219109151802"/>
    <n v="106.239273731805"/>
    <m/>
    <m/>
    <m/>
    <m/>
    <m/>
    <m/>
    <n v="552.86773497455397"/>
    <n v="7029"/>
    <s v="DBE"/>
  </r>
  <r>
    <x v="9"/>
    <x v="28"/>
    <n v="1645"/>
    <n v="57"/>
    <n v="1702"/>
    <s v="NA"/>
    <s v="NA"/>
    <n v="0.54824038159157296"/>
    <n v="1136.9604783136499"/>
    <n v="634.11085177743803"/>
    <m/>
    <m/>
    <m/>
    <m/>
    <m/>
    <m/>
    <n v="230.24231944345701"/>
    <n v="3474"/>
    <s v="DBE"/>
  </r>
  <r>
    <x v="9"/>
    <x v="29"/>
    <n v="727"/>
    <n v="16"/>
    <n v="743"/>
    <s v="NA"/>
    <s v="NA"/>
    <n v="676.24385320590397"/>
    <n v="7173.1419455704399"/>
    <n v="20.7942994419559"/>
    <m/>
    <m/>
    <m/>
    <m/>
    <m/>
    <m/>
    <n v="-1602.5360901429301"/>
    <n v="10216"/>
    <s v="DBE"/>
  </r>
  <r>
    <x v="9"/>
    <x v="30"/>
    <n v="1291"/>
    <n v="35"/>
    <n v="1326"/>
    <s v="NA"/>
    <s v="NA"/>
    <n v="51.737997207057603"/>
    <n v="7506.3845729293198"/>
    <m/>
    <m/>
    <m/>
    <m/>
    <m/>
    <m/>
    <m/>
    <n v="-257.993870366213"/>
    <n v="9142"/>
    <s v="DBE"/>
  </r>
  <r>
    <x v="9"/>
    <x v="31"/>
    <n v="3863"/>
    <n v="65"/>
    <n v="3928"/>
    <s v="NA"/>
    <s v="NA"/>
    <n v="428.32312459194401"/>
    <n v="5331.7047875663802"/>
    <n v="164.61988923492001"/>
    <m/>
    <m/>
    <m/>
    <m/>
    <m/>
    <m/>
    <n v="1813.74831947555"/>
    <n v="9853"/>
    <s v="DBE"/>
  </r>
  <r>
    <x v="9"/>
    <x v="32"/>
    <n v="2486"/>
    <n v="5"/>
    <n v="2491"/>
    <s v="NA"/>
    <s v="NA"/>
    <n v="114.121929404402"/>
    <n v="5002.1598471349998"/>
    <n v="32.480435897804902"/>
    <m/>
    <m/>
    <m/>
    <m/>
    <m/>
    <m/>
    <n v="637.70834659969"/>
    <n v="7640"/>
    <s v="DBE"/>
  </r>
  <r>
    <x v="9"/>
    <x v="33"/>
    <n v="1840"/>
    <n v="102"/>
    <n v="1942"/>
    <s v="NA"/>
    <s v="NA"/>
    <n v="194.94748927822999"/>
    <n v="8267.38814535852"/>
    <n v="2.8809166552994099"/>
    <m/>
    <m/>
    <m/>
    <m/>
    <m/>
    <m/>
    <n v="-351.80755256845299"/>
    <n v="10759"/>
    <s v="DBE"/>
  </r>
  <r>
    <x v="9"/>
    <x v="34"/>
    <n v="272"/>
    <n v="123"/>
    <n v="395"/>
    <s v="NA"/>
    <s v="NA"/>
    <n v="21.906882835607799"/>
    <n v="1917.6532897234599"/>
    <n v="29.041140309396699"/>
    <m/>
    <m/>
    <m/>
    <m/>
    <m/>
    <m/>
    <n v="104.811910911086"/>
    <n v="2364"/>
    <s v="DBE"/>
  </r>
  <r>
    <x v="9"/>
    <x v="35"/>
    <n v="986"/>
    <n v="53"/>
    <n v="1039"/>
    <s v="NA"/>
    <s v="NA"/>
    <n v="0"/>
    <n v="2245.7828339512898"/>
    <n v="90.311403116179406"/>
    <m/>
    <m/>
    <m/>
    <m/>
    <m/>
    <m/>
    <n v="-420.73265850694401"/>
    <n v="3796"/>
    <s v="DBE"/>
  </r>
  <r>
    <x v="9"/>
    <x v="36"/>
    <n v="635"/>
    <n v="64"/>
    <n v="699"/>
    <s v="NA"/>
    <s v="NA"/>
    <n v="2.8793469720976699"/>
    <n v="2808.8353060165"/>
    <n v="61.756363152933197"/>
    <m/>
    <m/>
    <m/>
    <m/>
    <m/>
    <m/>
    <n v="-323.22382356210801"/>
    <n v="3896"/>
    <s v="DBE"/>
  </r>
  <r>
    <x v="9"/>
    <x v="37"/>
    <n v="3038"/>
    <n v="8"/>
    <n v="3046"/>
    <s v="NA"/>
    <s v="NA"/>
    <n v="42.933306247646698"/>
    <n v="12212.623236129"/>
    <n v="142.02893098846101"/>
    <m/>
    <m/>
    <m/>
    <m/>
    <m/>
    <m/>
    <n v="954.95266387020297"/>
    <n v="15444"/>
    <s v="DBE"/>
  </r>
  <r>
    <x v="9"/>
    <x v="38"/>
    <n v="199"/>
    <n v="4"/>
    <n v="203"/>
    <s v="NA"/>
    <s v="NA"/>
    <n v="1.5947809656085199"/>
    <n v="1521.9309196116999"/>
    <n v="58.448622780726303"/>
    <m/>
    <m/>
    <m/>
    <m/>
    <m/>
    <m/>
    <n v="-104.43712630679801"/>
    <n v="1889"/>
    <s v="DBE"/>
  </r>
  <r>
    <x v="9"/>
    <x v="39"/>
    <n v="371"/>
    <n v="0"/>
    <n v="371"/>
    <s v="NA"/>
    <s v="NA"/>
    <n v="0"/>
    <n v="2065.4590514552201"/>
    <n v="115.117521641491"/>
    <m/>
    <m/>
    <m/>
    <m/>
    <m/>
    <m/>
    <n v="-1069.8840018286101"/>
    <n v="3621"/>
    <s v="DBE"/>
  </r>
  <r>
    <x v="9"/>
    <x v="40"/>
    <n v="476"/>
    <n v="15"/>
    <n v="491"/>
    <s v="NA"/>
    <s v="NA"/>
    <n v="102.32518609380899"/>
    <n v="4265.1808289372902"/>
    <n v="136.61380603054999"/>
    <m/>
    <m/>
    <m/>
    <m/>
    <m/>
    <m/>
    <n v="-715.11493353266803"/>
    <n v="5710"/>
    <s v="DBE"/>
  </r>
  <r>
    <x v="9"/>
    <x v="41"/>
    <n v="2302"/>
    <n v="29"/>
    <n v="2331"/>
    <s v="NA"/>
    <s v="NA"/>
    <m/>
    <n v="9174.0166526427492"/>
    <n v="408.18077626026798"/>
    <m/>
    <m/>
    <m/>
    <m/>
    <m/>
    <m/>
    <n v="-533.03442567432501"/>
    <n v="12446"/>
    <s v="DBE"/>
  </r>
  <r>
    <x v="9"/>
    <x v="42"/>
    <n v="173"/>
    <n v="0"/>
    <n v="173"/>
    <s v="NA"/>
    <s v="NA"/>
    <m/>
    <n v="1622.1911648395101"/>
    <n v="31.848838274783599"/>
    <m/>
    <m/>
    <m/>
    <m/>
    <m/>
    <m/>
    <n v="-213.53804922025901"/>
    <n v="2041"/>
    <s v="DBE"/>
  </r>
  <r>
    <x v="9"/>
    <x v="43"/>
    <n v="713"/>
    <n v="86"/>
    <n v="799"/>
    <s v="NA"/>
    <s v="NA"/>
    <m/>
    <n v="3649.2328950000901"/>
    <n v="174.85317703298199"/>
    <m/>
    <m/>
    <m/>
    <m/>
    <m/>
    <m/>
    <n v="-291.60577131954"/>
    <n v="4915"/>
    <s v="DBE"/>
  </r>
  <r>
    <x v="9"/>
    <x v="44"/>
    <n v="93"/>
    <n v="26"/>
    <n v="119"/>
    <s v="NA"/>
    <s v="NA"/>
    <m/>
    <n v="393.67270067555199"/>
    <n v="24.8641406186258"/>
    <m/>
    <m/>
    <m/>
    <m/>
    <m/>
    <m/>
    <n v="50.723745724880096"/>
    <n v="538"/>
    <s v="DBE"/>
  </r>
  <r>
    <x v="9"/>
    <x v="45"/>
    <n v="1612"/>
    <n v="19"/>
    <n v="1631"/>
    <s v="NA"/>
    <s v="NA"/>
    <m/>
    <n v="5710.7434842451803"/>
    <n v="366.801420593111"/>
    <m/>
    <m/>
    <m/>
    <m/>
    <m/>
    <m/>
    <n v="83.577160772753501"/>
    <n v="7709"/>
    <s v="DBE"/>
  </r>
  <r>
    <x v="9"/>
    <x v="46"/>
    <n v="193"/>
    <n v="156"/>
    <n v="349"/>
    <s v="NA"/>
    <s v="NA"/>
    <m/>
    <n v="1352.83787577776"/>
    <n v="161.21997613679099"/>
    <m/>
    <m/>
    <m/>
    <m/>
    <m/>
    <m/>
    <n v="107.44151229170799"/>
    <n v="1863"/>
    <s v="DBE"/>
  </r>
  <r>
    <x v="9"/>
    <x v="47"/>
    <n v="1802"/>
    <n v="0"/>
    <n v="1802"/>
    <s v="NA"/>
    <s v="NA"/>
    <m/>
    <n v="8856.8499736796002"/>
    <n v="316.74454428754802"/>
    <m/>
    <m/>
    <m/>
    <m/>
    <m/>
    <m/>
    <m/>
    <n v="10976"/>
    <s v="NA"/>
  </r>
  <r>
    <x v="9"/>
    <x v="48"/>
    <n v="74"/>
    <n v="2"/>
    <n v="76"/>
    <s v="NA"/>
    <s v="NA"/>
    <m/>
    <n v="204.25878456840601"/>
    <n v="7.5559678616372503"/>
    <m/>
    <m/>
    <m/>
    <m/>
    <m/>
    <m/>
    <m/>
    <n v="288"/>
    <s v="RSA"/>
  </r>
  <r>
    <x v="9"/>
    <x v="49"/>
    <n v="955"/>
    <n v="139"/>
    <n v="1094"/>
    <s v="NA"/>
    <s v="NA"/>
    <m/>
    <n v="5926.6747697444198"/>
    <n v="150.60009210223399"/>
    <m/>
    <m/>
    <m/>
    <m/>
    <m/>
    <m/>
    <m/>
    <n v="7171"/>
    <s v="NA"/>
  </r>
  <r>
    <x v="9"/>
    <x v="50"/>
    <n v="352"/>
    <n v="26"/>
    <n v="378"/>
    <s v="NA"/>
    <s v="NA"/>
    <m/>
    <n v="2296.3589018887701"/>
    <n v="16.6834357940647"/>
    <m/>
    <m/>
    <m/>
    <m/>
    <m/>
    <m/>
    <m/>
    <n v="2691"/>
    <s v="NA"/>
  </r>
  <r>
    <x v="9"/>
    <x v="51"/>
    <n v="2718"/>
    <n v="261"/>
    <n v="2979"/>
    <s v="NA"/>
    <s v="NA"/>
    <m/>
    <n v="10084.316188647301"/>
    <n v="134.00645678446801"/>
    <m/>
    <m/>
    <m/>
    <m/>
    <m/>
    <m/>
    <m/>
    <n v="13197"/>
    <s v="NA"/>
  </r>
  <r>
    <x v="9"/>
    <x v="52"/>
    <n v="0"/>
    <n v="0"/>
    <n v="0"/>
    <s v="NA"/>
    <s v="NA"/>
    <m/>
    <m/>
    <m/>
    <m/>
    <m/>
    <m/>
    <m/>
    <m/>
    <m/>
    <m/>
    <n v="0"/>
    <s v="NA"/>
  </r>
  <r>
    <x v="9"/>
    <x v="53"/>
    <n v="224"/>
    <n v="37"/>
    <n v="261"/>
    <s v="NA"/>
    <s v="NA"/>
    <m/>
    <n v="1000"/>
    <n v="2"/>
    <m/>
    <m/>
    <m/>
    <m/>
    <m/>
    <m/>
    <m/>
    <n v="1263"/>
    <s v="NA"/>
  </r>
  <r>
    <x v="9"/>
    <x v="54"/>
    <n v="139"/>
    <n v="0"/>
    <n v="139"/>
    <s v="NA"/>
    <s v="NA"/>
    <m/>
    <n v="371.90239043824698"/>
    <n v="2"/>
    <m/>
    <m/>
    <m/>
    <m/>
    <m/>
    <m/>
    <m/>
    <n v="513"/>
    <s v="NA"/>
  </r>
  <r>
    <x v="9"/>
    <x v="55"/>
    <n v="1234"/>
    <n v="0"/>
    <n v="1234"/>
    <s v="NA"/>
    <s v="NA"/>
    <m/>
    <n v="4504.9246074185603"/>
    <m/>
    <m/>
    <m/>
    <m/>
    <m/>
    <m/>
    <m/>
    <m/>
    <n v="5739"/>
    <s v="NA"/>
  </r>
  <r>
    <x v="9"/>
    <x v="56"/>
    <n v="0"/>
    <n v="0"/>
    <n v="0"/>
    <s v="NA"/>
    <s v="NA"/>
    <m/>
    <m/>
    <m/>
    <m/>
    <m/>
    <m/>
    <m/>
    <m/>
    <m/>
    <m/>
    <n v="0"/>
    <s v="NA"/>
  </r>
  <r>
    <x v="9"/>
    <x v="57"/>
    <n v="329"/>
    <n v="0"/>
    <n v="329"/>
    <s v="NA"/>
    <s v="NA"/>
    <m/>
    <n v="414.47959583300701"/>
    <n v="12"/>
    <m/>
    <m/>
    <m/>
    <m/>
    <m/>
    <m/>
    <m/>
    <n v="755"/>
    <s v="NA"/>
  </r>
  <r>
    <x v="9"/>
    <x v="58"/>
    <n v="646"/>
    <n v="0"/>
    <n v="646"/>
    <s v="NA"/>
    <s v="NA"/>
    <m/>
    <n v="1813.1984378381501"/>
    <n v="57.1201676758267"/>
    <m/>
    <m/>
    <m/>
    <m/>
    <m/>
    <m/>
    <m/>
    <n v="2516"/>
    <s v="NA"/>
  </r>
  <r>
    <x v="9"/>
    <x v="59"/>
    <n v="3967"/>
    <n v="0"/>
    <n v="3967"/>
    <s v="NA"/>
    <s v="NA"/>
    <m/>
    <n v="8377.5327358900104"/>
    <n v="266.17460703057998"/>
    <m/>
    <m/>
    <m/>
    <m/>
    <m/>
    <m/>
    <m/>
    <n v="12611"/>
    <s v="RSA"/>
  </r>
  <r>
    <x v="9"/>
    <x v="60"/>
    <n v="85"/>
    <n v="0"/>
    <n v="85"/>
    <s v="NA"/>
    <s v="NA"/>
    <m/>
    <n v="217.52647391278501"/>
    <n v="15.433398774466101"/>
    <m/>
    <m/>
    <m/>
    <m/>
    <m/>
    <m/>
    <m/>
    <n v="318"/>
    <s v="NA"/>
  </r>
  <r>
    <x v="9"/>
    <x v="61"/>
    <n v="270"/>
    <n v="0"/>
    <n v="270"/>
    <s v="NA"/>
    <s v="NA"/>
    <m/>
    <n v="488.213577650947"/>
    <n v="23"/>
    <m/>
    <m/>
    <m/>
    <m/>
    <m/>
    <m/>
    <m/>
    <n v="781"/>
    <s v="NA"/>
  </r>
  <r>
    <x v="9"/>
    <x v="62"/>
    <n v="409"/>
    <n v="0"/>
    <n v="409"/>
    <s v="NA"/>
    <s v="NA"/>
    <m/>
    <n v="254"/>
    <n v="19"/>
    <m/>
    <m/>
    <m/>
    <m/>
    <m/>
    <m/>
    <m/>
    <n v="682"/>
    <s v="NA"/>
  </r>
  <r>
    <x v="9"/>
    <x v="63"/>
    <n v="4676"/>
    <n v="35"/>
    <n v="4711"/>
    <s v="NA"/>
    <s v="NA"/>
    <m/>
    <n v="9768"/>
    <n v="78"/>
    <m/>
    <m/>
    <m/>
    <m/>
    <m/>
    <m/>
    <m/>
    <n v="14557"/>
    <s v="RSA"/>
  </r>
  <r>
    <x v="9"/>
    <x v="64"/>
    <n v="35"/>
    <n v="29"/>
    <n v="64"/>
    <s v="NA"/>
    <s v="NA"/>
    <m/>
    <n v="436.69027596825799"/>
    <n v="2.0694066090252301"/>
    <m/>
    <m/>
    <m/>
    <m/>
    <m/>
    <m/>
    <m/>
    <n v="503"/>
    <s v="NA"/>
  </r>
  <r>
    <x v="9"/>
    <x v="65"/>
    <n v="0"/>
    <n v="0"/>
    <n v="0"/>
    <s v="NA"/>
    <s v="NA"/>
    <m/>
    <m/>
    <m/>
    <m/>
    <m/>
    <m/>
    <m/>
    <m/>
    <m/>
    <m/>
    <n v="0"/>
    <s v="NA"/>
  </r>
  <r>
    <x v="9"/>
    <x v="66"/>
    <n v="389"/>
    <n v="0"/>
    <n v="389"/>
    <s v="NA"/>
    <s v="NA"/>
    <m/>
    <n v="2844"/>
    <n v="2"/>
    <m/>
    <m/>
    <m/>
    <m/>
    <m/>
    <m/>
    <m/>
    <n v="3235"/>
    <s v="NA"/>
  </r>
  <r>
    <x v="9"/>
    <x v="67"/>
    <n v="6235"/>
    <n v="0"/>
    <n v="6235"/>
    <s v="NA"/>
    <s v="NA"/>
    <m/>
    <n v="19901.995444191401"/>
    <n v="19.1640091116173"/>
    <m/>
    <m/>
    <m/>
    <m/>
    <m/>
    <m/>
    <m/>
    <n v="26156"/>
    <s v="NA"/>
  </r>
  <r>
    <x v="9"/>
    <x v="68"/>
    <n v="191"/>
    <n v="0"/>
    <n v="191"/>
    <s v="NA"/>
    <s v="NA"/>
    <m/>
    <n v="705"/>
    <n v="1"/>
    <m/>
    <m/>
    <m/>
    <m/>
    <m/>
    <m/>
    <m/>
    <n v="897"/>
    <s v="RSA"/>
  </r>
  <r>
    <x v="9"/>
    <x v="69"/>
    <n v="279"/>
    <n v="0"/>
    <n v="279"/>
    <s v="NA"/>
    <s v="NA"/>
    <m/>
    <n v="2019.2796610169501"/>
    <n v="9"/>
    <m/>
    <m/>
    <m/>
    <m/>
    <m/>
    <m/>
    <m/>
    <n v="2307"/>
    <s v="NA"/>
  </r>
  <r>
    <x v="9"/>
    <x v="70"/>
    <n v="507"/>
    <n v="4"/>
    <n v="511"/>
    <s v="NA"/>
    <s v="NA"/>
    <m/>
    <n v="1817.95871346284"/>
    <n v="16.372652141247201"/>
    <m/>
    <m/>
    <m/>
    <m/>
    <m/>
    <m/>
    <m/>
    <n v="2345"/>
    <s v="NA"/>
  </r>
  <r>
    <x v="9"/>
    <x v="71"/>
    <n v="6192"/>
    <n v="9"/>
    <n v="6201"/>
    <s v="NA"/>
    <s v="NA"/>
    <m/>
    <n v="24367.609417711101"/>
    <n v="48.371989272267697"/>
    <m/>
    <m/>
    <m/>
    <m/>
    <m/>
    <m/>
    <m/>
    <n v="30617"/>
    <s v="NA"/>
  </r>
  <r>
    <x v="10"/>
    <x v="0"/>
    <n v="7842"/>
    <n v="0"/>
    <n v="7842"/>
    <s v="NA"/>
    <s v="NA"/>
    <n v="77.292663385553595"/>
    <n v="518.44949881251603"/>
    <n v="120.825789074694"/>
    <m/>
    <n v="3265"/>
    <n v="1953"/>
    <m/>
    <m/>
    <m/>
    <n v="-47024.1097907355"/>
    <n v="13777"/>
    <s v="RSA"/>
  </r>
  <r>
    <x v="10"/>
    <x v="1"/>
    <n v="712563"/>
    <n v="19"/>
    <n v="712582"/>
    <s v="NA"/>
    <s v="NA"/>
    <n v="9270.4036908055605"/>
    <n v="377366.26439374097"/>
    <n v="36487.226583128599"/>
    <m/>
    <n v="179359"/>
    <n v="4873"/>
    <m/>
    <n v="5"/>
    <m/>
    <n v="-308121.26036599802"/>
    <n v="1319943"/>
    <s v="RSA"/>
  </r>
  <r>
    <x v="10"/>
    <x v="2"/>
    <n v="29897"/>
    <n v="1662"/>
    <n v="31559"/>
    <s v="NA"/>
    <s v="NA"/>
    <n v="2827.9276072023399"/>
    <n v="316.39587775665001"/>
    <n v="422.405283546026"/>
    <m/>
    <n v="9229"/>
    <n v="7018"/>
    <m/>
    <n v="551"/>
    <n v="541"/>
    <n v="-64719.409690152701"/>
    <n v="52465"/>
    <s v="RSA"/>
  </r>
  <r>
    <x v="10"/>
    <x v="3"/>
    <n v="27"/>
    <n v="0"/>
    <n v="27"/>
    <s v="NA"/>
    <s v="NA"/>
    <n v="314.34920029584998"/>
    <n v="8.5407690437910393"/>
    <n v="1.47924236266297"/>
    <m/>
    <n v="32"/>
    <n v="5"/>
    <m/>
    <m/>
    <m/>
    <n v="-75.947764992804494"/>
    <n v="388"/>
    <s v="RSA"/>
  </r>
  <r>
    <x v="10"/>
    <x v="4"/>
    <n v="5263"/>
    <n v="0"/>
    <n v="5263"/>
    <s v="NA"/>
    <s v="NA"/>
    <n v="3466.7933955837002"/>
    <n v="192.87839630349001"/>
    <n v="47.488506242145199"/>
    <m/>
    <n v="3599"/>
    <n v="1421"/>
    <m/>
    <m/>
    <m/>
    <n v="-8464.6032623624506"/>
    <n v="13990"/>
    <s v="RSA"/>
  </r>
  <r>
    <x v="10"/>
    <x v="5"/>
    <n v="1517302"/>
    <n v="0"/>
    <n v="1517302"/>
    <s v="NA"/>
    <s v="NA"/>
    <n v="20693.836182879"/>
    <n v="2191371.72980888"/>
    <n v="359060.142338684"/>
    <m/>
    <n v="168589"/>
    <m/>
    <n v="33407"/>
    <m/>
    <m/>
    <n v="-266714.83954716899"/>
    <n v="4290424"/>
    <s v="RSA"/>
  </r>
  <r>
    <x v="10"/>
    <x v="6"/>
    <n v="15069"/>
    <n v="7575"/>
    <n v="22644"/>
    <s v="NA"/>
    <s v="NA"/>
    <n v="465.710105535374"/>
    <n v="1633.55749037137"/>
    <n v="1090.1831521147701"/>
    <m/>
    <n v="6137"/>
    <n v="3342"/>
    <n v="250"/>
    <n v="3061"/>
    <n v="1608"/>
    <n v="-24542.9738762548"/>
    <n v="40231"/>
    <s v="RSA"/>
  </r>
  <r>
    <x v="10"/>
    <x v="7"/>
    <n v="49"/>
    <n v="0"/>
    <n v="49"/>
    <s v="NA"/>
    <s v="NA"/>
    <n v="99.720795954213003"/>
    <n v="53.499196593873002"/>
    <n v="17.179668145883099"/>
    <m/>
    <n v="126"/>
    <n v="105"/>
    <n v="414"/>
    <m/>
    <m/>
    <n v="-141.11567911520501"/>
    <n v="864"/>
    <s v="RSA"/>
  </r>
  <r>
    <x v="10"/>
    <x v="8"/>
    <n v="9688"/>
    <n v="0"/>
    <n v="9688"/>
    <s v="NA"/>
    <s v="NA"/>
    <n v="3505.49532407284"/>
    <n v="2309.1347037312298"/>
    <n v="1991.1177699538"/>
    <m/>
    <n v="10114"/>
    <n v="2674"/>
    <n v="451"/>
    <m/>
    <m/>
    <n v="-52495.967056483903"/>
    <n v="30733"/>
    <s v="RSA"/>
  </r>
  <r>
    <x v="10"/>
    <x v="9"/>
    <n v="2207847"/>
    <n v="109"/>
    <n v="2207956"/>
    <s v="NA"/>
    <s v="NA"/>
    <n v="47987.892938543999"/>
    <n v="4910667.9693990396"/>
    <n v="394364.51633580902"/>
    <m/>
    <n v="551961.99999999895"/>
    <m/>
    <n v="45332"/>
    <n v="27"/>
    <m/>
    <n v="-1719312.0270040999"/>
    <n v="8158297"/>
    <s v="RSA"/>
  </r>
  <r>
    <x v="10"/>
    <x v="10"/>
    <n v="152981"/>
    <n v="32264"/>
    <n v="185245"/>
    <s v="NA"/>
    <s v="NA"/>
    <n v="5745.9727057524997"/>
    <n v="28181.6127965384"/>
    <n v="8860.0342336178401"/>
    <m/>
    <n v="128221"/>
    <n v="85144"/>
    <n v="752"/>
    <n v="22301"/>
    <n v="9153"/>
    <n v="-134797.56118898801"/>
    <n v="473604"/>
    <s v="RSA"/>
  </r>
  <r>
    <x v="10"/>
    <x v="11"/>
    <n v="12"/>
    <n v="0"/>
    <n v="12"/>
    <s v="NA"/>
    <s v="NA"/>
    <n v="8.4493285041326995"/>
    <n v="755.31587156702005"/>
    <n v="813.43567810130401"/>
    <n v="-1588"/>
    <n v="45"/>
    <m/>
    <m/>
    <m/>
    <m/>
    <n v="-2057.5273809205501"/>
    <n v="46"/>
    <s v="RSA"/>
  </r>
  <r>
    <x v="10"/>
    <x v="12"/>
    <n v="165695"/>
    <n v="0"/>
    <n v="165695"/>
    <s v="NA"/>
    <s v="NA"/>
    <n v="2070.1377513068401"/>
    <n v="94020.453186589802"/>
    <n v="30641.500905630099"/>
    <m/>
    <n v="81611"/>
    <m/>
    <n v="5517"/>
    <m/>
    <m/>
    <n v="-223789.26018861"/>
    <n v="379555"/>
    <s v="RSA"/>
  </r>
  <r>
    <x v="10"/>
    <x v="13"/>
    <n v="7519018"/>
    <n v="58"/>
    <n v="7519076"/>
    <s v="NA"/>
    <s v="NA"/>
    <n v="0"/>
    <n v="8442055.5948257502"/>
    <m/>
    <m/>
    <n v="565948"/>
    <m/>
    <n v="187098"/>
    <n v="4"/>
    <m/>
    <n v="-1102577.8325062301"/>
    <n v="16714182"/>
    <s v="RSA"/>
  </r>
  <r>
    <x v="10"/>
    <x v="14"/>
    <n v="32481"/>
    <n v="38863"/>
    <n v="71344"/>
    <s v="NA"/>
    <s v="NA"/>
    <n v="1055.9028680711899"/>
    <n v="2762.3647446760101"/>
    <n v="963.47115776291002"/>
    <m/>
    <n v="19593"/>
    <n v="7299"/>
    <n v="738"/>
    <n v="22414"/>
    <n v="6644"/>
    <n v="23305.110191491902"/>
    <n v="132814"/>
    <s v="RSA"/>
  </r>
  <r>
    <x v="10"/>
    <x v="15"/>
    <n v="164"/>
    <n v="0"/>
    <n v="164"/>
    <s v="NA"/>
    <s v="NA"/>
    <n v="25.110021015060301"/>
    <n v="2497.05336017339"/>
    <n v="2449.7484736834499"/>
    <m/>
    <m/>
    <m/>
    <m/>
    <m/>
    <m/>
    <n v="-7369.8024464663704"/>
    <n v="12506"/>
    <s v="DBE"/>
  </r>
  <r>
    <x v="10"/>
    <x v="16"/>
    <n v="61043"/>
    <n v="0"/>
    <n v="61043"/>
    <s v="NA"/>
    <s v="NA"/>
    <n v="12789.2098712234"/>
    <n v="13358.2590323318"/>
    <n v="6519.7569398768801"/>
    <m/>
    <m/>
    <m/>
    <m/>
    <m/>
    <m/>
    <n v="-55122.325361732401"/>
    <n v="148833"/>
    <s v="DBE"/>
  </r>
  <r>
    <x v="10"/>
    <x v="17"/>
    <n v="2897709"/>
    <n v="12"/>
    <n v="2897721"/>
    <s v="NA"/>
    <s v="NA"/>
    <n v="17459.307644624099"/>
    <n v="2737182.5248686802"/>
    <n v="310232.37522068201"/>
    <m/>
    <m/>
    <m/>
    <m/>
    <m/>
    <m/>
    <n v="-1606857.69489401"/>
    <n v="7569453"/>
    <s v="DBE"/>
  </r>
  <r>
    <x v="10"/>
    <x v="18"/>
    <n v="21113"/>
    <n v="42234"/>
    <n v="63347"/>
    <s v="NA"/>
    <s v="NA"/>
    <n v="28701.178777366"/>
    <n v="18215.044708420501"/>
    <n v="5522.0957973740697"/>
    <m/>
    <m/>
    <m/>
    <m/>
    <m/>
    <m/>
    <n v="22228.073630213901"/>
    <n v="115785"/>
    <s v="DBE"/>
  </r>
  <r>
    <x v="10"/>
    <x v="19"/>
    <n v="2994"/>
    <n v="88"/>
    <n v="3082"/>
    <s v="NA"/>
    <s v="NA"/>
    <n v="109.681571561102"/>
    <n v="4376.1737760999004"/>
    <n v="3062.8526918080802"/>
    <m/>
    <m/>
    <m/>
    <m/>
    <m/>
    <m/>
    <n v="-6889.6295035512803"/>
    <n v="17520"/>
    <s v="DBE"/>
  </r>
  <r>
    <x v="10"/>
    <x v="20"/>
    <n v="381278"/>
    <n v="0"/>
    <n v="381278"/>
    <s v="NA"/>
    <s v="NA"/>
    <n v="8490.1459920493799"/>
    <n v="231152.96143808999"/>
    <n v="36777.335535649203"/>
    <m/>
    <m/>
    <m/>
    <m/>
    <m/>
    <m/>
    <n v="11514.528860869699"/>
    <n v="657698"/>
    <s v="DBE"/>
  </r>
  <r>
    <x v="10"/>
    <x v="21"/>
    <n v="5532263"/>
    <n v="123"/>
    <n v="5532386"/>
    <s v="NA"/>
    <s v="NA"/>
    <n v="227.811063061575"/>
    <n v="966881.57322745398"/>
    <n v="147235.415554804"/>
    <m/>
    <m/>
    <m/>
    <m/>
    <m/>
    <m/>
    <n v="-196074.713661243"/>
    <n v="6842806"/>
    <s v="DBE"/>
  </r>
  <r>
    <x v="10"/>
    <x v="22"/>
    <n v="4858"/>
    <n v="18272"/>
    <n v="23130"/>
    <s v="NA"/>
    <s v="NA"/>
    <n v="1118.6000328804701"/>
    <n v="9441.1713381336303"/>
    <n v="2266.3552483005501"/>
    <m/>
    <m/>
    <m/>
    <m/>
    <m/>
    <m/>
    <n v="-22131.917713834799"/>
    <n v="58088"/>
    <s v="DBE"/>
  </r>
  <r>
    <x v="10"/>
    <x v="23"/>
    <n v="855"/>
    <n v="0"/>
    <n v="855"/>
    <s v="NA"/>
    <s v="NA"/>
    <n v="21.919931575463"/>
    <n v="20694.083422481301"/>
    <n v="4985.79659294065"/>
    <m/>
    <m/>
    <m/>
    <m/>
    <m/>
    <m/>
    <n v="-19367.256544757201"/>
    <n v="45924"/>
    <s v="DBE"/>
  </r>
  <r>
    <x v="10"/>
    <x v="24"/>
    <n v="343540"/>
    <n v="0"/>
    <n v="343540"/>
    <s v="NA"/>
    <s v="NA"/>
    <n v="14100.961435331499"/>
    <n v="80372.322999743104"/>
    <n v="4811.2219393185796"/>
    <m/>
    <m/>
    <m/>
    <m/>
    <m/>
    <m/>
    <n v="-380112.017089759"/>
    <n v="822937"/>
    <s v="DBE"/>
  </r>
  <r>
    <x v="10"/>
    <x v="25"/>
    <n v="1389271"/>
    <n v="312"/>
    <n v="1389583"/>
    <s v="NA"/>
    <s v="NA"/>
    <n v="51837.953765883598"/>
    <n v="408169.376463869"/>
    <n v="22404.173406707501"/>
    <m/>
    <m/>
    <m/>
    <m/>
    <m/>
    <m/>
    <n v="-781426.09266458603"/>
    <n v="2653421"/>
    <s v="DBE"/>
  </r>
  <r>
    <x v="10"/>
    <x v="26"/>
    <n v="1072"/>
    <n v="374"/>
    <n v="1446"/>
    <s v="NA"/>
    <s v="NA"/>
    <n v="325.45790513499998"/>
    <n v="15904.9477342388"/>
    <n v="313.41439048844001"/>
    <m/>
    <m/>
    <m/>
    <m/>
    <m/>
    <m/>
    <n v="-1855.6345471449199"/>
    <n v="19845"/>
    <s v="DBE"/>
  </r>
  <r>
    <x v="10"/>
    <x v="27"/>
    <n v="12466"/>
    <n v="18"/>
    <n v="12484"/>
    <s v="NA"/>
    <s v="NA"/>
    <n v="663.580915025948"/>
    <n v="12320.067124782399"/>
    <n v="9794.9691599465896"/>
    <m/>
    <m/>
    <m/>
    <m/>
    <m/>
    <m/>
    <n v="-20830.743627258798"/>
    <n v="56093"/>
    <s v="DBE"/>
  </r>
  <r>
    <x v="10"/>
    <x v="28"/>
    <n v="428875"/>
    <n v="0"/>
    <n v="428875"/>
    <s v="NA"/>
    <s v="NA"/>
    <n v="18838.366616601801"/>
    <n v="384909.31990297098"/>
    <n v="124561.79153217901"/>
    <m/>
    <m/>
    <m/>
    <m/>
    <m/>
    <m/>
    <n v="144056.97524741801"/>
    <n v="957184"/>
    <s v="DBE"/>
  </r>
  <r>
    <x v="10"/>
    <x v="29"/>
    <n v="1370677"/>
    <n v="252"/>
    <n v="1370929"/>
    <s v="NA"/>
    <s v="NA"/>
    <n v="135480.402"/>
    <n v="5930678.9701342601"/>
    <n v="63262"/>
    <m/>
    <m/>
    <m/>
    <m/>
    <m/>
    <m/>
    <n v="586156.50123109599"/>
    <n v="7500350"/>
    <s v="DBE"/>
  </r>
  <r>
    <x v="10"/>
    <x v="30"/>
    <n v="1367"/>
    <n v="9999"/>
    <n v="11366"/>
    <s v="NA"/>
    <s v="NA"/>
    <n v="182.08508352547699"/>
    <n v="19374.994746660701"/>
    <m/>
    <m/>
    <m/>
    <m/>
    <m/>
    <m/>
    <m/>
    <n v="8792.2164235627697"/>
    <n v="30923"/>
    <s v="DBE"/>
  </r>
  <r>
    <x v="10"/>
    <x v="31"/>
    <n v="12996"/>
    <n v="132"/>
    <n v="13128"/>
    <s v="NA"/>
    <s v="NA"/>
    <n v="5940.3832656296499"/>
    <n v="52150.214861722103"/>
    <n v="190.36301108139099"/>
    <m/>
    <m/>
    <m/>
    <m/>
    <m/>
    <m/>
    <n v="8031.4787844088996"/>
    <n v="71409"/>
    <s v="DBE"/>
  </r>
  <r>
    <x v="10"/>
    <x v="32"/>
    <n v="1255517"/>
    <n v="1"/>
    <n v="1255518"/>
    <s v="NA"/>
    <s v="NA"/>
    <n v="21711.6007959044"/>
    <n v="2297697.1465981798"/>
    <n v="33730.480805983701"/>
    <m/>
    <m/>
    <m/>
    <m/>
    <m/>
    <m/>
    <n v="-96901.917001496695"/>
    <n v="3705559"/>
    <s v="DBE"/>
  </r>
  <r>
    <x v="10"/>
    <x v="33"/>
    <n v="3715262"/>
    <n v="5919"/>
    <n v="3721181"/>
    <s v="NA"/>
    <s v="NA"/>
    <n v="164615.486397712"/>
    <n v="6419985.2062720004"/>
    <n v="155380.16684684201"/>
    <m/>
    <m/>
    <m/>
    <m/>
    <m/>
    <m/>
    <n v="852407.67045244505"/>
    <n v="10461162"/>
    <s v="DBE"/>
  </r>
  <r>
    <x v="10"/>
    <x v="34"/>
    <n v="565"/>
    <n v="11088"/>
    <n v="11653"/>
    <s v="NA"/>
    <s v="NA"/>
    <n v="3432.2999581985"/>
    <n v="56361.937184677001"/>
    <n v="202.210526315789"/>
    <m/>
    <m/>
    <m/>
    <m/>
    <m/>
    <m/>
    <n v="6542.2521283066899"/>
    <n v="71649"/>
    <s v="DBE"/>
  </r>
  <r>
    <x v="10"/>
    <x v="35"/>
    <n v="5007"/>
    <n v="52"/>
    <n v="5059"/>
    <s v="NA"/>
    <s v="NA"/>
    <n v="0"/>
    <n v="42276.149273496601"/>
    <n v="2557"/>
    <m/>
    <m/>
    <m/>
    <m/>
    <m/>
    <m/>
    <n v="-15853.9105339327"/>
    <n v="65746"/>
    <s v="DBE"/>
  </r>
  <r>
    <x v="10"/>
    <x v="36"/>
    <n v="603090"/>
    <n v="73"/>
    <n v="603163"/>
    <s v="NA"/>
    <s v="NA"/>
    <n v="2602.9275043112898"/>
    <n v="1465369.1349202001"/>
    <n v="52850.545207143703"/>
    <m/>
    <m/>
    <m/>
    <m/>
    <m/>
    <m/>
    <n v="178422.87621175699"/>
    <n v="2123986"/>
    <s v="DBE"/>
  </r>
  <r>
    <x v="10"/>
    <x v="37"/>
    <n v="2345230"/>
    <n v="11034"/>
    <n v="2356264"/>
    <s v="NA"/>
    <s v="NA"/>
    <n v="30573.242607113702"/>
    <n v="6627846.8717072001"/>
    <n v="139128.21389733299"/>
    <m/>
    <m/>
    <m/>
    <m/>
    <m/>
    <m/>
    <n v="-621494.98051035905"/>
    <n v="9775307"/>
    <s v="DBE"/>
  </r>
  <r>
    <x v="10"/>
    <x v="38"/>
    <n v="1484"/>
    <n v="13716"/>
    <n v="15200"/>
    <s v="NA"/>
    <s v="NA"/>
    <n v="68.262944461815593"/>
    <n v="67149.475974680507"/>
    <n v="115.814711011954"/>
    <m/>
    <m/>
    <m/>
    <m/>
    <m/>
    <m/>
    <n v="6127.8488254653003"/>
    <n v="82534"/>
    <s v="DBE"/>
  </r>
  <r>
    <x v="10"/>
    <x v="39"/>
    <n v="4335"/>
    <n v="4"/>
    <n v="4339"/>
    <s v="NA"/>
    <s v="NA"/>
    <n v="0"/>
    <n v="31971.320103236099"/>
    <n v="1723.6928225624199"/>
    <m/>
    <m/>
    <m/>
    <m/>
    <m/>
    <m/>
    <n v="-4490.2934894718401"/>
    <n v="42524"/>
    <s v="DBE"/>
  </r>
  <r>
    <x v="10"/>
    <x v="40"/>
    <n v="211365"/>
    <n v="59"/>
    <n v="211424"/>
    <s v="NA"/>
    <s v="NA"/>
    <n v="60276.310220256099"/>
    <n v="1302720.98183858"/>
    <n v="12369.140358254101"/>
    <m/>
    <m/>
    <m/>
    <m/>
    <m/>
    <m/>
    <n v="-108047.61298171199"/>
    <n v="1694838"/>
    <s v="DBE"/>
  </r>
  <r>
    <x v="10"/>
    <x v="41"/>
    <n v="3060235"/>
    <n v="1023"/>
    <n v="3061258"/>
    <s v="NA"/>
    <s v="NA"/>
    <m/>
    <n v="6188803.6206513001"/>
    <n v="110118.225236465"/>
    <m/>
    <m/>
    <m/>
    <m/>
    <m/>
    <m/>
    <n v="172434.697083776"/>
    <n v="9360180"/>
    <s v="DBE"/>
  </r>
  <r>
    <x v="10"/>
    <x v="42"/>
    <n v="10293"/>
    <n v="36614"/>
    <n v="46907"/>
    <s v="NA"/>
    <s v="NA"/>
    <m/>
    <n v="158307.45078231199"/>
    <n v="1386.40498073086"/>
    <m/>
    <m/>
    <m/>
    <m/>
    <m/>
    <m/>
    <n v="18267.244074069102"/>
    <n v="206601"/>
    <s v="DBE"/>
  </r>
  <r>
    <x v="10"/>
    <x v="43"/>
    <n v="2500"/>
    <n v="175"/>
    <n v="2675"/>
    <s v="NA"/>
    <s v="NA"/>
    <m/>
    <n v="14812.7177213594"/>
    <n v="1975.5680063325301"/>
    <m/>
    <m/>
    <m/>
    <m/>
    <m/>
    <m/>
    <n v="-2364.68407862305"/>
    <n v="21828"/>
    <s v="DBE"/>
  </r>
  <r>
    <x v="10"/>
    <x v="44"/>
    <n v="299403"/>
    <n v="310"/>
    <n v="299713"/>
    <s v="NA"/>
    <s v="NA"/>
    <m/>
    <n v="834217.90745583002"/>
    <n v="12805.634228156699"/>
    <m/>
    <m/>
    <m/>
    <m/>
    <m/>
    <m/>
    <n v="-67118.037051190098"/>
    <n v="1213855"/>
    <s v="DBE"/>
  </r>
  <r>
    <x v="10"/>
    <x v="45"/>
    <n v="1897353"/>
    <n v="3050"/>
    <n v="1900403"/>
    <s v="NA"/>
    <s v="NA"/>
    <m/>
    <n v="4970777.1960398396"/>
    <n v="54020.870120666499"/>
    <m/>
    <m/>
    <m/>
    <m/>
    <m/>
    <m/>
    <n v="98117.947814377796"/>
    <n v="6925201"/>
    <s v="DBE"/>
  </r>
  <r>
    <x v="10"/>
    <x v="46"/>
    <n v="12510"/>
    <n v="69265"/>
    <n v="81775"/>
    <s v="NA"/>
    <s v="NA"/>
    <m/>
    <n v="132582.401880819"/>
    <n v="921.83202853123396"/>
    <m/>
    <m/>
    <m/>
    <m/>
    <m/>
    <m/>
    <n v="65641.136085152801"/>
    <n v="215279"/>
    <s v="DBE"/>
  </r>
  <r>
    <x v="10"/>
    <x v="47"/>
    <n v="4780"/>
    <n v="808"/>
    <n v="5588"/>
    <s v="NA"/>
    <s v="NA"/>
    <m/>
    <n v="35837"/>
    <n v="1081"/>
    <m/>
    <m/>
    <m/>
    <m/>
    <m/>
    <m/>
    <m/>
    <n v="42506"/>
    <s v="NA"/>
  </r>
  <r>
    <x v="10"/>
    <x v="48"/>
    <n v="167365"/>
    <n v="1200"/>
    <n v="168565"/>
    <s v="NA"/>
    <s v="NA"/>
    <m/>
    <n v="532785.00000000105"/>
    <n v="15081"/>
    <m/>
    <m/>
    <m/>
    <m/>
    <m/>
    <m/>
    <m/>
    <n v="716431"/>
    <s v="RSA"/>
  </r>
  <r>
    <x v="10"/>
    <x v="49"/>
    <n v="1150772"/>
    <n v="6761"/>
    <n v="1157533"/>
    <s v="NA"/>
    <s v="NA"/>
    <m/>
    <n v="4203807"/>
    <n v="50074"/>
    <m/>
    <m/>
    <m/>
    <m/>
    <m/>
    <m/>
    <m/>
    <n v="5411414"/>
    <s v="NA"/>
  </r>
  <r>
    <x v="10"/>
    <x v="50"/>
    <n v="3808"/>
    <n v="44190"/>
    <n v="47998"/>
    <s v="NA"/>
    <s v="NA"/>
    <m/>
    <n v="148772"/>
    <n v="6207"/>
    <m/>
    <m/>
    <m/>
    <m/>
    <m/>
    <m/>
    <m/>
    <n v="202977"/>
    <s v="NA"/>
  </r>
  <r>
    <x v="10"/>
    <x v="51"/>
    <n v="4192"/>
    <n v="506"/>
    <n v="4698"/>
    <s v="NA"/>
    <s v="NA"/>
    <m/>
    <n v="25918.999999999902"/>
    <n v="1683"/>
    <m/>
    <m/>
    <m/>
    <m/>
    <m/>
    <m/>
    <m/>
    <n v="32300"/>
    <s v="NA"/>
  </r>
  <r>
    <x v="10"/>
    <x v="52"/>
    <n v="290192"/>
    <n v="101"/>
    <n v="290293"/>
    <s v="NA"/>
    <s v="NA"/>
    <m/>
    <n v="2841635"/>
    <n v="14051"/>
    <m/>
    <m/>
    <m/>
    <m/>
    <m/>
    <m/>
    <m/>
    <n v="3145979"/>
    <s v="NA"/>
  </r>
  <r>
    <x v="10"/>
    <x v="53"/>
    <n v="1528862"/>
    <n v="27962"/>
    <n v="1556824"/>
    <s v="NA"/>
    <s v="NA"/>
    <m/>
    <n v="2402254"/>
    <n v="38463.999999999898"/>
    <m/>
    <m/>
    <m/>
    <m/>
    <m/>
    <m/>
    <m/>
    <n v="3997542"/>
    <s v="NA"/>
  </r>
  <r>
    <x v="10"/>
    <x v="54"/>
    <n v="5985"/>
    <n v="49334"/>
    <n v="55319"/>
    <s v="NA"/>
    <s v="NA"/>
    <m/>
    <n v="68269"/>
    <n v="1953"/>
    <m/>
    <m/>
    <m/>
    <m/>
    <m/>
    <m/>
    <m/>
    <n v="125541"/>
    <s v="NA"/>
  </r>
  <r>
    <x v="10"/>
    <x v="55"/>
    <n v="3686"/>
    <n v="312"/>
    <n v="3998"/>
    <s v="NA"/>
    <s v="NA"/>
    <m/>
    <n v="18234.0621005428"/>
    <n v="279"/>
    <m/>
    <m/>
    <m/>
    <m/>
    <m/>
    <m/>
    <m/>
    <n v="22511"/>
    <s v="NA"/>
  </r>
  <r>
    <x v="10"/>
    <x v="56"/>
    <n v="844954"/>
    <n v="976"/>
    <n v="845930"/>
    <s v="NA"/>
    <s v="NA"/>
    <m/>
    <n v="2250421"/>
    <n v="48137"/>
    <m/>
    <m/>
    <m/>
    <m/>
    <m/>
    <m/>
    <m/>
    <n v="3144488"/>
    <s v="NA"/>
  </r>
  <r>
    <x v="10"/>
    <x v="57"/>
    <n v="1282180"/>
    <n v="40300"/>
    <n v="1322480"/>
    <s v="NA"/>
    <s v="NA"/>
    <m/>
    <n v="1416053"/>
    <n v="85925"/>
    <m/>
    <m/>
    <m/>
    <m/>
    <m/>
    <m/>
    <m/>
    <n v="2824458"/>
    <s v="NA"/>
  </r>
  <r>
    <x v="10"/>
    <x v="58"/>
    <n v="2087"/>
    <n v="57442"/>
    <n v="59529"/>
    <s v="NA"/>
    <s v="NA"/>
    <m/>
    <n v="37657"/>
    <n v="373"/>
    <m/>
    <m/>
    <m/>
    <m/>
    <m/>
    <m/>
    <m/>
    <n v="97559"/>
    <s v="NA"/>
  </r>
  <r>
    <x v="10"/>
    <x v="59"/>
    <n v="604"/>
    <n v="112"/>
    <n v="716"/>
    <s v="NA"/>
    <s v="NA"/>
    <m/>
    <n v="1728.2758620689699"/>
    <n v="190.60413793103501"/>
    <m/>
    <m/>
    <m/>
    <m/>
    <m/>
    <m/>
    <m/>
    <n v="2635"/>
    <s v="RSA"/>
  </r>
  <r>
    <x v="10"/>
    <x v="60"/>
    <n v="158468"/>
    <n v="113"/>
    <n v="158581"/>
    <s v="NA"/>
    <s v="NA"/>
    <m/>
    <n v="211066"/>
    <n v="16991"/>
    <m/>
    <m/>
    <m/>
    <m/>
    <m/>
    <m/>
    <m/>
    <n v="386638"/>
    <s v="NA"/>
  </r>
  <r>
    <x v="10"/>
    <x v="61"/>
    <n v="1144569"/>
    <n v="6573"/>
    <n v="1151142"/>
    <s v="NA"/>
    <s v="NA"/>
    <m/>
    <n v="875727.00000000105"/>
    <n v="60001"/>
    <m/>
    <m/>
    <m/>
    <m/>
    <m/>
    <m/>
    <m/>
    <n v="2086870"/>
    <s v="NA"/>
  </r>
  <r>
    <x v="10"/>
    <x v="62"/>
    <n v="1150"/>
    <n v="64707"/>
    <n v="65857"/>
    <s v="NA"/>
    <s v="NA"/>
    <m/>
    <n v="39092.177105929099"/>
    <n v="351"/>
    <m/>
    <m/>
    <m/>
    <m/>
    <m/>
    <m/>
    <m/>
    <n v="105300"/>
    <s v="NA"/>
  </r>
  <r>
    <x v="10"/>
    <x v="63"/>
    <n v="1907"/>
    <n v="7"/>
    <n v="1914"/>
    <s v="NA"/>
    <s v="NA"/>
    <m/>
    <n v="5022"/>
    <n v="748"/>
    <m/>
    <m/>
    <m/>
    <m/>
    <m/>
    <m/>
    <m/>
    <n v="7684"/>
    <s v="RSA"/>
  </r>
  <r>
    <x v="10"/>
    <x v="64"/>
    <n v="134826"/>
    <n v="264"/>
    <n v="135090"/>
    <s v="NA"/>
    <s v="NA"/>
    <m/>
    <n v="675196"/>
    <n v="8340.0000000000091"/>
    <m/>
    <m/>
    <m/>
    <m/>
    <m/>
    <m/>
    <m/>
    <n v="818626"/>
    <s v="NA"/>
  </r>
  <r>
    <x v="10"/>
    <x v="65"/>
    <n v="2294736"/>
    <n v="5238"/>
    <n v="2299974"/>
    <s v="NA"/>
    <s v="NA"/>
    <m/>
    <n v="11644016.145333299"/>
    <n v="41809.2656641637"/>
    <m/>
    <m/>
    <m/>
    <m/>
    <m/>
    <m/>
    <m/>
    <n v="13985799"/>
    <s v="NA"/>
  </r>
  <r>
    <x v="10"/>
    <x v="66"/>
    <n v="2809"/>
    <n v="304419"/>
    <n v="307228"/>
    <s v="NA"/>
    <s v="NA"/>
    <m/>
    <n v="356837"/>
    <n v="3611"/>
    <m/>
    <m/>
    <m/>
    <m/>
    <m/>
    <m/>
    <m/>
    <n v="667676"/>
    <s v="NA"/>
  </r>
  <r>
    <x v="10"/>
    <x v="67"/>
    <n v="3321"/>
    <n v="1184"/>
    <n v="4505"/>
    <s v="NA"/>
    <s v="NA"/>
    <m/>
    <n v="10142"/>
    <n v="1670"/>
    <m/>
    <m/>
    <m/>
    <m/>
    <m/>
    <m/>
    <m/>
    <n v="16317"/>
    <s v="NA"/>
  </r>
  <r>
    <x v="10"/>
    <x v="68"/>
    <n v="63859"/>
    <n v="725"/>
    <n v="64584"/>
    <s v="NA"/>
    <s v="NA"/>
    <m/>
    <n v="466401.00000000099"/>
    <n v="11990"/>
    <m/>
    <m/>
    <m/>
    <m/>
    <m/>
    <m/>
    <m/>
    <n v="542975"/>
    <s v="RSA"/>
  </r>
  <r>
    <x v="10"/>
    <x v="69"/>
    <n v="2026754"/>
    <n v="4259"/>
    <n v="2031013"/>
    <s v="NA"/>
    <s v="NA"/>
    <m/>
    <n v="7204847"/>
    <n v="49688"/>
    <m/>
    <m/>
    <m/>
    <m/>
    <m/>
    <m/>
    <m/>
    <n v="9285548"/>
    <s v="NA"/>
  </r>
  <r>
    <x v="10"/>
    <x v="70"/>
    <n v="3473"/>
    <n v="216891"/>
    <n v="220364"/>
    <s v="NA"/>
    <s v="NA"/>
    <m/>
    <n v="330624.92836546298"/>
    <n v="8843"/>
    <m/>
    <m/>
    <m/>
    <m/>
    <m/>
    <m/>
    <m/>
    <n v="559832"/>
    <s v="NA"/>
  </r>
  <r>
    <x v="10"/>
    <x v="71"/>
    <n v="7317"/>
    <n v="3436"/>
    <n v="10753"/>
    <s v="NA"/>
    <s v="NA"/>
    <m/>
    <n v="17502"/>
    <n v="1458"/>
    <m/>
    <m/>
    <m/>
    <m/>
    <m/>
    <m/>
    <m/>
    <n v="29713"/>
    <s v="NA"/>
  </r>
  <r>
    <x v="11"/>
    <x v="0"/>
    <n v="20485"/>
    <n v="13"/>
    <n v="20498"/>
    <n v="88"/>
    <s v="NA"/>
    <n v="445.56387267522598"/>
    <n v="993.28224683108397"/>
    <n v="2186.78950880499"/>
    <m/>
    <n v="12306"/>
    <n v="8141"/>
    <n v="-948"/>
    <n v="8"/>
    <n v="5"/>
    <n v="-46257.920346553197"/>
    <n v="43724"/>
    <s v="RSA"/>
  </r>
  <r>
    <x v="11"/>
    <x v="1"/>
    <n v="87947"/>
    <n v="0"/>
    <n v="87947"/>
    <s v="NA"/>
    <s v="NA"/>
    <n v="1009.73431882733"/>
    <n v="29451.590063578002"/>
    <n v="24270.289285557501"/>
    <m/>
    <n v="51157"/>
    <n v="31420"/>
    <n v="-9977"/>
    <m/>
    <m/>
    <n v="-119385.759257832"/>
    <n v="215279"/>
    <s v="RSA"/>
  </r>
  <r>
    <x v="11"/>
    <x v="2"/>
    <n v="379925"/>
    <n v="182"/>
    <n v="380107"/>
    <s v="NA"/>
    <s v="NA"/>
    <n v="9531.9041268778092"/>
    <n v="3587.10900002169"/>
    <n v="12823.965938900301"/>
    <m/>
    <n v="44507.673976719801"/>
    <n v="20645.065648364802"/>
    <n v="-3164.5502119854"/>
    <n v="20.9970156245477"/>
    <n v="9.9985788688322206"/>
    <n v="-17776.3637787431"/>
    <n v="468069"/>
    <s v="RSA"/>
  </r>
  <r>
    <x v="11"/>
    <x v="3"/>
    <n v="4741"/>
    <n v="21"/>
    <n v="4762"/>
    <s v="NA"/>
    <s v="NA"/>
    <n v="360.71384999690002"/>
    <n v="413.23638984881001"/>
    <n v="3184.32383650048"/>
    <m/>
    <n v="1673"/>
    <n v="4741"/>
    <n v="-2862"/>
    <n v="7"/>
    <n v="21"/>
    <n v="-26540.739674935201"/>
    <n v="12300"/>
    <s v="RSA"/>
  </r>
  <r>
    <x v="11"/>
    <x v="4"/>
    <n v="5801"/>
    <n v="60"/>
    <n v="5861"/>
    <s v="NA"/>
    <s v="NA"/>
    <n v="3079.5364711555699"/>
    <n v="271.51083277317002"/>
    <n v="716.89429196853803"/>
    <m/>
    <n v="5027"/>
    <n v="1740"/>
    <n v="-2612"/>
    <n v="52"/>
    <n v="18"/>
    <n v="-16983.0908813063"/>
    <n v="14154"/>
    <s v="RSA"/>
  </r>
  <r>
    <x v="11"/>
    <x v="5"/>
    <n v="112189"/>
    <n v="0"/>
    <n v="112189"/>
    <s v="NA"/>
    <s v="NA"/>
    <n v="619.56590924017996"/>
    <n v="147612.71285081701"/>
    <n v="28444.934748669599"/>
    <m/>
    <n v="36462"/>
    <n v="33657"/>
    <n v="-30039"/>
    <m/>
    <m/>
    <n v="-25674.361033204601"/>
    <n v="328946"/>
    <s v="RSA"/>
  </r>
  <r>
    <x v="11"/>
    <x v="6"/>
    <n v="146975"/>
    <n v="495"/>
    <n v="147470"/>
    <s v="NA"/>
    <s v="NA"/>
    <n v="2595.0932499798"/>
    <n v="3474.5347594936402"/>
    <n v="13591.869459424001"/>
    <m/>
    <n v="30379"/>
    <n v="25171"/>
    <n v="-3075"/>
    <n v="91"/>
    <n v="23"/>
    <n v="-34715.312539537299"/>
    <n v="219720"/>
    <s v="RSA"/>
  </r>
  <r>
    <x v="11"/>
    <x v="7"/>
    <n v="9407"/>
    <n v="659"/>
    <n v="10066"/>
    <s v="NA"/>
    <s v="NA"/>
    <n v="666.04113799415597"/>
    <n v="3166.9210184325998"/>
    <n v="8323.5873292579199"/>
    <m/>
    <n v="4409"/>
    <n v="8229"/>
    <n v="-2147"/>
    <n v="325"/>
    <n v="641"/>
    <n v="-19657.4686258662"/>
    <n v="33680"/>
    <s v="RSA"/>
  </r>
  <r>
    <x v="11"/>
    <x v="8"/>
    <n v="11124"/>
    <n v="0"/>
    <n v="11124"/>
    <s v="NA"/>
    <s v="NA"/>
    <n v="2084.5615097465902"/>
    <n v="5770.40598034903"/>
    <n v="2800.5961115503801"/>
    <n v="744"/>
    <n v="7503"/>
    <n v="11386"/>
    <n v="-2454"/>
    <m/>
    <m/>
    <n v="-50121.690874981003"/>
    <n v="38959"/>
    <s v="RSA"/>
  </r>
  <r>
    <x v="11"/>
    <x v="9"/>
    <n v="50691"/>
    <n v="0"/>
    <n v="50691"/>
    <s v="NA"/>
    <s v="NA"/>
    <n v="6947.9985103984"/>
    <n v="177343.453433232"/>
    <n v="37645.023677906604"/>
    <m/>
    <n v="34254"/>
    <n v="52070"/>
    <n v="-47390"/>
    <m/>
    <m/>
    <n v="-104001.684208031"/>
    <n v="311561"/>
    <s v="RSA"/>
  </r>
  <r>
    <x v="11"/>
    <x v="10"/>
    <n v="131764"/>
    <n v="839"/>
    <n v="132603"/>
    <s v="NA"/>
    <s v="NA"/>
    <n v="1171.6259459820501"/>
    <n v="25598.350844830598"/>
    <n v="27196.577740320201"/>
    <m/>
    <n v="43921"/>
    <m/>
    <n v="-3298"/>
    <n v="280"/>
    <m/>
    <n v="-32334.4457603808"/>
    <n v="227473"/>
    <s v="RSA"/>
  </r>
  <r>
    <x v="11"/>
    <x v="11"/>
    <n v="93119"/>
    <n v="40"/>
    <n v="93159"/>
    <s v="NA"/>
    <s v="NA"/>
    <n v="659.14072271600003"/>
    <n v="39612.763430017701"/>
    <n v="59476.204067681501"/>
    <m/>
    <n v="16433"/>
    <m/>
    <n v="-16161"/>
    <n v="7"/>
    <m/>
    <n v="-31154.40459441"/>
    <n v="193186"/>
    <s v="RSA"/>
  </r>
  <r>
    <x v="11"/>
    <x v="12"/>
    <n v="3783"/>
    <n v="270"/>
    <n v="4053"/>
    <s v="NA"/>
    <s v="NA"/>
    <n v="971.00821495927005"/>
    <n v="24014.676142199001"/>
    <n v="25709.095874510302"/>
    <m/>
    <n v="509"/>
    <n v="799"/>
    <n v="-43893"/>
    <n v="36"/>
    <n v="56"/>
    <n v="-46805.116128824797"/>
    <n v="12255"/>
    <s v="RSA"/>
  </r>
  <r>
    <x v="11"/>
    <x v="13"/>
    <n v="75241"/>
    <n v="48"/>
    <n v="75289"/>
    <s v="NA"/>
    <s v="NA"/>
    <n v="0"/>
    <n v="116940.523330639"/>
    <m/>
    <m/>
    <n v="10558"/>
    <n v="19785"/>
    <n v="-64402"/>
    <n v="7"/>
    <n v="13"/>
    <n v="-74934.341761139294"/>
    <n v="158191"/>
    <s v="RSA"/>
  </r>
  <r>
    <x v="11"/>
    <x v="14"/>
    <n v="86964"/>
    <n v="37"/>
    <n v="87001"/>
    <s v="NA"/>
    <s v="NA"/>
    <n v="771.025606673889"/>
    <n v="5547.0013288718501"/>
    <n v="10554.3548830665"/>
    <m/>
    <n v="21741"/>
    <m/>
    <n v="-1514"/>
    <n v="9"/>
    <m/>
    <n v="-41612.771176203503"/>
    <n v="124109"/>
    <s v="RSA"/>
  </r>
  <r>
    <x v="11"/>
    <x v="15"/>
    <n v="146569"/>
    <n v="89"/>
    <n v="146658"/>
    <s v="NA"/>
    <s v="NA"/>
    <n v="138.59854005897699"/>
    <n v="32239.4292456556"/>
    <n v="86809.3326863088"/>
    <m/>
    <m/>
    <m/>
    <m/>
    <m/>
    <m/>
    <n v="-44851.799588860602"/>
    <n v="310697"/>
    <s v="DBE"/>
  </r>
  <r>
    <x v="11"/>
    <x v="16"/>
    <n v="8487"/>
    <n v="220"/>
    <n v="8707"/>
    <s v="NA"/>
    <s v="NA"/>
    <n v="405.21449385030002"/>
    <n v="2910.65554125569"/>
    <n v="7772.0145286685802"/>
    <m/>
    <m/>
    <m/>
    <m/>
    <m/>
    <m/>
    <n v="-16634.660684976599"/>
    <n v="36430"/>
    <s v="DBE"/>
  </r>
  <r>
    <x v="11"/>
    <x v="17"/>
    <n v="27504"/>
    <n v="11"/>
    <n v="27515"/>
    <s v="NA"/>
    <s v="NA"/>
    <n v="528.52630324788197"/>
    <n v="99776.680314908095"/>
    <n v="25942.660717529001"/>
    <m/>
    <m/>
    <m/>
    <m/>
    <m/>
    <m/>
    <n v="-73617.167497404196"/>
    <n v="227380"/>
    <s v="DBE"/>
  </r>
  <r>
    <x v="11"/>
    <x v="18"/>
    <n v="293124"/>
    <n v="20"/>
    <n v="293144"/>
    <s v="NA"/>
    <s v="NA"/>
    <n v="29292.544194735201"/>
    <n v="106039.98391675101"/>
    <n v="100153.610365513"/>
    <m/>
    <m/>
    <m/>
    <m/>
    <m/>
    <m/>
    <n v="-100466.29223568"/>
    <n v="629096"/>
    <s v="DBE"/>
  </r>
  <r>
    <x v="11"/>
    <x v="19"/>
    <n v="83418"/>
    <n v="29"/>
    <n v="83447"/>
    <s v="NA"/>
    <s v="NA"/>
    <n v="10620.431258896801"/>
    <n v="475403.58316958201"/>
    <n v="128945.717086327"/>
    <m/>
    <m/>
    <m/>
    <m/>
    <m/>
    <m/>
    <n v="-274276.50863588898"/>
    <n v="972693"/>
    <s v="DBE"/>
  </r>
  <r>
    <x v="11"/>
    <x v="20"/>
    <n v="36647"/>
    <n v="1827"/>
    <n v="38474"/>
    <s v="NA"/>
    <s v="NA"/>
    <n v="2056.5761568199"/>
    <n v="50143.352590210903"/>
    <n v="21876.419738051402"/>
    <m/>
    <m/>
    <m/>
    <m/>
    <m/>
    <m/>
    <n v="-27326.5252086047"/>
    <n v="139877"/>
    <s v="DBE"/>
  </r>
  <r>
    <x v="11"/>
    <x v="21"/>
    <n v="34498"/>
    <n v="23"/>
    <n v="34521"/>
    <s v="NA"/>
    <s v="NA"/>
    <n v="8.8170946258253107"/>
    <n v="35363.258803782403"/>
    <n v="17275.841494502001"/>
    <m/>
    <m/>
    <m/>
    <m/>
    <m/>
    <m/>
    <n v="-34286.511122395801"/>
    <n v="121455"/>
    <s v="DBE"/>
  </r>
  <r>
    <x v="11"/>
    <x v="22"/>
    <n v="351569"/>
    <n v="312"/>
    <n v="351881"/>
    <s v="NA"/>
    <s v="NA"/>
    <n v="3964.6547847111801"/>
    <n v="168247.58761437301"/>
    <n v="84339.786744790094"/>
    <m/>
    <m/>
    <m/>
    <m/>
    <m/>
    <m/>
    <n v="-130927.220231108"/>
    <n v="739360"/>
    <s v="DBE"/>
  </r>
  <r>
    <x v="11"/>
    <x v="23"/>
    <n v="454397"/>
    <n v="81"/>
    <n v="454478"/>
    <s v="NA"/>
    <s v="NA"/>
    <n v="491.95514139407499"/>
    <n v="305248.10642981098"/>
    <n v="67038.659133004505"/>
    <m/>
    <m/>
    <m/>
    <m/>
    <m/>
    <m/>
    <n v="139159.01011549399"/>
    <n v="827257"/>
    <s v="DBE"/>
  </r>
  <r>
    <x v="11"/>
    <x v="24"/>
    <n v="61574"/>
    <n v="546"/>
    <n v="62120"/>
    <s v="NA"/>
    <s v="NA"/>
    <n v="58.865971160925298"/>
    <n v="10531.9540983482"/>
    <n v="15159.8918484811"/>
    <m/>
    <m/>
    <m/>
    <m/>
    <m/>
    <m/>
    <n v="-33120.121131445201"/>
    <n v="120991"/>
    <s v="DBE"/>
  </r>
  <r>
    <x v="11"/>
    <x v="25"/>
    <n v="138397"/>
    <n v="1024"/>
    <n v="139421"/>
    <s v="NA"/>
    <s v="NA"/>
    <n v="10812.129014526399"/>
    <n v="172557.872915966"/>
    <n v="56454.515619521102"/>
    <m/>
    <m/>
    <m/>
    <m/>
    <m/>
    <m/>
    <n v="-348790.712557355"/>
    <n v="728036"/>
    <s v="DBE"/>
  </r>
  <r>
    <x v="11"/>
    <x v="26"/>
    <n v="907652"/>
    <n v="0"/>
    <n v="907652"/>
    <s v="NA"/>
    <s v="NA"/>
    <n v="57151.378069339597"/>
    <n v="2158874.2691529002"/>
    <n v="108685.489770421"/>
    <m/>
    <m/>
    <m/>
    <m/>
    <m/>
    <m/>
    <n v="-85539.297155990498"/>
    <n v="3317902"/>
    <s v="DBE"/>
  </r>
  <r>
    <x v="11"/>
    <x v="27"/>
    <n v="62994"/>
    <n v="2904"/>
    <n v="65898"/>
    <s v="NA"/>
    <s v="NA"/>
    <n v="699.32775041478601"/>
    <n v="65107.968260088797"/>
    <n v="24871.360014714501"/>
    <m/>
    <m/>
    <m/>
    <m/>
    <m/>
    <m/>
    <n v="-9426.3371907501405"/>
    <n v="166003"/>
    <s v="DBE"/>
  </r>
  <r>
    <x v="11"/>
    <x v="28"/>
    <n v="34362"/>
    <n v="0"/>
    <n v="34362"/>
    <s v="NA"/>
    <s v="NA"/>
    <n v="11.237615445092301"/>
    <n v="41734.647769688097"/>
    <n v="35375.452137109198"/>
    <m/>
    <m/>
    <m/>
    <m/>
    <m/>
    <m/>
    <n v="-16107.724674857"/>
    <n v="127591"/>
    <s v="DBE"/>
  </r>
  <r>
    <x v="11"/>
    <x v="29"/>
    <n v="76462"/>
    <n v="253"/>
    <n v="76715"/>
    <s v="NA"/>
    <s v="NA"/>
    <n v="1090.7002970672199"/>
    <n v="436829.57862702903"/>
    <n v="28944.8274218816"/>
    <m/>
    <m/>
    <m/>
    <m/>
    <m/>
    <m/>
    <n v="-91267.379479985393"/>
    <n v="634847"/>
    <s v="DBE"/>
  </r>
  <r>
    <x v="11"/>
    <x v="30"/>
    <n v="1804969"/>
    <n v="173"/>
    <n v="1805142"/>
    <s v="NA"/>
    <s v="NA"/>
    <n v="10292.945442379199"/>
    <n v="3588400.1992658302"/>
    <n v="194212"/>
    <m/>
    <m/>
    <m/>
    <m/>
    <m/>
    <m/>
    <n v="1018225.26059914"/>
    <n v="5598047"/>
    <s v="DBE"/>
  </r>
  <r>
    <x v="11"/>
    <x v="31"/>
    <n v="19513"/>
    <n v="4379"/>
    <n v="23892"/>
    <s v="NA"/>
    <s v="NA"/>
    <n v="1205.6876726452699"/>
    <n v="237216.03208325701"/>
    <n v="10614.920095518"/>
    <m/>
    <m/>
    <m/>
    <m/>
    <m/>
    <m/>
    <n v="-30066.280453404899"/>
    <n v="302995"/>
    <s v="DBE"/>
  </r>
  <r>
    <x v="11"/>
    <x v="32"/>
    <n v="76860"/>
    <n v="462"/>
    <n v="77322"/>
    <s v="NA"/>
    <s v="NA"/>
    <n v="1272.0067692083601"/>
    <n v="256988.553078684"/>
    <n v="15513"/>
    <m/>
    <m/>
    <m/>
    <m/>
    <m/>
    <m/>
    <n v="-5040.0263933997303"/>
    <n v="356136"/>
    <s v="DBE"/>
  </r>
  <r>
    <x v="11"/>
    <x v="33"/>
    <n v="189079"/>
    <n v="981"/>
    <n v="190060"/>
    <s v="NA"/>
    <s v="NA"/>
    <n v="8047.83208329837"/>
    <n v="600691.58938756702"/>
    <n v="29812"/>
    <m/>
    <m/>
    <m/>
    <m/>
    <m/>
    <m/>
    <n v="-16906.183156784999"/>
    <n v="845518"/>
    <s v="DBE"/>
  </r>
  <r>
    <x v="11"/>
    <x v="34"/>
    <n v="575697"/>
    <n v="94"/>
    <n v="575791"/>
    <s v="NA"/>
    <s v="NA"/>
    <n v="34122.385014729698"/>
    <n v="2791415.3103574701"/>
    <n v="90640"/>
    <m/>
    <m/>
    <m/>
    <m/>
    <m/>
    <m/>
    <n v="7987.8581595394799"/>
    <n v="3491969"/>
    <s v="DBE"/>
  </r>
  <r>
    <x v="11"/>
    <x v="35"/>
    <n v="7117"/>
    <n v="4342"/>
    <n v="11459"/>
    <s v="NA"/>
    <s v="NA"/>
    <n v="0"/>
    <n v="8040.6676884540302"/>
    <n v="3232"/>
    <m/>
    <m/>
    <m/>
    <m/>
    <m/>
    <m/>
    <n v="5800.00770197575"/>
    <n v="22732"/>
    <s v="DBE"/>
  </r>
  <r>
    <x v="11"/>
    <x v="36"/>
    <n v="6472"/>
    <n v="52"/>
    <n v="6524"/>
    <s v="NA"/>
    <s v="NA"/>
    <n v="0"/>
    <n v="8858.7950185361606"/>
    <n v="5755"/>
    <m/>
    <m/>
    <m/>
    <m/>
    <m/>
    <m/>
    <n v="140.72275615459"/>
    <n v="21138"/>
    <s v="DBE"/>
  </r>
  <r>
    <x v="11"/>
    <x v="37"/>
    <n v="28715"/>
    <n v="0"/>
    <n v="28715"/>
    <s v="NA"/>
    <s v="NA"/>
    <n v="0"/>
    <n v="71859.950270596106"/>
    <n v="10105.3845863311"/>
    <m/>
    <m/>
    <m/>
    <m/>
    <m/>
    <m/>
    <n v="-4893.8402905905396"/>
    <n v="115574"/>
    <s v="DBE"/>
  </r>
  <r>
    <x v="11"/>
    <x v="38"/>
    <n v="274621"/>
    <n v="21"/>
    <n v="274642"/>
    <s v="NA"/>
    <s v="NA"/>
    <n v="188.38372641079999"/>
    <n v="1607891.67357825"/>
    <n v="53317.7931245949"/>
    <m/>
    <m/>
    <m/>
    <m/>
    <m/>
    <m/>
    <n v="49254.264219792502"/>
    <n v="1936040"/>
    <s v="DBE"/>
  </r>
  <r>
    <x v="11"/>
    <x v="39"/>
    <n v="1228"/>
    <n v="0"/>
    <n v="1228"/>
    <s v="NA"/>
    <s v="NA"/>
    <n v="0"/>
    <n v="19163.3130742994"/>
    <n v="1375.1125097486899"/>
    <m/>
    <m/>
    <m/>
    <m/>
    <m/>
    <m/>
    <n v="-2780.6563821004002"/>
    <n v="24547"/>
    <s v="DBE"/>
  </r>
  <r>
    <x v="11"/>
    <x v="40"/>
    <n v="2246"/>
    <n v="0"/>
    <n v="2246"/>
    <s v="NA"/>
    <s v="NA"/>
    <n v="897.49739240585802"/>
    <n v="4773.4263368521397"/>
    <n v="2163.34709861798"/>
    <m/>
    <m/>
    <m/>
    <m/>
    <m/>
    <m/>
    <n v="2404.84762084248"/>
    <n v="10080"/>
    <s v="DBE"/>
  </r>
  <r>
    <x v="11"/>
    <x v="41"/>
    <n v="16758"/>
    <n v="0"/>
    <n v="16758"/>
    <s v="NA"/>
    <s v="NA"/>
    <m/>
    <n v="65215.070689756401"/>
    <n v="11483.7876895832"/>
    <m/>
    <m/>
    <m/>
    <m/>
    <m/>
    <m/>
    <n v="3403.74841412966"/>
    <n v="93457"/>
    <s v="DBE"/>
  </r>
  <r>
    <x v="11"/>
    <x v="42"/>
    <n v="249494"/>
    <n v="205"/>
    <n v="249699"/>
    <s v="NA"/>
    <s v="NA"/>
    <m/>
    <n v="982155.279919405"/>
    <n v="63914.949666366701"/>
    <m/>
    <m/>
    <m/>
    <m/>
    <m/>
    <m/>
    <n v="-57530.246361056801"/>
    <n v="1353299"/>
    <s v="DBE"/>
  </r>
  <r>
    <x v="11"/>
    <x v="43"/>
    <n v="946"/>
    <n v="33"/>
    <n v="979"/>
    <s v="NA"/>
    <s v="NA"/>
    <m/>
    <n v="3038.7674726331102"/>
    <n v="536.38351838661504"/>
    <m/>
    <m/>
    <m/>
    <m/>
    <m/>
    <m/>
    <n v="-72.619795114652902"/>
    <n v="4627"/>
    <s v="DBE"/>
  </r>
  <r>
    <x v="11"/>
    <x v="44"/>
    <n v="31918"/>
    <n v="0"/>
    <n v="31918"/>
    <s v="NA"/>
    <s v="NA"/>
    <m/>
    <n v="174793.63950660499"/>
    <n v="7105.2857194637199"/>
    <m/>
    <m/>
    <m/>
    <m/>
    <m/>
    <m/>
    <n v="12341.097516837401"/>
    <n v="213817"/>
    <s v="DBE"/>
  </r>
  <r>
    <x v="11"/>
    <x v="45"/>
    <n v="12738"/>
    <n v="289"/>
    <n v="13027"/>
    <s v="NA"/>
    <s v="NA"/>
    <m/>
    <n v="39380.623862080902"/>
    <n v="3822.74483966959"/>
    <m/>
    <m/>
    <m/>
    <m/>
    <m/>
    <m/>
    <n v="-1174.7325661125501"/>
    <n v="57405"/>
    <s v="DBE"/>
  </r>
  <r>
    <x v="11"/>
    <x v="46"/>
    <n v="146459"/>
    <n v="170"/>
    <n v="146629"/>
    <s v="NA"/>
    <s v="NA"/>
    <m/>
    <n v="500113.90123114502"/>
    <n v="19304.285887453501"/>
    <m/>
    <m/>
    <m/>
    <m/>
    <m/>
    <m/>
    <n v="-22922.644708011201"/>
    <n v="688970"/>
    <s v="DBE"/>
  </r>
  <r>
    <x v="11"/>
    <x v="47"/>
    <n v="2898"/>
    <n v="102"/>
    <n v="3000"/>
    <s v="NA"/>
    <s v="NA"/>
    <m/>
    <n v="11936"/>
    <n v="1534"/>
    <m/>
    <m/>
    <m/>
    <m/>
    <m/>
    <m/>
    <m/>
    <n v="16470"/>
    <s v="NA"/>
  </r>
  <r>
    <x v="11"/>
    <x v="48"/>
    <n v="14229"/>
    <n v="0"/>
    <n v="14229"/>
    <s v="NA"/>
    <s v="NA"/>
    <m/>
    <n v="44446"/>
    <n v="6852"/>
    <m/>
    <m/>
    <m/>
    <m/>
    <m/>
    <m/>
    <m/>
    <n v="65527"/>
    <s v="RSA"/>
  </r>
  <r>
    <x v="11"/>
    <x v="49"/>
    <n v="14190"/>
    <n v="437"/>
    <n v="14627"/>
    <s v="NA"/>
    <s v="NA"/>
    <m/>
    <n v="68819"/>
    <n v="8205"/>
    <m/>
    <m/>
    <m/>
    <m/>
    <m/>
    <m/>
    <m/>
    <n v="91651"/>
    <s v="NA"/>
  </r>
  <r>
    <x v="11"/>
    <x v="50"/>
    <n v="214230"/>
    <n v="113"/>
    <n v="214343"/>
    <s v="NA"/>
    <s v="NA"/>
    <m/>
    <n v="1359283"/>
    <n v="33544"/>
    <m/>
    <m/>
    <m/>
    <m/>
    <m/>
    <m/>
    <m/>
    <n v="1607170"/>
    <s v="NA"/>
  </r>
  <r>
    <x v="11"/>
    <x v="51"/>
    <n v="7341"/>
    <n v="1363"/>
    <n v="8704"/>
    <s v="NA"/>
    <s v="NA"/>
    <m/>
    <n v="27472"/>
    <n v="4011"/>
    <m/>
    <m/>
    <m/>
    <m/>
    <m/>
    <m/>
    <m/>
    <n v="40187"/>
    <s v="NA"/>
  </r>
  <r>
    <x v="11"/>
    <x v="52"/>
    <n v="1535"/>
    <n v="0"/>
    <n v="1535"/>
    <s v="NA"/>
    <s v="NA"/>
    <m/>
    <n v="6138"/>
    <n v="472"/>
    <m/>
    <m/>
    <m/>
    <m/>
    <m/>
    <m/>
    <m/>
    <n v="8145"/>
    <s v="NA"/>
  </r>
  <r>
    <x v="11"/>
    <x v="53"/>
    <n v="14978"/>
    <n v="77"/>
    <n v="15055"/>
    <s v="NA"/>
    <s v="NA"/>
    <m/>
    <n v="76204.000000000102"/>
    <n v="2762"/>
    <m/>
    <m/>
    <m/>
    <m/>
    <m/>
    <m/>
    <m/>
    <n v="94021"/>
    <s v="NA"/>
  </r>
  <r>
    <x v="11"/>
    <x v="54"/>
    <n v="207014"/>
    <n v="43"/>
    <n v="207057"/>
    <s v="NA"/>
    <s v="NA"/>
    <m/>
    <n v="859005"/>
    <n v="37895"/>
    <m/>
    <m/>
    <m/>
    <m/>
    <m/>
    <m/>
    <m/>
    <n v="1103957"/>
    <s v="NA"/>
  </r>
  <r>
    <x v="11"/>
    <x v="55"/>
    <n v="389"/>
    <n v="81"/>
    <n v="470"/>
    <s v="NA"/>
    <s v="NA"/>
    <m/>
    <n v="1556.7391435171901"/>
    <n v="135"/>
    <m/>
    <m/>
    <m/>
    <m/>
    <m/>
    <m/>
    <m/>
    <n v="2162"/>
    <s v="NA"/>
  </r>
  <r>
    <x v="11"/>
    <x v="56"/>
    <n v="1629"/>
    <n v="13"/>
    <n v="1642"/>
    <s v="NA"/>
    <s v="NA"/>
    <m/>
    <n v="11951.2544365061"/>
    <n v="295"/>
    <m/>
    <m/>
    <m/>
    <m/>
    <m/>
    <m/>
    <m/>
    <n v="13888"/>
    <s v="NA"/>
  </r>
  <r>
    <x v="11"/>
    <x v="57"/>
    <n v="9027"/>
    <n v="5"/>
    <n v="9032"/>
    <s v="NA"/>
    <s v="NA"/>
    <m/>
    <n v="40786"/>
    <n v="1264"/>
    <m/>
    <m/>
    <m/>
    <m/>
    <m/>
    <m/>
    <m/>
    <n v="51082"/>
    <s v="NA"/>
  </r>
  <r>
    <x v="11"/>
    <x v="58"/>
    <n v="214943"/>
    <n v="15"/>
    <n v="214958"/>
    <s v="NA"/>
    <s v="NA"/>
    <m/>
    <n v="525558"/>
    <n v="32846"/>
    <m/>
    <m/>
    <m/>
    <m/>
    <m/>
    <m/>
    <m/>
    <n v="773362"/>
    <s v="NA"/>
  </r>
  <r>
    <x v="11"/>
    <x v="59"/>
    <n v="1816"/>
    <n v="84"/>
    <n v="1900"/>
    <s v="NA"/>
    <s v="NA"/>
    <m/>
    <n v="6413.35149073706"/>
    <n v="933"/>
    <m/>
    <m/>
    <m/>
    <m/>
    <m/>
    <m/>
    <m/>
    <n v="9246"/>
    <s v="RSA"/>
  </r>
  <r>
    <x v="11"/>
    <x v="60"/>
    <n v="3222"/>
    <n v="15"/>
    <n v="3237"/>
    <s v="NA"/>
    <s v="NA"/>
    <m/>
    <n v="3430.69668141593"/>
    <n v="411"/>
    <m/>
    <m/>
    <m/>
    <m/>
    <m/>
    <m/>
    <m/>
    <n v="7079"/>
    <s v="NA"/>
  </r>
  <r>
    <x v="11"/>
    <x v="61"/>
    <n v="18643"/>
    <n v="46"/>
    <n v="18689"/>
    <s v="NA"/>
    <s v="NA"/>
    <m/>
    <n v="31570"/>
    <n v="4768"/>
    <m/>
    <m/>
    <m/>
    <m/>
    <m/>
    <m/>
    <m/>
    <n v="55027"/>
    <s v="NA"/>
  </r>
  <r>
    <x v="11"/>
    <x v="62"/>
    <n v="410887"/>
    <n v="218"/>
    <n v="411105"/>
    <s v="NA"/>
    <s v="NA"/>
    <m/>
    <n v="749907"/>
    <n v="44877"/>
    <m/>
    <m/>
    <m/>
    <m/>
    <m/>
    <m/>
    <m/>
    <n v="1205889"/>
    <s v="NA"/>
  </r>
  <r>
    <x v="11"/>
    <x v="63"/>
    <n v="2396"/>
    <n v="565"/>
    <n v="2961"/>
    <s v="NA"/>
    <s v="NA"/>
    <m/>
    <n v="11112"/>
    <n v="389"/>
    <m/>
    <m/>
    <m/>
    <m/>
    <m/>
    <m/>
    <m/>
    <n v="14462"/>
    <s v="RSA"/>
  </r>
  <r>
    <x v="11"/>
    <x v="64"/>
    <n v="8225"/>
    <n v="0"/>
    <n v="8225"/>
    <s v="NA"/>
    <s v="NA"/>
    <m/>
    <n v="39717"/>
    <n v="463"/>
    <m/>
    <m/>
    <m/>
    <m/>
    <m/>
    <m/>
    <m/>
    <n v="48405"/>
    <s v="NA"/>
  </r>
  <r>
    <x v="11"/>
    <x v="65"/>
    <n v="23619"/>
    <n v="19"/>
    <n v="23638"/>
    <s v="NA"/>
    <s v="NA"/>
    <m/>
    <n v="109671.719725584"/>
    <n v="3195.94943343868"/>
    <m/>
    <m/>
    <m/>
    <m/>
    <m/>
    <m/>
    <m/>
    <n v="136506"/>
    <s v="NA"/>
  </r>
  <r>
    <x v="11"/>
    <x v="66"/>
    <n v="531108"/>
    <n v="22"/>
    <n v="531130"/>
    <s v="NA"/>
    <s v="NA"/>
    <m/>
    <n v="828831"/>
    <n v="22544"/>
    <m/>
    <m/>
    <m/>
    <m/>
    <m/>
    <m/>
    <m/>
    <n v="1382505"/>
    <s v="NA"/>
  </r>
  <r>
    <x v="11"/>
    <x v="67"/>
    <n v="913"/>
    <n v="541"/>
    <n v="1454"/>
    <s v="NA"/>
    <s v="NA"/>
    <m/>
    <n v="9039.9999999999909"/>
    <n v="1020"/>
    <m/>
    <m/>
    <m/>
    <m/>
    <m/>
    <m/>
    <m/>
    <n v="11514"/>
    <s v="NA"/>
  </r>
  <r>
    <x v="11"/>
    <x v="68"/>
    <n v="7582"/>
    <n v="36"/>
    <n v="7618"/>
    <s v="NA"/>
    <s v="NA"/>
    <m/>
    <n v="45281"/>
    <n v="2415"/>
    <m/>
    <m/>
    <m/>
    <m/>
    <m/>
    <m/>
    <m/>
    <n v="55314"/>
    <s v="RSA"/>
  </r>
  <r>
    <x v="11"/>
    <x v="69"/>
    <n v="5470"/>
    <n v="0"/>
    <n v="5470"/>
    <s v="NA"/>
    <s v="NA"/>
    <m/>
    <n v="30189.772924250301"/>
    <n v="782.24128965158695"/>
    <m/>
    <m/>
    <m/>
    <m/>
    <m/>
    <m/>
    <m/>
    <n v="36442"/>
    <s v="NA"/>
  </r>
  <r>
    <x v="11"/>
    <x v="70"/>
    <n v="368634"/>
    <n v="389"/>
    <n v="369023"/>
    <s v="NA"/>
    <s v="NA"/>
    <m/>
    <n v="1048400"/>
    <n v="24207"/>
    <m/>
    <m/>
    <m/>
    <m/>
    <m/>
    <m/>
    <m/>
    <n v="1441630"/>
    <s v="NA"/>
  </r>
  <r>
    <x v="11"/>
    <x v="71"/>
    <n v="35"/>
    <n v="1940"/>
    <n v="1975"/>
    <s v="NA"/>
    <s v="NA"/>
    <m/>
    <n v="1300"/>
    <n v="31"/>
    <m/>
    <m/>
    <m/>
    <m/>
    <m/>
    <m/>
    <m/>
    <n v="3306"/>
    <s v="NA"/>
  </r>
  <r>
    <x v="12"/>
    <x v="0"/>
    <n v="110875"/>
    <n v="689"/>
    <n v="111564"/>
    <s v="NA"/>
    <s v="NA"/>
    <n v="61.673507846906098"/>
    <n v="1906.7448886715099"/>
    <n v="2078.8230229843098"/>
    <m/>
    <n v="74519"/>
    <m/>
    <m/>
    <n v="459"/>
    <m/>
    <n v="-35547.054641642702"/>
    <n v="190589"/>
    <s v="RSA"/>
  </r>
  <r>
    <x v="12"/>
    <x v="1"/>
    <n v="333428"/>
    <n v="0"/>
    <n v="333428"/>
    <s v="NA"/>
    <s v="NA"/>
    <n v="1104.7885761667401"/>
    <n v="13924.013730258001"/>
    <n v="20685.643541267"/>
    <m/>
    <n v="142898"/>
    <m/>
    <m/>
    <m/>
    <m/>
    <n v="90391.244719965893"/>
    <n v="512040"/>
    <s v="RSA"/>
  </r>
  <r>
    <x v="12"/>
    <x v="2"/>
    <n v="12519"/>
    <n v="376"/>
    <n v="12895"/>
    <s v="NA"/>
    <s v="NA"/>
    <n v="3.9704548079379598"/>
    <n v="107.576374932913"/>
    <n v="267.55667182187102"/>
    <m/>
    <n v="5365"/>
    <m/>
    <m/>
    <n v="161"/>
    <m/>
    <n v="4983.7125125609"/>
    <n v="18800"/>
    <s v="RSA"/>
  </r>
  <r>
    <x v="12"/>
    <x v="3"/>
    <n v="29345"/>
    <n v="0"/>
    <n v="29345"/>
    <s v="NA"/>
    <s v="NA"/>
    <n v="40.746002906000001"/>
    <n v="367.37712601440302"/>
    <n v="258.74227628612698"/>
    <m/>
    <n v="12595"/>
    <m/>
    <m/>
    <m/>
    <m/>
    <n v="13119.122318370901"/>
    <n v="42607"/>
    <s v="RSA"/>
  </r>
  <r>
    <x v="12"/>
    <x v="4"/>
    <n v="23196"/>
    <n v="45"/>
    <n v="23241"/>
    <s v="NA"/>
    <s v="NA"/>
    <n v="2823.5598725812001"/>
    <n v="540.11039509929003"/>
    <n v="1476.5560418026901"/>
    <m/>
    <n v="54124"/>
    <m/>
    <m/>
    <n v="105"/>
    <m/>
    <n v="-29053.174900188202"/>
    <n v="82310"/>
    <s v="RSA"/>
  </r>
  <r>
    <x v="12"/>
    <x v="5"/>
    <n v="177194"/>
    <n v="0"/>
    <n v="177194"/>
    <s v="NA"/>
    <s v="NA"/>
    <n v="669.6135418824"/>
    <n v="92823.210139559407"/>
    <n v="45701.193588592803"/>
    <n v="43"/>
    <n v="95412"/>
    <m/>
    <n v="1393"/>
    <m/>
    <m/>
    <n v="-35341.968143783299"/>
    <n v="413236"/>
    <s v="RSA"/>
  </r>
  <r>
    <x v="12"/>
    <x v="6"/>
    <n v="4991"/>
    <n v="331"/>
    <n v="5322"/>
    <s v="NA"/>
    <s v="NA"/>
    <n v="47.612771274869999"/>
    <n v="57.254004080161003"/>
    <n v="104.213581615978"/>
    <n v="100"/>
    <n v="995"/>
    <n v="650"/>
    <n v="231"/>
    <n v="66"/>
    <n v="43"/>
    <n v="2105.4751282740499"/>
    <n v="7616"/>
    <s v="RSA"/>
  </r>
  <r>
    <x v="12"/>
    <x v="7"/>
    <n v="26632"/>
    <n v="0"/>
    <n v="26632"/>
    <s v="NA"/>
    <s v="NA"/>
    <n v="661.72597486799998"/>
    <n v="1775.4910814300499"/>
    <n v="7193.87747184401"/>
    <m/>
    <n v="6658"/>
    <m/>
    <n v="750"/>
    <m/>
    <m/>
    <n v="-1004.18416756599"/>
    <n v="43671"/>
    <s v="RSA"/>
  </r>
  <r>
    <x v="12"/>
    <x v="8"/>
    <n v="34418"/>
    <n v="16"/>
    <n v="34434"/>
    <s v="NA"/>
    <s v="NA"/>
    <n v="135.58016999905001"/>
    <n v="4625.0314252711596"/>
    <n v="10669.9536609265"/>
    <n v="630"/>
    <n v="27471"/>
    <n v="6789"/>
    <n v="2065"/>
    <n v="15"/>
    <n v="7"/>
    <n v="-43243.432988219698"/>
    <n v="86842"/>
    <s v="RSA"/>
  </r>
  <r>
    <x v="12"/>
    <x v="9"/>
    <n v="61389"/>
    <n v="0"/>
    <n v="61389"/>
    <s v="NA"/>
    <s v="NA"/>
    <n v="812.11087789999999"/>
    <n v="11400.4103079872"/>
    <n v="24367.673665700699"/>
    <m/>
    <n v="19840"/>
    <n v="17972"/>
    <n v="12559"/>
    <m/>
    <m/>
    <n v="-2727.4496848725798"/>
    <n v="148340"/>
    <s v="RSA"/>
  </r>
  <r>
    <x v="12"/>
    <x v="10"/>
    <n v="13220"/>
    <n v="273"/>
    <n v="13493"/>
    <s v="NA"/>
    <s v="NA"/>
    <n v="15.1168716881"/>
    <n v="564.41540859384304"/>
    <n v="2056.6776663810901"/>
    <m/>
    <n v="5666"/>
    <m/>
    <n v="815"/>
    <n v="117"/>
    <m/>
    <n v="-1043.2543000870601"/>
    <n v="22727"/>
    <s v="RSA"/>
  </r>
  <r>
    <x v="12"/>
    <x v="11"/>
    <n v="30942"/>
    <n v="0"/>
    <n v="30942"/>
    <s v="NA"/>
    <s v="NA"/>
    <n v="3.2813823474768"/>
    <n v="1488.08291710448"/>
    <n v="8032.4766169637996"/>
    <n v="13022"/>
    <n v="22406"/>
    <m/>
    <n v="3940"/>
    <m/>
    <m/>
    <n v="12899.916902363901"/>
    <n v="79834"/>
    <s v="RSA"/>
  </r>
  <r>
    <x v="12"/>
    <x v="12"/>
    <n v="10056"/>
    <n v="4"/>
    <n v="10060"/>
    <s v="NA"/>
    <s v="NA"/>
    <n v="0.90529087354896398"/>
    <n v="2638.9442799837502"/>
    <n v="7607.5870252783898"/>
    <m/>
    <n v="5028"/>
    <m/>
    <n v="2745"/>
    <n v="2"/>
    <m/>
    <n v="-14794.854179727699"/>
    <n v="28082"/>
    <s v="RSA"/>
  </r>
  <r>
    <x v="12"/>
    <x v="13"/>
    <n v="26142"/>
    <n v="0"/>
    <n v="26142"/>
    <s v="NA"/>
    <s v="NA"/>
    <n v="0"/>
    <n v="1555.0725360159399"/>
    <m/>
    <m/>
    <n v="5545"/>
    <m/>
    <n v="5911"/>
    <m/>
    <m/>
    <n v="7976.2699085125096"/>
    <n v="39153"/>
    <s v="RSA"/>
  </r>
  <r>
    <x v="12"/>
    <x v="14"/>
    <n v="11400"/>
    <n v="2"/>
    <n v="11402"/>
    <s v="NA"/>
    <s v="NA"/>
    <n v="129.52924224928799"/>
    <n v="1053.1444571719901"/>
    <n v="4050.6603451588699"/>
    <m/>
    <n v="12712"/>
    <n v="1312"/>
    <m/>
    <n v="2"/>
    <m/>
    <n v="-6686.0810568475799"/>
    <n v="30661"/>
    <s v="RSA"/>
  </r>
  <r>
    <x v="12"/>
    <x v="15"/>
    <n v="65975"/>
    <n v="0"/>
    <n v="65975"/>
    <s v="NA"/>
    <s v="NA"/>
    <n v="5.3825176989500002E-3"/>
    <n v="8938.8951858449"/>
    <n v="31161.4138720433"/>
    <m/>
    <m/>
    <m/>
    <m/>
    <m/>
    <m/>
    <n v="-11993.234605956701"/>
    <n v="118069"/>
    <s v="DBE"/>
  </r>
  <r>
    <x v="12"/>
    <x v="16"/>
    <n v="1741"/>
    <n v="32"/>
    <n v="1773"/>
    <s v="NA"/>
    <s v="NA"/>
    <n v="0.60551979546599999"/>
    <n v="52.964086844354199"/>
    <n v="176.025308430519"/>
    <m/>
    <m/>
    <m/>
    <m/>
    <m/>
    <m/>
    <n v="1463.4418860282599"/>
    <n v="2003"/>
    <s v="DBE"/>
  </r>
  <r>
    <x v="12"/>
    <x v="17"/>
    <n v="8655"/>
    <n v="0"/>
    <n v="8655"/>
    <s v="NA"/>
    <s v="NA"/>
    <n v="7.8108132117589397"/>
    <n v="4278.13994335593"/>
    <n v="6262.2875653337096"/>
    <m/>
    <m/>
    <m/>
    <m/>
    <m/>
    <m/>
    <n v="-9376.2851134382709"/>
    <n v="28580"/>
    <s v="DBE"/>
  </r>
  <r>
    <x v="12"/>
    <x v="18"/>
    <n v="21834"/>
    <n v="0"/>
    <n v="21834"/>
    <s v="NA"/>
    <s v="NA"/>
    <n v="6172.7992863293402"/>
    <n v="3843.0531282086599"/>
    <n v="7727.0623666976899"/>
    <m/>
    <m/>
    <m/>
    <m/>
    <m/>
    <m/>
    <n v="-8235.0890412321296"/>
    <n v="47812"/>
    <s v="DBE"/>
  </r>
  <r>
    <x v="12"/>
    <x v="19"/>
    <n v="22603"/>
    <n v="0"/>
    <n v="22603"/>
    <s v="NA"/>
    <s v="NA"/>
    <n v="349.005689515771"/>
    <n v="39875.6129911178"/>
    <n v="37428.420807155097"/>
    <m/>
    <m/>
    <m/>
    <m/>
    <m/>
    <m/>
    <n v="-74619.473107738697"/>
    <n v="174876"/>
    <s v="DBE"/>
  </r>
  <r>
    <x v="12"/>
    <x v="20"/>
    <n v="3163"/>
    <n v="0"/>
    <n v="3163"/>
    <s v="NA"/>
    <s v="NA"/>
    <n v="68.507411173604794"/>
    <n v="413.62720742290099"/>
    <n v="945.87925780155297"/>
    <m/>
    <m/>
    <m/>
    <m/>
    <m/>
    <m/>
    <n v="-413.107176892204"/>
    <n v="5004"/>
    <s v="DBE"/>
  </r>
  <r>
    <x v="12"/>
    <x v="21"/>
    <n v="1925"/>
    <n v="0"/>
    <n v="1925"/>
    <s v="NA"/>
    <s v="NA"/>
    <n v="0.217359665692858"/>
    <n v="1216.5338065963999"/>
    <n v="1129.9618776356201"/>
    <m/>
    <m/>
    <m/>
    <m/>
    <m/>
    <m/>
    <n v="-3648.6915364449001"/>
    <n v="7920"/>
    <s v="DBE"/>
  </r>
  <r>
    <x v="12"/>
    <x v="22"/>
    <n v="54855"/>
    <n v="9"/>
    <n v="54864"/>
    <s v="NA"/>
    <s v="NA"/>
    <n v="43.118089765045703"/>
    <n v="9366.5533465478202"/>
    <n v="17519.926240398399"/>
    <m/>
    <m/>
    <m/>
    <m/>
    <m/>
    <m/>
    <n v="-9027.7717375627108"/>
    <n v="90821"/>
    <s v="DBE"/>
  </r>
  <r>
    <x v="12"/>
    <x v="23"/>
    <n v="199381"/>
    <n v="0"/>
    <n v="199381"/>
    <s v="NA"/>
    <s v="NA"/>
    <n v="125.384829538015"/>
    <n v="93940.114232644206"/>
    <n v="66620.534418492301"/>
    <m/>
    <m/>
    <m/>
    <m/>
    <m/>
    <m/>
    <n v="47474.999199632199"/>
    <n v="360067"/>
    <s v="DBE"/>
  </r>
  <r>
    <x v="12"/>
    <x v="24"/>
    <n v="10338"/>
    <n v="4"/>
    <n v="10342"/>
    <s v="NA"/>
    <s v="NA"/>
    <n v="4.3762809018642601"/>
    <n v="7638.8786854003101"/>
    <n v="16816.499593376899"/>
    <m/>
    <m/>
    <m/>
    <m/>
    <m/>
    <m/>
    <n v="-64058.1345210613"/>
    <n v="98860"/>
    <s v="DBE"/>
  </r>
  <r>
    <x v="12"/>
    <x v="25"/>
    <n v="3705"/>
    <n v="19"/>
    <n v="3724"/>
    <s v="NA"/>
    <s v="NA"/>
    <n v="20.178741581461701"/>
    <n v="2524.28785252736"/>
    <n v="2523.4254920411199"/>
    <m/>
    <m/>
    <m/>
    <m/>
    <m/>
    <m/>
    <n v="-5438.7195521766498"/>
    <n v="14231"/>
    <s v="DBE"/>
  </r>
  <r>
    <x v="12"/>
    <x v="26"/>
    <n v="9499"/>
    <n v="0"/>
    <n v="9499"/>
    <s v="NA"/>
    <s v="NA"/>
    <n v="1730.0654829458299"/>
    <n v="43605.834147323498"/>
    <n v="10753.8328923883"/>
    <m/>
    <m/>
    <m/>
    <m/>
    <m/>
    <m/>
    <n v="-29051.010049797002"/>
    <n v="94640"/>
    <s v="DBE"/>
  </r>
  <r>
    <x v="12"/>
    <x v="27"/>
    <n v="38654"/>
    <n v="0"/>
    <n v="38654"/>
    <s v="NA"/>
    <s v="NA"/>
    <n v="2.0751619977134799"/>
    <n v="12724.897334899"/>
    <n v="19164.3005065588"/>
    <m/>
    <m/>
    <m/>
    <m/>
    <m/>
    <m/>
    <n v="-39654.227207362099"/>
    <n v="110200"/>
    <s v="DBE"/>
  </r>
  <r>
    <x v="12"/>
    <x v="28"/>
    <n v="23998"/>
    <n v="8"/>
    <n v="24006"/>
    <s v="NA"/>
    <s v="NA"/>
    <n v="1.1829833143586899E-15"/>
    <n v="14955.323558456999"/>
    <n v="17506.908805220901"/>
    <m/>
    <m/>
    <m/>
    <m/>
    <m/>
    <m/>
    <n v="-25183.208901759499"/>
    <n v="81651"/>
    <s v="DBE"/>
  </r>
  <r>
    <x v="12"/>
    <x v="29"/>
    <n v="2008"/>
    <n v="89"/>
    <n v="2097"/>
    <s v="NA"/>
    <s v="NA"/>
    <n v="6.9938796966367898"/>
    <n v="3879.8010461191002"/>
    <n v="8026.8520022144303"/>
    <m/>
    <m/>
    <m/>
    <m/>
    <m/>
    <m/>
    <n v="3982.0155220550701"/>
    <n v="14011"/>
    <s v="DBE"/>
  </r>
  <r>
    <x v="12"/>
    <x v="30"/>
    <n v="9595"/>
    <n v="0"/>
    <n v="9595"/>
    <s v="NA"/>
    <s v="NA"/>
    <n v="32.842530125953097"/>
    <n v="14887.1217490171"/>
    <n v="2656.57026173449"/>
    <m/>
    <m/>
    <m/>
    <m/>
    <m/>
    <m/>
    <n v="-9617.1773230900108"/>
    <n v="36789"/>
    <s v="DBE"/>
  </r>
  <r>
    <x v="12"/>
    <x v="31"/>
    <n v="7728"/>
    <n v="0"/>
    <n v="7728"/>
    <s v="NA"/>
    <s v="NA"/>
    <n v="173.993762596474"/>
    <n v="43811.085147033198"/>
    <n v="26490.7690820633"/>
    <m/>
    <m/>
    <m/>
    <m/>
    <m/>
    <m/>
    <n v="-23386.428694571699"/>
    <n v="101590"/>
    <s v="DBE"/>
  </r>
  <r>
    <x v="12"/>
    <x v="32"/>
    <n v="61074"/>
    <n v="0"/>
    <n v="61074"/>
    <s v="NA"/>
    <s v="NA"/>
    <n v="0"/>
    <n v="82518.761742879695"/>
    <n v="31763.9909765587"/>
    <m/>
    <m/>
    <m/>
    <m/>
    <m/>
    <m/>
    <n v="-17760.6694674719"/>
    <n v="193117"/>
    <s v="DBE"/>
  </r>
  <r>
    <x v="12"/>
    <x v="33"/>
    <n v="6033"/>
    <n v="14"/>
    <n v="6047"/>
    <s v="NA"/>
    <s v="NA"/>
    <n v="15.62720812379"/>
    <n v="11095.342946435399"/>
    <n v="5786"/>
    <m/>
    <m/>
    <m/>
    <m/>
    <m/>
    <m/>
    <n v="-17393.611326517101"/>
    <n v="40338"/>
    <s v="DBE"/>
  </r>
  <r>
    <x v="12"/>
    <x v="34"/>
    <n v="5008"/>
    <n v="0"/>
    <n v="5008"/>
    <s v="NA"/>
    <s v="NA"/>
    <n v="97.478824749836207"/>
    <n v="36736.319682442801"/>
    <n v="4201"/>
    <m/>
    <m/>
    <m/>
    <m/>
    <m/>
    <m/>
    <n v="-7602.8875943097901"/>
    <n v="53646"/>
    <s v="DBE"/>
  </r>
  <r>
    <x v="12"/>
    <x v="35"/>
    <n v="9311"/>
    <n v="0"/>
    <n v="9311"/>
    <s v="NA"/>
    <s v="NA"/>
    <n v="0"/>
    <n v="15775.3498528817"/>
    <n v="9287"/>
    <m/>
    <m/>
    <m/>
    <m/>
    <m/>
    <m/>
    <n v="-2899.2004728796101"/>
    <n v="37273"/>
    <s v="DBE"/>
  </r>
  <r>
    <x v="12"/>
    <x v="36"/>
    <n v="38515"/>
    <n v="0"/>
    <n v="38515"/>
    <s v="NA"/>
    <s v="NA"/>
    <n v="0"/>
    <n v="66341.098244635999"/>
    <n v="25150.0074655194"/>
    <m/>
    <m/>
    <m/>
    <m/>
    <m/>
    <m/>
    <n v="-16848.8408059863"/>
    <n v="146855"/>
    <s v="DBE"/>
  </r>
  <r>
    <x v="12"/>
    <x v="37"/>
    <n v="3549"/>
    <n v="26"/>
    <n v="3575"/>
    <s v="NA"/>
    <s v="NA"/>
    <n v="0"/>
    <n v="1925.5530193930699"/>
    <n v="3383.5183643906798"/>
    <m/>
    <m/>
    <m/>
    <m/>
    <m/>
    <m/>
    <n v="-2427.3848957689102"/>
    <n v="11311"/>
    <s v="DBE"/>
  </r>
  <r>
    <x v="12"/>
    <x v="38"/>
    <n v="13825"/>
    <n v="0"/>
    <n v="13825"/>
    <s v="NA"/>
    <s v="NA"/>
    <n v="0"/>
    <n v="36834.8496653166"/>
    <n v="12234.354696075599"/>
    <m/>
    <m/>
    <m/>
    <m/>
    <m/>
    <m/>
    <n v="8631.4411888252398"/>
    <n v="62894"/>
    <s v="DBE"/>
  </r>
  <r>
    <x v="12"/>
    <x v="39"/>
    <n v="7876"/>
    <n v="2"/>
    <n v="7878"/>
    <s v="NA"/>
    <s v="NA"/>
    <n v="0"/>
    <n v="17156.5188944902"/>
    <n v="2791.8074268610098"/>
    <m/>
    <m/>
    <m/>
    <m/>
    <m/>
    <m/>
    <n v="-18012.144544961298"/>
    <n v="45838"/>
    <s v="DBE"/>
  </r>
  <r>
    <x v="12"/>
    <x v="40"/>
    <n v="28213"/>
    <n v="2"/>
    <n v="28215"/>
    <s v="NA"/>
    <s v="NA"/>
    <n v="11.158863263092901"/>
    <n v="36057.106036321202"/>
    <n v="16556.997238925502"/>
    <m/>
    <m/>
    <m/>
    <m/>
    <m/>
    <m/>
    <n v="16151.2439071929"/>
    <n v="80840"/>
    <s v="DBE"/>
  </r>
  <r>
    <x v="12"/>
    <x v="41"/>
    <n v="2349"/>
    <n v="1"/>
    <n v="2350"/>
    <s v="NA"/>
    <s v="NA"/>
    <m/>
    <n v="24380.463504866701"/>
    <n v="5302.5198301628598"/>
    <m/>
    <m/>
    <m/>
    <m/>
    <m/>
    <m/>
    <n v="-4341.1535190495897"/>
    <n v="36374"/>
    <s v="DBE"/>
  </r>
  <r>
    <x v="12"/>
    <x v="42"/>
    <n v="19733"/>
    <n v="4"/>
    <n v="19737"/>
    <s v="NA"/>
    <s v="NA"/>
    <m/>
    <n v="86539.517184460899"/>
    <n v="15457.3640155473"/>
    <m/>
    <m/>
    <m/>
    <m/>
    <m/>
    <m/>
    <n v="-1986.18188762827"/>
    <n v="123720"/>
    <s v="DBE"/>
  </r>
  <r>
    <x v="12"/>
    <x v="43"/>
    <n v="3222"/>
    <n v="62"/>
    <n v="3284"/>
    <s v="NA"/>
    <s v="NA"/>
    <m/>
    <n v="8639.4017405959294"/>
    <n v="1044.64945855876"/>
    <m/>
    <m/>
    <m/>
    <m/>
    <m/>
    <m/>
    <n v="117.179472173417"/>
    <n v="12968"/>
    <s v="DBE"/>
  </r>
  <r>
    <x v="12"/>
    <x v="44"/>
    <n v="57490"/>
    <n v="5"/>
    <n v="57495"/>
    <s v="NA"/>
    <s v="NA"/>
    <m/>
    <n v="74567.737127967295"/>
    <n v="27110.587147919901"/>
    <m/>
    <m/>
    <m/>
    <m/>
    <m/>
    <m/>
    <n v="29097.0913620752"/>
    <n v="159173"/>
    <s v="DBE"/>
  </r>
  <r>
    <x v="12"/>
    <x v="45"/>
    <n v="2584"/>
    <n v="198"/>
    <n v="2782"/>
    <s v="NA"/>
    <s v="NA"/>
    <m/>
    <n v="15898.322731030001"/>
    <n v="2310.5096545783299"/>
    <m/>
    <m/>
    <m/>
    <m/>
    <m/>
    <m/>
    <n v="1343.1842995401801"/>
    <n v="20991"/>
    <s v="DBE"/>
  </r>
  <r>
    <x v="12"/>
    <x v="46"/>
    <n v="18311"/>
    <n v="38"/>
    <n v="18349"/>
    <s v="NA"/>
    <s v="NA"/>
    <m/>
    <n v="49297.925087331103"/>
    <n v="4202.5128172640298"/>
    <m/>
    <m/>
    <m/>
    <m/>
    <m/>
    <m/>
    <n v="17317.326946400899"/>
    <n v="71849"/>
    <s v="DBE"/>
  </r>
  <r>
    <x v="12"/>
    <x v="47"/>
    <n v="1723"/>
    <n v="51"/>
    <n v="1774"/>
    <s v="NA"/>
    <s v="NA"/>
    <m/>
    <n v="13749.5319148936"/>
    <n v="1530.6432748538"/>
    <m/>
    <m/>
    <m/>
    <m/>
    <m/>
    <m/>
    <m/>
    <n v="17054"/>
    <s v="NA"/>
  </r>
  <r>
    <x v="12"/>
    <x v="48"/>
    <n v="15790"/>
    <n v="10"/>
    <n v="15800"/>
    <s v="NA"/>
    <s v="NA"/>
    <m/>
    <n v="48485"/>
    <n v="7107"/>
    <m/>
    <m/>
    <m/>
    <m/>
    <m/>
    <m/>
    <m/>
    <n v="71392"/>
    <s v="RSA"/>
  </r>
  <r>
    <x v="12"/>
    <x v="49"/>
    <n v="3730"/>
    <n v="95"/>
    <n v="3825"/>
    <s v="NA"/>
    <s v="NA"/>
    <m/>
    <n v="17234.163716814201"/>
    <n v="4414"/>
    <m/>
    <m/>
    <m/>
    <m/>
    <m/>
    <m/>
    <m/>
    <n v="25473"/>
    <s v="NA"/>
  </r>
  <r>
    <x v="12"/>
    <x v="50"/>
    <n v="19425"/>
    <n v="17"/>
    <n v="19442"/>
    <s v="NA"/>
    <s v="NA"/>
    <m/>
    <n v="93897"/>
    <n v="8353"/>
    <m/>
    <m/>
    <m/>
    <m/>
    <m/>
    <m/>
    <m/>
    <n v="121692"/>
    <s v="NA"/>
  </r>
  <r>
    <x v="12"/>
    <x v="51"/>
    <n v="3368"/>
    <n v="161"/>
    <n v="3529"/>
    <s v="NA"/>
    <s v="NA"/>
    <m/>
    <n v="63022"/>
    <n v="6062"/>
    <m/>
    <m/>
    <m/>
    <m/>
    <m/>
    <m/>
    <m/>
    <n v="72613"/>
    <s v="NA"/>
  </r>
  <r>
    <x v="12"/>
    <x v="52"/>
    <n v="15703"/>
    <n v="44"/>
    <n v="15747"/>
    <s v="NA"/>
    <s v="NA"/>
    <m/>
    <n v="119099"/>
    <n v="6365"/>
    <m/>
    <m/>
    <m/>
    <m/>
    <m/>
    <m/>
    <m/>
    <n v="141211"/>
    <s v="NA"/>
  </r>
  <r>
    <x v="12"/>
    <x v="53"/>
    <n v="4007"/>
    <n v="10"/>
    <n v="4017"/>
    <s v="NA"/>
    <s v="NA"/>
    <m/>
    <n v="22073.204555040102"/>
    <n v="4465"/>
    <m/>
    <m/>
    <m/>
    <m/>
    <m/>
    <m/>
    <m/>
    <n v="30555"/>
    <s v="NA"/>
  </r>
  <r>
    <x v="12"/>
    <x v="54"/>
    <n v="36436"/>
    <n v="3"/>
    <n v="36439"/>
    <s v="NA"/>
    <s v="NA"/>
    <m/>
    <n v="85988.999999999898"/>
    <n v="3847"/>
    <m/>
    <m/>
    <m/>
    <m/>
    <m/>
    <m/>
    <m/>
    <n v="126275"/>
    <s v="NA"/>
  </r>
  <r>
    <x v="12"/>
    <x v="55"/>
    <n v="2151"/>
    <n v="247"/>
    <n v="2398"/>
    <s v="NA"/>
    <s v="NA"/>
    <m/>
    <n v="21971.704096626501"/>
    <n v="1275"/>
    <m/>
    <m/>
    <m/>
    <m/>
    <m/>
    <m/>
    <m/>
    <n v="25645"/>
    <s v="NA"/>
  </r>
  <r>
    <x v="12"/>
    <x v="56"/>
    <n v="9385"/>
    <n v="0"/>
    <n v="9385"/>
    <s v="NA"/>
    <s v="NA"/>
    <m/>
    <n v="55852.361692497601"/>
    <n v="1942.65801886792"/>
    <m/>
    <m/>
    <m/>
    <m/>
    <m/>
    <m/>
    <m/>
    <n v="67180"/>
    <s v="NA"/>
  </r>
  <r>
    <x v="12"/>
    <x v="57"/>
    <n v="1807"/>
    <n v="60"/>
    <n v="1867"/>
    <s v="NA"/>
    <s v="NA"/>
    <m/>
    <n v="9119.9357333867392"/>
    <n v="306.14772727272702"/>
    <m/>
    <m/>
    <m/>
    <m/>
    <m/>
    <m/>
    <m/>
    <n v="11293"/>
    <s v="NA"/>
  </r>
  <r>
    <x v="12"/>
    <x v="58"/>
    <n v="15177"/>
    <n v="0"/>
    <n v="15177"/>
    <s v="NA"/>
    <s v="NA"/>
    <m/>
    <n v="109735.058191599"/>
    <n v="3294.5630468347899"/>
    <m/>
    <m/>
    <m/>
    <m/>
    <m/>
    <m/>
    <m/>
    <n v="128207"/>
    <s v="NA"/>
  </r>
  <r>
    <x v="12"/>
    <x v="59"/>
    <n v="1604"/>
    <n v="25"/>
    <n v="1629"/>
    <s v="NA"/>
    <s v="NA"/>
    <m/>
    <n v="6989.0853251893996"/>
    <n v="790.49002849002795"/>
    <m/>
    <m/>
    <m/>
    <m/>
    <m/>
    <m/>
    <m/>
    <n v="9409"/>
    <s v="RSA"/>
  </r>
  <r>
    <x v="12"/>
    <x v="60"/>
    <n v="8307"/>
    <n v="16"/>
    <n v="8323"/>
    <s v="NA"/>
    <s v="NA"/>
    <m/>
    <n v="10046.907966090001"/>
    <n v="1351.98567013206"/>
    <m/>
    <m/>
    <m/>
    <m/>
    <m/>
    <m/>
    <m/>
    <n v="19722"/>
    <s v="NA"/>
  </r>
  <r>
    <x v="12"/>
    <x v="61"/>
    <n v="2130"/>
    <n v="3"/>
    <n v="2133"/>
    <s v="NA"/>
    <s v="NA"/>
    <m/>
    <n v="3958.8912344086898"/>
    <n v="330.78134110787198"/>
    <m/>
    <m/>
    <m/>
    <m/>
    <m/>
    <m/>
    <m/>
    <n v="6423"/>
    <s v="NA"/>
  </r>
  <r>
    <x v="12"/>
    <x v="62"/>
    <n v="35972"/>
    <n v="4"/>
    <n v="35976"/>
    <s v="NA"/>
    <s v="NA"/>
    <m/>
    <n v="178684"/>
    <n v="6229"/>
    <m/>
    <m/>
    <m/>
    <m/>
    <m/>
    <m/>
    <m/>
    <n v="220889"/>
    <s v="NA"/>
  </r>
  <r>
    <x v="12"/>
    <x v="63"/>
    <n v="1550"/>
    <n v="173"/>
    <n v="1723"/>
    <s v="NA"/>
    <s v="NA"/>
    <m/>
    <n v="6407"/>
    <n v="394"/>
    <m/>
    <m/>
    <m/>
    <m/>
    <m/>
    <m/>
    <m/>
    <n v="8524"/>
    <s v="RSA"/>
  </r>
  <r>
    <x v="12"/>
    <x v="64"/>
    <n v="1364"/>
    <n v="0"/>
    <n v="1364"/>
    <s v="NA"/>
    <s v="NA"/>
    <m/>
    <n v="4233.3696498054496"/>
    <n v="135.09727626459099"/>
    <m/>
    <m/>
    <m/>
    <m/>
    <m/>
    <m/>
    <m/>
    <n v="5732"/>
    <s v="NA"/>
  </r>
  <r>
    <x v="12"/>
    <x v="65"/>
    <n v="806"/>
    <n v="0"/>
    <n v="806"/>
    <s v="NA"/>
    <s v="NA"/>
    <m/>
    <n v="5386.6336633663304"/>
    <n v="77.521923620933507"/>
    <m/>
    <m/>
    <m/>
    <m/>
    <m/>
    <m/>
    <m/>
    <n v="6270"/>
    <s v="NA"/>
  </r>
  <r>
    <x v="12"/>
    <x v="66"/>
    <n v="59134"/>
    <n v="10"/>
    <n v="59144"/>
    <s v="NA"/>
    <s v="NA"/>
    <m/>
    <n v="220383.11661659999"/>
    <n v="6843.27242042732"/>
    <m/>
    <m/>
    <m/>
    <m/>
    <m/>
    <m/>
    <m/>
    <n v="286370"/>
    <s v="NA"/>
  </r>
  <r>
    <x v="12"/>
    <x v="67"/>
    <n v="1199"/>
    <n v="112"/>
    <n v="1311"/>
    <s v="NA"/>
    <s v="NA"/>
    <m/>
    <n v="5478.7765237020303"/>
    <n v="284.09932279909702"/>
    <m/>
    <m/>
    <m/>
    <m/>
    <m/>
    <m/>
    <m/>
    <n v="7074"/>
    <s v="NA"/>
  </r>
  <r>
    <x v="12"/>
    <x v="68"/>
    <n v="198"/>
    <n v="4"/>
    <n v="202"/>
    <s v="NA"/>
    <s v="NA"/>
    <m/>
    <n v="1603.31155778895"/>
    <n v="57.097989949748801"/>
    <m/>
    <m/>
    <m/>
    <m/>
    <m/>
    <m/>
    <m/>
    <n v="1862"/>
    <s v="RSA"/>
  </r>
  <r>
    <x v="12"/>
    <x v="69"/>
    <n v="2219"/>
    <n v="0"/>
    <n v="2219"/>
    <s v="NA"/>
    <s v="NA"/>
    <m/>
    <n v="14339.2093639576"/>
    <n v="338.14266784452298"/>
    <m/>
    <m/>
    <m/>
    <m/>
    <m/>
    <m/>
    <m/>
    <n v="16896"/>
    <s v="NA"/>
  </r>
  <r>
    <x v="12"/>
    <x v="70"/>
    <n v="38563"/>
    <n v="11"/>
    <n v="38574"/>
    <s v="NA"/>
    <s v="NA"/>
    <m/>
    <n v="223067.380076061"/>
    <n v="4538.8126292146299"/>
    <m/>
    <m/>
    <m/>
    <m/>
    <m/>
    <m/>
    <m/>
    <n v="266180"/>
    <s v="NA"/>
  </r>
  <r>
    <x v="12"/>
    <x v="71"/>
    <n v="1042"/>
    <n v="645"/>
    <n v="1687"/>
    <s v="NA"/>
    <s v="NA"/>
    <m/>
    <n v="7551.4648117839597"/>
    <n v="395.75013638843501"/>
    <m/>
    <m/>
    <m/>
    <m/>
    <m/>
    <m/>
    <m/>
    <n v="9634"/>
    <s v="NA"/>
  </r>
  <r>
    <x v="13"/>
    <x v="0"/>
    <n v="5822"/>
    <n v="0"/>
    <n v="5822"/>
    <s v="NA"/>
    <s v="NA"/>
    <n v="116.844840121147"/>
    <n v="115.25880268775499"/>
    <n v="44.452759771921599"/>
    <m/>
    <n v="2935"/>
    <n v="1027"/>
    <m/>
    <m/>
    <m/>
    <n v="-5197.55994205978"/>
    <n v="10061"/>
    <s v="RSA"/>
  </r>
  <r>
    <x v="13"/>
    <x v="1"/>
    <n v="5031"/>
    <n v="0"/>
    <n v="5031"/>
    <s v="NA"/>
    <s v="NA"/>
    <n v="0"/>
    <n v="405.97872447130999"/>
    <n v="534.41157742672601"/>
    <m/>
    <n v="1097"/>
    <n v="1183"/>
    <m/>
    <m/>
    <m/>
    <n v="-3980.86963889149"/>
    <n v="8251"/>
    <s v="RSA"/>
  </r>
  <r>
    <x v="13"/>
    <x v="2"/>
    <n v="5997"/>
    <n v="0"/>
    <n v="5997"/>
    <s v="NA"/>
    <s v="NA"/>
    <n v="0"/>
    <n v="39.116575267645601"/>
    <n v="27.557703305349801"/>
    <m/>
    <n v="1270"/>
    <n v="1199"/>
    <m/>
    <m/>
    <m/>
    <n v="3392.22628480413"/>
    <n v="8533"/>
    <s v="RSA"/>
  </r>
  <r>
    <x v="13"/>
    <x v="3"/>
    <n v="2096"/>
    <n v="0"/>
    <n v="2096"/>
    <s v="NA"/>
    <s v="NA"/>
    <n v="0.1211620981896"/>
    <n v="23.7337251223016"/>
    <n v="4.6999671523748496"/>
    <m/>
    <n v="629"/>
    <n v="419"/>
    <m/>
    <m/>
    <m/>
    <n v="1416.5072374556401"/>
    <n v="3173"/>
    <s v="RSA"/>
  </r>
  <r>
    <x v="13"/>
    <x v="4"/>
    <n v="1288"/>
    <n v="0"/>
    <n v="1288"/>
    <s v="NA"/>
    <s v="NA"/>
    <n v="1.3407005974099999"/>
    <n v="26.9446233097818"/>
    <n v="3.51717323830142"/>
    <m/>
    <n v="172"/>
    <n v="258"/>
    <m/>
    <m/>
    <m/>
    <n v="-649.20381107901096"/>
    <n v="1750"/>
    <s v="RSA"/>
  </r>
  <r>
    <x v="13"/>
    <x v="5"/>
    <n v="2534"/>
    <n v="0"/>
    <n v="2534"/>
    <s v="NA"/>
    <s v="NA"/>
    <n v="0"/>
    <n v="1799.39444311431"/>
    <n v="200.60040156950001"/>
    <n v="1"/>
    <n v="760"/>
    <n v="507"/>
    <n v="1291"/>
    <m/>
    <m/>
    <n v="917.12276483477103"/>
    <n v="7093"/>
    <s v="RSA"/>
  </r>
  <r>
    <x v="13"/>
    <x v="6"/>
    <n v="1923"/>
    <n v="5"/>
    <n v="1928"/>
    <s v="NA"/>
    <s v="NA"/>
    <n v="172.98410918309401"/>
    <n v="37.934697506791998"/>
    <n v="20.493440587586999"/>
    <m/>
    <n v="293"/>
    <n v="713"/>
    <n v="213"/>
    <n v="1"/>
    <n v="3"/>
    <n v="555.50334593489799"/>
    <n v="3382"/>
    <s v="RSA"/>
  </r>
  <r>
    <x v="13"/>
    <x v="7"/>
    <n v="1896"/>
    <n v="0"/>
    <n v="1896"/>
    <s v="NA"/>
    <s v="NA"/>
    <n v="0"/>
    <n v="162.85831588963799"/>
    <n v="325.78753587741198"/>
    <m/>
    <n v="476"/>
    <n v="799"/>
    <n v="1122"/>
    <m/>
    <m/>
    <n v="-427.640368672779"/>
    <n v="4782"/>
    <s v="RSA"/>
  </r>
  <r>
    <x v="13"/>
    <x v="8"/>
    <n v="4414"/>
    <n v="0"/>
    <n v="4414"/>
    <s v="NA"/>
    <s v="NA"/>
    <n v="1.2385290998430001"/>
    <n v="1281.4125401668"/>
    <n v="429.687997967559"/>
    <m/>
    <n v="1104"/>
    <m/>
    <m/>
    <m/>
    <m/>
    <n v="-6653.1319263964697"/>
    <n v="7230"/>
    <s v="RSA"/>
  </r>
  <r>
    <x v="13"/>
    <x v="9"/>
    <n v="3873"/>
    <n v="0"/>
    <n v="3873"/>
    <s v="NA"/>
    <s v="NA"/>
    <n v="29.748624062920001"/>
    <n v="9377.4127625200108"/>
    <n v="1307.37483336899"/>
    <m/>
    <n v="948"/>
    <n v="1497"/>
    <n v="-4238"/>
    <m/>
    <m/>
    <n v="-4668.5965807399198"/>
    <n v="12795"/>
    <s v="RSA"/>
  </r>
  <r>
    <x v="13"/>
    <x v="10"/>
    <n v="2099"/>
    <n v="16"/>
    <n v="2115"/>
    <s v="NA"/>
    <s v="NA"/>
    <n v="0"/>
    <n v="620.48409645171296"/>
    <n v="649.38199399485802"/>
    <m/>
    <n v="525"/>
    <m/>
    <n v="-728"/>
    <n v="4"/>
    <m/>
    <n v="-6137.1997015184097"/>
    <n v="3186"/>
    <s v="RSA"/>
  </r>
  <r>
    <x v="13"/>
    <x v="11"/>
    <n v="4065"/>
    <n v="6"/>
    <n v="4071"/>
    <s v="NA"/>
    <s v="NA"/>
    <n v="19.006037814646401"/>
    <n v="607.86839417395095"/>
    <n v="1720.4395896031999"/>
    <n v="207"/>
    <n v="1147"/>
    <m/>
    <m/>
    <n v="2"/>
    <m/>
    <n v="-3113.78586361818"/>
    <n v="7774"/>
    <s v="RSA"/>
  </r>
  <r>
    <x v="13"/>
    <x v="12"/>
    <n v="6955"/>
    <n v="14"/>
    <n v="6969"/>
    <s v="NA"/>
    <s v="NA"/>
    <n v="332.580507727895"/>
    <n v="4063.7967487217302"/>
    <n v="2794.7772894770901"/>
    <m/>
    <n v="3477"/>
    <m/>
    <n v="-2903"/>
    <n v="7"/>
    <m/>
    <n v="-3509.6829331550098"/>
    <n v="14741"/>
    <s v="RSA"/>
  </r>
  <r>
    <x v="13"/>
    <x v="13"/>
    <n v="5413"/>
    <n v="7"/>
    <n v="5420"/>
    <s v="NA"/>
    <s v="NA"/>
    <n v="0"/>
    <n v="1479.90478359094"/>
    <m/>
    <m/>
    <n v="1148"/>
    <m/>
    <n v="1931"/>
    <n v="1"/>
    <m/>
    <n v="3659.5085931655699"/>
    <n v="9980"/>
    <s v="RSA"/>
  </r>
  <r>
    <x v="13"/>
    <x v="14"/>
    <n v="1439"/>
    <n v="0"/>
    <n v="1439"/>
    <s v="NA"/>
    <s v="NA"/>
    <n v="0"/>
    <n v="141.90652604001701"/>
    <n v="76.668991200854606"/>
    <m/>
    <n v="1439"/>
    <m/>
    <m/>
    <m/>
    <m/>
    <n v="-3082.49374733791"/>
    <n v="3097"/>
    <s v="RSA"/>
  </r>
  <r>
    <x v="13"/>
    <x v="15"/>
    <n v="573"/>
    <n v="0"/>
    <n v="573"/>
    <s v="NA"/>
    <s v="NA"/>
    <n v="0.82520000003000005"/>
    <n v="273.91455122596699"/>
    <n v="777.61036389245896"/>
    <m/>
    <m/>
    <m/>
    <m/>
    <m/>
    <m/>
    <n v="-1625.9929636837501"/>
    <n v="3251"/>
    <s v="DBE"/>
  </r>
  <r>
    <x v="13"/>
    <x v="16"/>
    <n v="3853"/>
    <n v="0"/>
    <n v="3853"/>
    <s v="NA"/>
    <s v="NA"/>
    <n v="2398.0343102848001"/>
    <n v="182.06645090736001"/>
    <n v="96.306406531842597"/>
    <m/>
    <m/>
    <m/>
    <m/>
    <m/>
    <m/>
    <n v="2782.5470120892701"/>
    <n v="6529"/>
    <s v="DBE"/>
  </r>
  <r>
    <x v="13"/>
    <x v="17"/>
    <n v="1678"/>
    <n v="0"/>
    <n v="1678"/>
    <s v="NA"/>
    <s v="NA"/>
    <n v="125.771782109309"/>
    <n v="4461.0666493668195"/>
    <n v="265.49789298417198"/>
    <m/>
    <m/>
    <m/>
    <m/>
    <m/>
    <m/>
    <n v="-1247.25711561138"/>
    <n v="7778"/>
    <s v="DBE"/>
  </r>
  <r>
    <x v="13"/>
    <x v="18"/>
    <n v="2168"/>
    <n v="10"/>
    <n v="2178"/>
    <s v="NA"/>
    <s v="NA"/>
    <n v="1612.1878517808"/>
    <n v="104.67129894738"/>
    <n v="202.20452863297501"/>
    <m/>
    <m/>
    <m/>
    <m/>
    <m/>
    <m/>
    <n v="1136.7725928284499"/>
    <n v="4097"/>
    <s v="DBE"/>
  </r>
  <r>
    <x v="13"/>
    <x v="19"/>
    <n v="1097"/>
    <n v="0"/>
    <n v="1097"/>
    <s v="NA"/>
    <s v="NA"/>
    <n v="224.52677775665501"/>
    <n v="11980.9232862998"/>
    <n v="4041.7194666294699"/>
    <m/>
    <m/>
    <m/>
    <m/>
    <m/>
    <m/>
    <n v="-12339.7553721327"/>
    <n v="29684"/>
    <s v="DBE"/>
  </r>
  <r>
    <x v="13"/>
    <x v="20"/>
    <n v="3070"/>
    <n v="0"/>
    <n v="3070"/>
    <s v="NA"/>
    <s v="NA"/>
    <n v="138.15802389337"/>
    <n v="3148.53646542668"/>
    <n v="1689.1484358048599"/>
    <m/>
    <m/>
    <m/>
    <m/>
    <m/>
    <m/>
    <n v="-1831.46303692418"/>
    <n v="9877"/>
    <s v="DBE"/>
  </r>
  <r>
    <x v="13"/>
    <x v="21"/>
    <n v="7305"/>
    <n v="15"/>
    <n v="7320"/>
    <s v="NA"/>
    <s v="NA"/>
    <n v="0.40226632937720302"/>
    <n v="2888.7420941954201"/>
    <n v="209.30661859988999"/>
    <m/>
    <m/>
    <m/>
    <m/>
    <m/>
    <m/>
    <n v="-3558.1304682692898"/>
    <n v="13977"/>
    <s v="DBE"/>
  </r>
  <r>
    <x v="13"/>
    <x v="22"/>
    <n v="5441"/>
    <n v="0"/>
    <n v="5441"/>
    <s v="NA"/>
    <s v="NA"/>
    <n v="12.862584011413499"/>
    <n v="602.94056645198896"/>
    <n v="3502.3095689460301"/>
    <m/>
    <m/>
    <m/>
    <m/>
    <m/>
    <m/>
    <n v="-8387.1849662750992"/>
    <n v="17946"/>
    <s v="DBE"/>
  </r>
  <r>
    <x v="13"/>
    <x v="23"/>
    <n v="5165"/>
    <n v="0"/>
    <n v="5165"/>
    <s v="NA"/>
    <s v="NA"/>
    <n v="3.8373521277232099"/>
    <n v="2196.7343374504098"/>
    <n v="891.20855943414199"/>
    <m/>
    <m/>
    <m/>
    <m/>
    <m/>
    <m/>
    <n v="1520.9840550827801"/>
    <n v="8257"/>
    <s v="DBE"/>
  </r>
  <r>
    <x v="13"/>
    <x v="24"/>
    <n v="2613"/>
    <n v="0"/>
    <n v="2613"/>
    <s v="NA"/>
    <s v="NA"/>
    <n v="8.5731859637118393E-2"/>
    <n v="667.54746814885004"/>
    <n v="1761.76536198042"/>
    <m/>
    <m/>
    <m/>
    <m/>
    <m/>
    <m/>
    <n v="-4002.7095156524601"/>
    <n v="9045"/>
    <s v="DBE"/>
  </r>
  <r>
    <x v="13"/>
    <x v="25"/>
    <n v="7993"/>
    <n v="0"/>
    <n v="7993"/>
    <s v="NA"/>
    <s v="NA"/>
    <n v="3.53576587895409"/>
    <n v="1410.9561611566201"/>
    <n v="1139.6238989128999"/>
    <m/>
    <m/>
    <m/>
    <m/>
    <m/>
    <m/>
    <n v="1378.7545522636799"/>
    <n v="10547"/>
    <s v="DBE"/>
  </r>
  <r>
    <x v="13"/>
    <x v="26"/>
    <n v="9959"/>
    <n v="0"/>
    <n v="9959"/>
    <s v="NA"/>
    <s v="NA"/>
    <n v="895.57280281942997"/>
    <n v="9017.2656922946207"/>
    <n v="4719.44863002703"/>
    <m/>
    <m/>
    <m/>
    <m/>
    <m/>
    <m/>
    <n v="1204.4476406235999"/>
    <n v="24591"/>
    <s v="DBE"/>
  </r>
  <r>
    <x v="13"/>
    <x v="27"/>
    <n v="13537"/>
    <n v="10"/>
    <n v="13547"/>
    <s v="NA"/>
    <s v="NA"/>
    <n v="0.49315389425674999"/>
    <n v="1415.4979586730001"/>
    <n v="1388.6508571443201"/>
    <m/>
    <m/>
    <m/>
    <m/>
    <m/>
    <m/>
    <n v="6742.1002269424698"/>
    <n v="16352"/>
    <s v="DBE"/>
  </r>
  <r>
    <x v="13"/>
    <x v="28"/>
    <n v="2297"/>
    <n v="32"/>
    <n v="2329"/>
    <s v="NA"/>
    <s v="NA"/>
    <n v="2.8032694395383901E-16"/>
    <n v="896.64670671875103"/>
    <n v="692.96968366589397"/>
    <m/>
    <m/>
    <m/>
    <m/>
    <m/>
    <m/>
    <n v="1618.2219189006901"/>
    <n v="3919"/>
    <s v="DBE"/>
  </r>
  <r>
    <x v="13"/>
    <x v="29"/>
    <n v="6042"/>
    <n v="0"/>
    <n v="6042"/>
    <s v="NA"/>
    <s v="NA"/>
    <n v="0.20822235108266701"/>
    <n v="5923.18576667464"/>
    <n v="2244.4575592588699"/>
    <m/>
    <m/>
    <m/>
    <m/>
    <m/>
    <m/>
    <n v="6053.9097560026203"/>
    <n v="14210"/>
    <s v="DBE"/>
  </r>
  <r>
    <x v="13"/>
    <x v="30"/>
    <n v="2078"/>
    <n v="0"/>
    <n v="2078"/>
    <s v="NA"/>
    <s v="NA"/>
    <n v="22.9497613784525"/>
    <n v="9034.7345943907494"/>
    <n v="94.1917986252341"/>
    <m/>
    <m/>
    <m/>
    <m/>
    <m/>
    <m/>
    <n v="-1523.48574783052"/>
    <n v="12753"/>
    <s v="DBE"/>
  </r>
  <r>
    <x v="13"/>
    <x v="31"/>
    <n v="4120"/>
    <n v="10"/>
    <n v="4130"/>
    <s v="NA"/>
    <s v="NA"/>
    <n v="27.683664745633301"/>
    <n v="39500.0911441766"/>
    <n v="9971.9541171176206"/>
    <m/>
    <m/>
    <m/>
    <m/>
    <m/>
    <m/>
    <n v="-3559.3585816362101"/>
    <n v="57189"/>
    <s v="DBE"/>
  </r>
  <r>
    <x v="13"/>
    <x v="32"/>
    <n v="2755"/>
    <n v="0"/>
    <n v="2755"/>
    <s v="NA"/>
    <s v="NA"/>
    <n v="0"/>
    <n v="4567.0298110393296"/>
    <n v="1183.0612526811001"/>
    <m/>
    <m/>
    <m/>
    <m/>
    <m/>
    <m/>
    <n v="-4924.4301447560101"/>
    <n v="13430"/>
    <s v="DBE"/>
  </r>
  <r>
    <x v="13"/>
    <x v="33"/>
    <n v="7044"/>
    <n v="0"/>
    <n v="7044"/>
    <s v="NA"/>
    <s v="NA"/>
    <n v="22.303156031428902"/>
    <n v="7968.5089044595697"/>
    <n v="4930.5204854902404"/>
    <m/>
    <m/>
    <m/>
    <m/>
    <m/>
    <m/>
    <n v="-1248.2289057009"/>
    <n v="21214"/>
    <s v="DBE"/>
  </r>
  <r>
    <x v="13"/>
    <x v="34"/>
    <n v="3628"/>
    <n v="3"/>
    <n v="3631"/>
    <s v="NA"/>
    <s v="NA"/>
    <n v="19.985347699065599"/>
    <n v="10405.089640137299"/>
    <n v="336.29890232904"/>
    <m/>
    <m/>
    <m/>
    <m/>
    <m/>
    <m/>
    <n v="1531.84018100404"/>
    <n v="14392"/>
    <s v="DBE"/>
  </r>
  <r>
    <x v="13"/>
    <x v="35"/>
    <n v="16446"/>
    <n v="161"/>
    <n v="16607"/>
    <s v="NA"/>
    <s v="NA"/>
    <n v="0"/>
    <n v="12440.293855464301"/>
    <n v="2466.3453756007102"/>
    <m/>
    <m/>
    <m/>
    <m/>
    <m/>
    <m/>
    <n v="2650.09419305643"/>
    <n v="31514"/>
    <s v="DBE"/>
  </r>
  <r>
    <x v="13"/>
    <x v="36"/>
    <n v="13501"/>
    <n v="286"/>
    <n v="13787"/>
    <s v="NA"/>
    <s v="NA"/>
    <n v="0"/>
    <n v="21455.0126911925"/>
    <n v="12346.207661492799"/>
    <m/>
    <m/>
    <m/>
    <m/>
    <m/>
    <m/>
    <n v="-462.76544668047097"/>
    <n v="48051"/>
    <s v="DBE"/>
  </r>
  <r>
    <x v="13"/>
    <x v="37"/>
    <n v="8996"/>
    <n v="93"/>
    <n v="9089"/>
    <s v="NA"/>
    <s v="NA"/>
    <n v="0"/>
    <n v="29365.2045839657"/>
    <n v="2095.4036659489102"/>
    <m/>
    <m/>
    <m/>
    <m/>
    <m/>
    <m/>
    <n v="-1657.34497804736"/>
    <n v="42207"/>
    <s v="DBE"/>
  </r>
  <r>
    <x v="13"/>
    <x v="38"/>
    <n v="1257"/>
    <n v="38"/>
    <n v="1295"/>
    <s v="NA"/>
    <s v="NA"/>
    <n v="0"/>
    <n v="9302.5681405634805"/>
    <n v="272.87301823031697"/>
    <m/>
    <m/>
    <m/>
    <m/>
    <m/>
    <m/>
    <n v="-184.743410941181"/>
    <n v="11055"/>
    <s v="DBE"/>
  </r>
  <r>
    <x v="13"/>
    <x v="39"/>
    <n v="1513"/>
    <n v="0"/>
    <n v="1513"/>
    <s v="NA"/>
    <s v="NA"/>
    <n v="0"/>
    <n v="5145.6779189587496"/>
    <n v="624.17125744488499"/>
    <m/>
    <m/>
    <m/>
    <m/>
    <m/>
    <m/>
    <n v="-24.1448139056629"/>
    <n v="7307"/>
    <s v="DBE"/>
  </r>
  <r>
    <x v="13"/>
    <x v="40"/>
    <n v="2186"/>
    <n v="0"/>
    <n v="2186"/>
    <s v="NA"/>
    <s v="NA"/>
    <n v="49.354293942034097"/>
    <n v="3983.2143999039699"/>
    <n v="571.04861782713601"/>
    <m/>
    <m/>
    <m/>
    <m/>
    <m/>
    <m/>
    <n v="46.099036318846501"/>
    <n v="6790"/>
    <s v="DBE"/>
  </r>
  <r>
    <x v="13"/>
    <x v="41"/>
    <n v="2734"/>
    <n v="0"/>
    <n v="2734"/>
    <s v="NA"/>
    <s v="NA"/>
    <m/>
    <n v="15048.1790736324"/>
    <n v="861.92812191309702"/>
    <m/>
    <m/>
    <m/>
    <m/>
    <m/>
    <m/>
    <n v="-489.22689971818301"/>
    <n v="19133"/>
    <s v="DBE"/>
  </r>
  <r>
    <x v="13"/>
    <x v="42"/>
    <n v="786"/>
    <n v="39"/>
    <n v="825"/>
    <s v="NA"/>
    <s v="NA"/>
    <m/>
    <n v="4569.8850902733602"/>
    <n v="86.601237895105697"/>
    <m/>
    <m/>
    <m/>
    <m/>
    <m/>
    <m/>
    <n v="-2106.5443201959401"/>
    <n v="7588"/>
    <s v="DBE"/>
  </r>
  <r>
    <x v="13"/>
    <x v="43"/>
    <n v="1323"/>
    <n v="0"/>
    <n v="1323"/>
    <s v="NA"/>
    <s v="NA"/>
    <m/>
    <n v="2695.76476074334"/>
    <n v="265.41516541645098"/>
    <m/>
    <m/>
    <m/>
    <m/>
    <m/>
    <m/>
    <n v="-1249.4029677372801"/>
    <n v="5534"/>
    <s v="DBE"/>
  </r>
  <r>
    <x v="13"/>
    <x v="44"/>
    <n v="2648"/>
    <n v="0"/>
    <n v="2648"/>
    <s v="NA"/>
    <s v="NA"/>
    <m/>
    <n v="7682.7766963884196"/>
    <n v="485.46065668123703"/>
    <m/>
    <m/>
    <m/>
    <m/>
    <m/>
    <m/>
    <n v="-1156.1749279464"/>
    <n v="11972"/>
    <s v="DBE"/>
  </r>
  <r>
    <x v="13"/>
    <x v="45"/>
    <n v="600"/>
    <n v="0"/>
    <n v="600"/>
    <s v="NA"/>
    <s v="NA"/>
    <m/>
    <n v="1318.31117261298"/>
    <n v="105.400937909321"/>
    <m/>
    <m/>
    <m/>
    <m/>
    <m/>
    <m/>
    <n v="-1098.80041275812"/>
    <n v="3123"/>
    <s v="DBE"/>
  </r>
  <r>
    <x v="13"/>
    <x v="46"/>
    <n v="628"/>
    <n v="22"/>
    <n v="650"/>
    <s v="NA"/>
    <s v="NA"/>
    <m/>
    <n v="5961.3179745714397"/>
    <n v="78.783800733572704"/>
    <m/>
    <m/>
    <m/>
    <m/>
    <m/>
    <m/>
    <n v="-1276.4659431462201"/>
    <n v="7967"/>
    <s v="DBE"/>
  </r>
  <r>
    <x v="13"/>
    <x v="47"/>
    <n v="1737"/>
    <n v="0"/>
    <n v="1737"/>
    <s v="NA"/>
    <s v="NA"/>
    <m/>
    <n v="11402"/>
    <n v="163"/>
    <m/>
    <m/>
    <m/>
    <m/>
    <m/>
    <m/>
    <m/>
    <n v="13302"/>
    <s v="NA"/>
  </r>
  <r>
    <x v="13"/>
    <x v="48"/>
    <n v="2909"/>
    <n v="0"/>
    <n v="2909"/>
    <s v="NA"/>
    <s v="NA"/>
    <m/>
    <n v="4459"/>
    <n v="434"/>
    <m/>
    <m/>
    <m/>
    <m/>
    <m/>
    <m/>
    <m/>
    <n v="7802"/>
    <s v="RSA"/>
  </r>
  <r>
    <x v="13"/>
    <x v="49"/>
    <n v="0"/>
    <n v="0"/>
    <n v="0"/>
    <s v="NA"/>
    <s v="NA"/>
    <m/>
    <m/>
    <m/>
    <m/>
    <m/>
    <m/>
    <m/>
    <m/>
    <m/>
    <m/>
    <n v="0"/>
    <s v="NA"/>
  </r>
  <r>
    <x v="13"/>
    <x v="50"/>
    <n v="0"/>
    <n v="0"/>
    <n v="0"/>
    <s v="NA"/>
    <s v="NA"/>
    <m/>
    <m/>
    <m/>
    <m/>
    <m/>
    <m/>
    <m/>
    <m/>
    <m/>
    <m/>
    <n v="0"/>
    <s v="NA"/>
  </r>
  <r>
    <x v="13"/>
    <x v="51"/>
    <n v="0"/>
    <n v="0"/>
    <n v="0"/>
    <s v="NA"/>
    <s v="NA"/>
    <m/>
    <m/>
    <m/>
    <m/>
    <m/>
    <m/>
    <m/>
    <m/>
    <m/>
    <m/>
    <n v="0"/>
    <s v="NA"/>
  </r>
  <r>
    <x v="13"/>
    <x v="52"/>
    <n v="0"/>
    <n v="0"/>
    <n v="0"/>
    <s v="NA"/>
    <s v="NA"/>
    <m/>
    <m/>
    <m/>
    <m/>
    <m/>
    <m/>
    <m/>
    <m/>
    <m/>
    <m/>
    <n v="0"/>
    <s v="NA"/>
  </r>
  <r>
    <x v="13"/>
    <x v="53"/>
    <n v="0"/>
    <n v="0"/>
    <n v="0"/>
    <s v="NA"/>
    <s v="NA"/>
    <m/>
    <m/>
    <m/>
    <m/>
    <m/>
    <m/>
    <m/>
    <m/>
    <m/>
    <m/>
    <n v="0"/>
    <s v="NA"/>
  </r>
  <r>
    <x v="13"/>
    <x v="54"/>
    <n v="0"/>
    <n v="0"/>
    <n v="0"/>
    <s v="NA"/>
    <s v="NA"/>
    <m/>
    <m/>
    <m/>
    <m/>
    <m/>
    <m/>
    <m/>
    <m/>
    <m/>
    <m/>
    <n v="0"/>
    <s v="NA"/>
  </r>
  <r>
    <x v="13"/>
    <x v="55"/>
    <n v="0"/>
    <n v="0"/>
    <n v="0"/>
    <s v="NA"/>
    <s v="NA"/>
    <m/>
    <m/>
    <m/>
    <m/>
    <m/>
    <m/>
    <m/>
    <m/>
    <m/>
    <m/>
    <n v="0"/>
    <s v="NA"/>
  </r>
  <r>
    <x v="13"/>
    <x v="56"/>
    <n v="0"/>
    <n v="0"/>
    <n v="0"/>
    <s v="NA"/>
    <s v="NA"/>
    <m/>
    <m/>
    <m/>
    <m/>
    <m/>
    <m/>
    <m/>
    <m/>
    <m/>
    <m/>
    <n v="0"/>
    <s v="NA"/>
  </r>
  <r>
    <x v="13"/>
    <x v="57"/>
    <n v="0"/>
    <n v="0"/>
    <n v="0"/>
    <s v="NA"/>
    <s v="NA"/>
    <m/>
    <m/>
    <m/>
    <m/>
    <m/>
    <m/>
    <m/>
    <m/>
    <m/>
    <m/>
    <n v="0"/>
    <s v="NA"/>
  </r>
  <r>
    <x v="13"/>
    <x v="58"/>
    <n v="0"/>
    <n v="0"/>
    <n v="0"/>
    <s v="NA"/>
    <s v="NA"/>
    <m/>
    <m/>
    <m/>
    <m/>
    <m/>
    <m/>
    <m/>
    <m/>
    <m/>
    <m/>
    <n v="0"/>
    <s v="NA"/>
  </r>
  <r>
    <x v="13"/>
    <x v="59"/>
    <n v="0"/>
    <n v="0"/>
    <n v="0"/>
    <s v="NA"/>
    <s v="NA"/>
    <m/>
    <m/>
    <m/>
    <m/>
    <m/>
    <m/>
    <m/>
    <m/>
    <m/>
    <m/>
    <n v="0"/>
    <s v="RSA"/>
  </r>
  <r>
    <x v="13"/>
    <x v="60"/>
    <n v="0"/>
    <n v="0"/>
    <n v="0"/>
    <s v="NA"/>
    <s v="NA"/>
    <m/>
    <m/>
    <m/>
    <m/>
    <m/>
    <m/>
    <m/>
    <m/>
    <m/>
    <m/>
    <n v="0"/>
    <s v="NA"/>
  </r>
  <r>
    <x v="13"/>
    <x v="61"/>
    <n v="0"/>
    <n v="0"/>
    <n v="0"/>
    <s v="NA"/>
    <s v="NA"/>
    <m/>
    <m/>
    <m/>
    <m/>
    <m/>
    <m/>
    <m/>
    <m/>
    <m/>
    <m/>
    <n v="0"/>
    <s v="NA"/>
  </r>
  <r>
    <x v="13"/>
    <x v="62"/>
    <n v="0"/>
    <n v="0"/>
    <n v="0"/>
    <s v="NA"/>
    <s v="NA"/>
    <m/>
    <m/>
    <m/>
    <m/>
    <m/>
    <m/>
    <m/>
    <m/>
    <m/>
    <m/>
    <n v="0"/>
    <s v="NA"/>
  </r>
  <r>
    <x v="13"/>
    <x v="63"/>
    <n v="0"/>
    <n v="0"/>
    <n v="0"/>
    <s v="NA"/>
    <s v="NA"/>
    <m/>
    <m/>
    <m/>
    <m/>
    <m/>
    <m/>
    <m/>
    <m/>
    <m/>
    <m/>
    <n v="0"/>
    <s v="RSA"/>
  </r>
  <r>
    <x v="13"/>
    <x v="64"/>
    <n v="0"/>
    <n v="0"/>
    <n v="0"/>
    <s v="NA"/>
    <s v="NA"/>
    <m/>
    <m/>
    <m/>
    <m/>
    <m/>
    <m/>
    <m/>
    <m/>
    <m/>
    <m/>
    <n v="0"/>
    <s v="NA"/>
  </r>
  <r>
    <x v="13"/>
    <x v="65"/>
    <n v="0"/>
    <n v="0"/>
    <n v="0"/>
    <s v="NA"/>
    <s v="NA"/>
    <m/>
    <m/>
    <m/>
    <m/>
    <m/>
    <m/>
    <m/>
    <m/>
    <m/>
    <m/>
    <n v="0"/>
    <s v="NA"/>
  </r>
  <r>
    <x v="13"/>
    <x v="66"/>
    <n v="0"/>
    <n v="0"/>
    <n v="0"/>
    <s v="NA"/>
    <s v="NA"/>
    <m/>
    <m/>
    <m/>
    <m/>
    <m/>
    <m/>
    <m/>
    <m/>
    <m/>
    <m/>
    <n v="0"/>
    <s v="NA"/>
  </r>
  <r>
    <x v="13"/>
    <x v="71"/>
    <n v="0"/>
    <n v="0"/>
    <n v="0"/>
    <s v="NA"/>
    <s v="NA"/>
    <m/>
    <m/>
    <m/>
    <m/>
    <m/>
    <m/>
    <m/>
    <m/>
    <m/>
    <m/>
    <n v="0"/>
    <s v="NA"/>
  </r>
  <r>
    <x v="14"/>
    <x v="0"/>
    <n v="7738"/>
    <n v="0"/>
    <n v="7738"/>
    <s v="NA"/>
    <s v="NA"/>
    <n v="0.16990059047780501"/>
    <n v="134.32175467759299"/>
    <n v="47.189940610676999"/>
    <m/>
    <n v="8333"/>
    <n v="7738"/>
    <m/>
    <m/>
    <m/>
    <n v="-7276.4202652088097"/>
    <n v="23991"/>
    <s v="RSA"/>
  </r>
  <r>
    <x v="14"/>
    <x v="1"/>
    <n v="5573"/>
    <n v="0"/>
    <n v="5573"/>
    <s v="NA"/>
    <s v="NA"/>
    <n v="0"/>
    <n v="2838.5133791381299"/>
    <n v="2693.1427912186"/>
    <m/>
    <n v="2090"/>
    <n v="2787"/>
    <m/>
    <m/>
    <m/>
    <n v="-46545.882904481303"/>
    <n v="15982"/>
    <s v="RSA"/>
  </r>
  <r>
    <x v="14"/>
    <x v="2"/>
    <n v="698"/>
    <n v="0"/>
    <n v="698"/>
    <s v="NA"/>
    <s v="NA"/>
    <n v="3127.92711491911"/>
    <n v="155.15176500989"/>
    <n v="186.63997482103201"/>
    <m/>
    <n v="155"/>
    <n v="698"/>
    <m/>
    <m/>
    <m/>
    <n v="-51453.965176124497"/>
    <n v="5021"/>
    <s v="RSA"/>
  </r>
  <r>
    <x v="14"/>
    <x v="3"/>
    <n v="223"/>
    <n v="0"/>
    <n v="223"/>
    <s v="NA"/>
    <s v="NA"/>
    <n v="27.3715191938769"/>
    <n v="33.312484043730997"/>
    <n v="10.612390759601601"/>
    <m/>
    <n v="50"/>
    <n v="223"/>
    <m/>
    <m/>
    <m/>
    <n v="-658.810110508555"/>
    <n v="567"/>
    <s v="RSA"/>
  </r>
  <r>
    <x v="14"/>
    <x v="4"/>
    <n v="227"/>
    <n v="0"/>
    <n v="227"/>
    <s v="NA"/>
    <s v="NA"/>
    <n v="1674.6014052"/>
    <n v="26.1350733004899"/>
    <n v="5.1199082213176403"/>
    <m/>
    <n v="285"/>
    <n v="914"/>
    <m/>
    <m/>
    <m/>
    <n v="-1350.92531926787"/>
    <n v="3132"/>
    <s v="RSA"/>
  </r>
  <r>
    <x v="14"/>
    <x v="5"/>
    <n v="3330"/>
    <n v="0"/>
    <n v="3330"/>
    <s v="NA"/>
    <s v="NA"/>
    <n v="12.480110663"/>
    <n v="12848.491199947101"/>
    <n v="1648.5090099096799"/>
    <m/>
    <n v="1249"/>
    <n v="1665"/>
    <n v="-4678"/>
    <m/>
    <m/>
    <n v="-6215.6414379596499"/>
    <n v="16075"/>
    <s v="RSA"/>
  </r>
  <r>
    <x v="14"/>
    <x v="6"/>
    <n v="5697"/>
    <n v="0"/>
    <n v="5697"/>
    <s v="NA"/>
    <s v="NA"/>
    <n v="711.03013324599999"/>
    <n v="407.80387190358999"/>
    <n v="940.94179684440905"/>
    <m/>
    <n v="2067"/>
    <n v="6014"/>
    <n v="-347"/>
    <m/>
    <m/>
    <n v="-31998.8072874422"/>
    <n v="15491"/>
    <s v="RSA"/>
  </r>
  <r>
    <x v="14"/>
    <x v="7"/>
    <n v="5926"/>
    <n v="0"/>
    <n v="5926"/>
    <s v="NA"/>
    <s v="NA"/>
    <n v="3141.1230905676998"/>
    <n v="2898.3332208574102"/>
    <n v="2502.5485089406402"/>
    <m/>
    <n v="5333"/>
    <n v="6518"/>
    <n v="-1191"/>
    <m/>
    <m/>
    <n v="-18774.801290009898"/>
    <n v="25128"/>
    <s v="RSA"/>
  </r>
  <r>
    <x v="14"/>
    <x v="8"/>
    <n v="23072"/>
    <n v="0"/>
    <n v="23072"/>
    <s v="NA"/>
    <s v="NA"/>
    <n v="8386.98644504"/>
    <n v="2474.3541087986"/>
    <n v="2200.5758700963902"/>
    <m/>
    <n v="14662"/>
    <n v="35575"/>
    <n v="511"/>
    <m/>
    <m/>
    <n v="-52918.4406194002"/>
    <n v="86882"/>
    <s v="RSA"/>
  </r>
  <r>
    <x v="14"/>
    <x v="9"/>
    <n v="21572"/>
    <n v="30"/>
    <n v="21602"/>
    <s v="NA"/>
    <s v="NA"/>
    <n v="1736.5693737833001"/>
    <n v="54871.3416392496"/>
    <n v="3493.5774606392301"/>
    <m/>
    <n v="11325"/>
    <n v="23729"/>
    <n v="-6955"/>
    <n v="16"/>
    <n v="33"/>
    <n v="-3772.9751473710999"/>
    <n v="109851"/>
    <s v="RSA"/>
  </r>
  <r>
    <x v="14"/>
    <x v="10"/>
    <n v="18978"/>
    <n v="46"/>
    <n v="19024"/>
    <s v="NA"/>
    <s v="NA"/>
    <n v="533.55190835351402"/>
    <n v="4743.8826443297603"/>
    <n v="2003.8001515795199"/>
    <m/>
    <n v="7312"/>
    <n v="22458"/>
    <n v="1097"/>
    <n v="18"/>
    <n v="54"/>
    <n v="-75930.603579311704"/>
    <n v="57244"/>
    <s v="RSA"/>
  </r>
  <r>
    <x v="14"/>
    <x v="11"/>
    <n v="185"/>
    <n v="0"/>
    <n v="185"/>
    <s v="NA"/>
    <s v="NA"/>
    <n v="518.16884497420006"/>
    <n v="8118.8968195015696"/>
    <n v="8355.4556163575508"/>
    <n v="8521"/>
    <n v="5225"/>
    <n v="29422"/>
    <m/>
    <m/>
    <m/>
    <n v="-26808.804432224399"/>
    <n v="60346"/>
    <s v="RSA"/>
  </r>
  <r>
    <x v="14"/>
    <x v="12"/>
    <n v="4205"/>
    <n v="0"/>
    <n v="4205"/>
    <s v="NA"/>
    <s v="NA"/>
    <n v="478.63969835050801"/>
    <n v="22842.825424724899"/>
    <n v="13903.9039841225"/>
    <m/>
    <n v="8389"/>
    <n v="71296"/>
    <n v="4545"/>
    <m/>
    <m/>
    <n v="-72171.377703989303"/>
    <n v="125660"/>
    <s v="RSA"/>
  </r>
  <r>
    <x v="14"/>
    <x v="13"/>
    <n v="6957"/>
    <n v="0"/>
    <n v="6957"/>
    <s v="NA"/>
    <s v="NA"/>
    <n v="0"/>
    <n v="18854.6968631089"/>
    <m/>
    <m/>
    <n v="3955"/>
    <n v="28641"/>
    <n v="4933"/>
    <m/>
    <m/>
    <n v="-43957.0318794505"/>
    <n v="63341"/>
    <s v="RSA"/>
  </r>
  <r>
    <x v="14"/>
    <x v="14"/>
    <n v="3186"/>
    <n v="0"/>
    <n v="3186"/>
    <s v="NA"/>
    <s v="NA"/>
    <n v="725.44800627894494"/>
    <n v="1451.2311827219501"/>
    <n v="787.89767491108898"/>
    <m/>
    <n v="6931.6486825596003"/>
    <n v="24540.594730238401"/>
    <n v="-151.90464240903401"/>
    <m/>
    <m/>
    <n v="-34066.042844006202"/>
    <n v="37471"/>
    <s v="RSA"/>
  </r>
  <r>
    <x v="14"/>
    <x v="15"/>
    <n v="3226"/>
    <n v="0"/>
    <n v="3226"/>
    <s v="NA"/>
    <s v="NA"/>
    <n v="12.362530126869499"/>
    <n v="3183.5511532519799"/>
    <n v="4963.04167048005"/>
    <m/>
    <m/>
    <m/>
    <m/>
    <m/>
    <m/>
    <n v="-13593.599583056301"/>
    <n v="24979"/>
    <s v="DBE"/>
  </r>
  <r>
    <x v="14"/>
    <x v="16"/>
    <n v="16940"/>
    <n v="0"/>
    <n v="16940"/>
    <s v="NA"/>
    <s v="NA"/>
    <n v="4071.9611914020002"/>
    <n v="3409.1949736039301"/>
    <n v="2601.50732827192"/>
    <m/>
    <m/>
    <m/>
    <m/>
    <m/>
    <m/>
    <n v="-13411.759138089399"/>
    <n v="40434"/>
    <s v="DBE"/>
  </r>
  <r>
    <x v="14"/>
    <x v="17"/>
    <n v="21692"/>
    <n v="0"/>
    <n v="21692"/>
    <s v="NA"/>
    <s v="NA"/>
    <n v="259.03402775683998"/>
    <n v="30205.122664724498"/>
    <n v="3371.8019926972602"/>
    <m/>
    <m/>
    <m/>
    <m/>
    <m/>
    <m/>
    <n v="-33467.370470043803"/>
    <n v="88995"/>
    <s v="DBE"/>
  </r>
  <r>
    <x v="14"/>
    <x v="18"/>
    <n v="74416"/>
    <n v="127"/>
    <n v="74543"/>
    <s v="NA"/>
    <s v="NA"/>
    <n v="153.75568496712"/>
    <n v="14857.3468753212"/>
    <n v="14110.851774041799"/>
    <m/>
    <m/>
    <m/>
    <m/>
    <m/>
    <m/>
    <n v="-135454.29485844501"/>
    <n v="239119"/>
    <s v="DBE"/>
  </r>
  <r>
    <x v="14"/>
    <x v="19"/>
    <n v="851"/>
    <n v="0"/>
    <n v="851"/>
    <s v="NA"/>
    <s v="NA"/>
    <n v="750.42055435695795"/>
    <n v="13952.520736344601"/>
    <n v="3414.88228489428"/>
    <m/>
    <m/>
    <m/>
    <m/>
    <m/>
    <m/>
    <n v="-20615.0213306107"/>
    <n v="39584"/>
    <s v="DBE"/>
  </r>
  <r>
    <x v="14"/>
    <x v="20"/>
    <n v="23877"/>
    <n v="47"/>
    <n v="23924"/>
    <s v="NA"/>
    <s v="NA"/>
    <n v="678.79637415803995"/>
    <n v="13852.230107441799"/>
    <n v="3457.9148340197398"/>
    <m/>
    <m/>
    <m/>
    <m/>
    <m/>
    <m/>
    <n v="-7669.72279423085"/>
    <n v="49583"/>
    <s v="DBE"/>
  </r>
  <r>
    <x v="14"/>
    <x v="21"/>
    <n v="4862"/>
    <n v="0"/>
    <n v="4862"/>
    <s v="NA"/>
    <s v="NA"/>
    <n v="0.31613571010907598"/>
    <n v="1782.9121670208899"/>
    <n v="1887.8941192367799"/>
    <m/>
    <m/>
    <m/>
    <m/>
    <m/>
    <m/>
    <n v="-10816.9301372381"/>
    <n v="19350"/>
    <s v="DBE"/>
  </r>
  <r>
    <x v="14"/>
    <x v="22"/>
    <n v="7535"/>
    <n v="0"/>
    <n v="7535"/>
    <s v="NA"/>
    <s v="NA"/>
    <n v="19.5312094516451"/>
    <n v="1487.36100109424"/>
    <n v="1135.56305196219"/>
    <m/>
    <m/>
    <m/>
    <m/>
    <m/>
    <m/>
    <n v="-5433.5610873756405"/>
    <n v="15611"/>
    <s v="DBE"/>
  </r>
  <r>
    <x v="14"/>
    <x v="23"/>
    <n v="7429"/>
    <n v="0"/>
    <n v="7429"/>
    <s v="NA"/>
    <s v="NA"/>
    <n v="8.3578210713890293"/>
    <n v="4656.9842664316102"/>
    <n v="1779.05990562633"/>
    <m/>
    <m/>
    <m/>
    <m/>
    <m/>
    <m/>
    <n v="-3.0459850652168798"/>
    <n v="13876"/>
    <s v="DBE"/>
  </r>
  <r>
    <x v="14"/>
    <x v="24"/>
    <n v="2"/>
    <n v="0"/>
    <n v="2"/>
    <s v="NA"/>
    <s v="NA"/>
    <n v="7.0780295007686603E-4"/>
    <n v="1.3165199297204699"/>
    <n v="2.74664302546946"/>
    <m/>
    <m/>
    <m/>
    <m/>
    <m/>
    <m/>
    <n v="-11.4032352572085"/>
    <n v="17"/>
    <s v="DBE"/>
  </r>
  <r>
    <x v="14"/>
    <x v="26"/>
    <n v="0"/>
    <n v="0"/>
    <n v="0"/>
    <s v="NA"/>
    <s v="NA"/>
    <m/>
    <m/>
    <m/>
    <m/>
    <m/>
    <m/>
    <m/>
    <m/>
    <m/>
    <n v="0"/>
    <n v="0"/>
    <s v="DBE"/>
  </r>
  <r>
    <x v="14"/>
    <x v="27"/>
    <n v="157"/>
    <n v="0"/>
    <n v="157"/>
    <s v="NA"/>
    <s v="NA"/>
    <n v="8.1567816546468906E-3"/>
    <n v="50.484552493343401"/>
    <n v="57.322169228490701"/>
    <m/>
    <m/>
    <m/>
    <m/>
    <m/>
    <m/>
    <n v="-115.35892078981399"/>
    <n v="380"/>
    <s v="DBE"/>
  </r>
  <r>
    <x v="14"/>
    <x v="28"/>
    <n v="4"/>
    <n v="0"/>
    <n v="4"/>
    <s v="NA"/>
    <s v="NA"/>
    <n v="4.3184903570337203E-18"/>
    <n v="1.1377254808757999"/>
    <n v="1.2067386742113999"/>
    <m/>
    <m/>
    <m/>
    <m/>
    <m/>
    <m/>
    <n v="-4.1107753286422497"/>
    <n v="10"/>
    <s v="DBE"/>
  </r>
  <r>
    <x v="14"/>
    <x v="29"/>
    <n v="0"/>
    <n v="0"/>
    <n v="0"/>
    <s v="NA"/>
    <s v="NA"/>
    <m/>
    <m/>
    <m/>
    <m/>
    <m/>
    <m/>
    <m/>
    <m/>
    <m/>
    <n v="0"/>
    <n v="0"/>
    <s v="DBE"/>
  </r>
  <r>
    <x v="14"/>
    <x v="30"/>
    <n v="337"/>
    <n v="0"/>
    <n v="337"/>
    <s v="NA"/>
    <s v="NA"/>
    <n v="5.5886368861509803"/>
    <n v="784.40981570907798"/>
    <n v="26.131664982443901"/>
    <m/>
    <m/>
    <m/>
    <m/>
    <m/>
    <m/>
    <n v="-299.88879960839802"/>
    <n v="1453"/>
    <s v="DBE"/>
  </r>
  <r>
    <x v="14"/>
    <x v="31"/>
    <n v="171"/>
    <n v="0"/>
    <n v="171"/>
    <s v="NA"/>
    <s v="NA"/>
    <n v="0.193082471793668"/>
    <n v="242.03709442167599"/>
    <n v="401.93219592500901"/>
    <m/>
    <m/>
    <m/>
    <m/>
    <m/>
    <m/>
    <n v="51.5352537010303"/>
    <n v="815"/>
    <s v="DBE"/>
  </r>
  <r>
    <x v="14"/>
    <x v="33"/>
    <n v="0"/>
    <n v="0"/>
    <n v="0"/>
    <s v="NA"/>
    <s v="NA"/>
    <m/>
    <m/>
    <m/>
    <m/>
    <m/>
    <m/>
    <m/>
    <m/>
    <m/>
    <n v="0"/>
    <n v="0"/>
    <s v="DBE"/>
  </r>
  <r>
    <x v="14"/>
    <x v="34"/>
    <n v="180"/>
    <n v="0"/>
    <n v="180"/>
    <s v="NA"/>
    <s v="NA"/>
    <n v="2.5763071794973702"/>
    <n v="1266.8137753339099"/>
    <n v="100.075666380052"/>
    <m/>
    <m/>
    <m/>
    <m/>
    <m/>
    <m/>
    <n v="-37.473073783409902"/>
    <n v="1587"/>
    <s v="DBE"/>
  </r>
  <r>
    <x v="14"/>
    <x v="35"/>
    <n v="550"/>
    <n v="0"/>
    <n v="550"/>
    <s v="NA"/>
    <s v="NA"/>
    <n v="0"/>
    <n v="463.72804509665099"/>
    <n v="56.910841356215997"/>
    <m/>
    <m/>
    <m/>
    <m/>
    <m/>
    <m/>
    <n v="83.187861133023802"/>
    <n v="1071"/>
    <s v="DBE"/>
  </r>
  <r>
    <x v="14"/>
    <x v="37"/>
    <n v="71"/>
    <n v="1"/>
    <n v="72"/>
    <s v="NA"/>
    <s v="NA"/>
    <n v="0"/>
    <n v="28.803375896486099"/>
    <n v="26.2853049865499"/>
    <m/>
    <m/>
    <m/>
    <m/>
    <m/>
    <m/>
    <n v="7.7215354827717997"/>
    <n v="127"/>
    <s v="DBE"/>
  </r>
  <r>
    <x v="14"/>
    <x v="38"/>
    <n v="1883"/>
    <n v="0"/>
    <n v="1883"/>
    <s v="NA"/>
    <s v="NA"/>
    <n v="0"/>
    <n v="8279.5463596206901"/>
    <n v="408.76682046753098"/>
    <m/>
    <m/>
    <m/>
    <m/>
    <m/>
    <m/>
    <n v="713.29768052899601"/>
    <n v="10571"/>
    <s v="DBE"/>
  </r>
  <r>
    <x v="14"/>
    <x v="39"/>
    <n v="31"/>
    <n v="0"/>
    <n v="31"/>
    <s v="NA"/>
    <s v="NA"/>
    <n v="0"/>
    <n v="67.162202939510905"/>
    <n v="7.7773504093452104"/>
    <m/>
    <m/>
    <m/>
    <m/>
    <m/>
    <m/>
    <n v="-80.2885156611773"/>
    <n v="186"/>
    <s v="DBE"/>
  </r>
  <r>
    <x v="14"/>
    <x v="40"/>
    <n v="750"/>
    <n v="0"/>
    <n v="750"/>
    <s v="NA"/>
    <s v="NA"/>
    <n v="0"/>
    <n v="509.101304801862"/>
    <n v="195.92244435972199"/>
    <m/>
    <m/>
    <m/>
    <m/>
    <m/>
    <m/>
    <n v="-1013.23756263794"/>
    <n v="2468"/>
    <s v="DBE"/>
  </r>
  <r>
    <x v="14"/>
    <x v="42"/>
    <n v="0"/>
    <n v="0"/>
    <n v="0"/>
    <s v="NA"/>
    <s v="NA"/>
    <m/>
    <m/>
    <m/>
    <m/>
    <m/>
    <m/>
    <m/>
    <m/>
    <m/>
    <n v="0"/>
    <n v="0"/>
    <s v="DBE"/>
  </r>
  <r>
    <x v="14"/>
    <x v="43"/>
    <n v="36"/>
    <n v="0"/>
    <n v="36"/>
    <s v="NA"/>
    <s v="NA"/>
    <m/>
    <n v="66.7134672074516"/>
    <n v="7.2221813718762098"/>
    <m/>
    <m/>
    <m/>
    <m/>
    <m/>
    <m/>
    <n v="0.19771300413099599"/>
    <n v="110"/>
    <s v="DBE"/>
  </r>
  <r>
    <x v="14"/>
    <x v="44"/>
    <n v="1009"/>
    <n v="0"/>
    <n v="1009"/>
    <s v="NA"/>
    <s v="NA"/>
    <m/>
    <n v="2327.8742811792899"/>
    <n v="184.98104327468599"/>
    <m/>
    <m/>
    <m/>
    <m/>
    <m/>
    <m/>
    <n v="-460.104277707672"/>
    <n v="3982"/>
    <s v="DBE"/>
  </r>
  <r>
    <x v="14"/>
    <x v="45"/>
    <n v="0"/>
    <n v="0"/>
    <n v="0"/>
    <s v="NA"/>
    <s v="NA"/>
    <m/>
    <m/>
    <m/>
    <m/>
    <m/>
    <m/>
    <m/>
    <m/>
    <m/>
    <n v="0"/>
    <n v="0"/>
    <s v="DBE"/>
  </r>
  <r>
    <x v="14"/>
    <x v="46"/>
    <n v="1098"/>
    <n v="274"/>
    <n v="1372"/>
    <s v="NA"/>
    <s v="NA"/>
    <m/>
    <n v="3014.00080306056"/>
    <n v="137.74619937175601"/>
    <m/>
    <m/>
    <m/>
    <m/>
    <m/>
    <m/>
    <n v="1033.5620881094101"/>
    <n v="4524"/>
    <s v="DBE"/>
  </r>
  <r>
    <x v="14"/>
    <x v="47"/>
    <n v="500"/>
    <n v="0"/>
    <n v="500"/>
    <s v="NA"/>
    <s v="NA"/>
    <m/>
    <n v="2618.5672672348701"/>
    <n v="106.376092350847"/>
    <m/>
    <m/>
    <m/>
    <m/>
    <m/>
    <m/>
    <m/>
    <n v="3225"/>
    <s v="NA"/>
  </r>
  <r>
    <x v="14"/>
    <x v="48"/>
    <n v="120"/>
    <n v="3"/>
    <n v="123"/>
    <s v="NA"/>
    <s v="NA"/>
    <m/>
    <n v="314"/>
    <n v="28"/>
    <m/>
    <m/>
    <m/>
    <m/>
    <m/>
    <m/>
    <m/>
    <n v="465"/>
    <s v="RSA"/>
  </r>
  <r>
    <x v="14"/>
    <x v="49"/>
    <n v="341"/>
    <n v="2"/>
    <n v="343"/>
    <s v="NA"/>
    <s v="NA"/>
    <m/>
    <n v="1257"/>
    <n v="107"/>
    <m/>
    <m/>
    <m/>
    <m/>
    <m/>
    <m/>
    <m/>
    <n v="1707"/>
    <s v="NA"/>
  </r>
  <r>
    <x v="14"/>
    <x v="50"/>
    <n v="0"/>
    <n v="0"/>
    <n v="0"/>
    <s v="NA"/>
    <s v="NA"/>
    <m/>
    <m/>
    <m/>
    <m/>
    <m/>
    <m/>
    <m/>
    <m/>
    <m/>
    <m/>
    <n v="0"/>
    <s v="NA"/>
  </r>
  <r>
    <x v="14"/>
    <x v="51"/>
    <n v="465"/>
    <n v="0"/>
    <n v="465"/>
    <s v="NA"/>
    <s v="NA"/>
    <m/>
    <n v="3555.78066914498"/>
    <n v="288.10408921932998"/>
    <m/>
    <m/>
    <m/>
    <m/>
    <m/>
    <m/>
    <m/>
    <n v="4309"/>
    <s v="NA"/>
  </r>
  <r>
    <x v="14"/>
    <x v="52"/>
    <n v="888"/>
    <n v="0"/>
    <n v="888"/>
    <s v="NA"/>
    <s v="NA"/>
    <m/>
    <n v="9431"/>
    <n v="124"/>
    <m/>
    <m/>
    <m/>
    <m/>
    <m/>
    <m/>
    <m/>
    <n v="10443"/>
    <s v="NA"/>
  </r>
  <r>
    <x v="14"/>
    <x v="53"/>
    <n v="270"/>
    <n v="0"/>
    <n v="270"/>
    <s v="NA"/>
    <s v="NA"/>
    <m/>
    <n v="987.00000000000102"/>
    <n v="86"/>
    <m/>
    <m/>
    <m/>
    <m/>
    <m/>
    <m/>
    <m/>
    <n v="1343"/>
    <s v="NA"/>
  </r>
  <r>
    <x v="14"/>
    <x v="54"/>
    <n v="0"/>
    <n v="0"/>
    <n v="0"/>
    <s v="NA"/>
    <s v="NA"/>
    <m/>
    <m/>
    <m/>
    <m/>
    <m/>
    <m/>
    <m/>
    <m/>
    <m/>
    <m/>
    <n v="0"/>
    <s v="NA"/>
  </r>
  <r>
    <x v="14"/>
    <x v="55"/>
    <n v="0"/>
    <n v="0"/>
    <n v="0"/>
    <s v="NA"/>
    <s v="NA"/>
    <m/>
    <m/>
    <m/>
    <m/>
    <m/>
    <m/>
    <m/>
    <m/>
    <m/>
    <m/>
    <n v="0"/>
    <s v="NA"/>
  </r>
  <r>
    <x v="14"/>
    <x v="56"/>
    <n v="0"/>
    <n v="0"/>
    <n v="0"/>
    <s v="NA"/>
    <s v="NA"/>
    <m/>
    <m/>
    <m/>
    <m/>
    <m/>
    <m/>
    <m/>
    <m/>
    <m/>
    <m/>
    <n v="0"/>
    <s v="NA"/>
  </r>
  <r>
    <x v="14"/>
    <x v="57"/>
    <n v="46"/>
    <n v="0"/>
    <n v="46"/>
    <s v="NA"/>
    <s v="NA"/>
    <m/>
    <n v="238.82031746031799"/>
    <n v="7.6666666666666696"/>
    <m/>
    <m/>
    <m/>
    <m/>
    <m/>
    <m/>
    <m/>
    <n v="292"/>
    <s v="NA"/>
  </r>
  <r>
    <x v="14"/>
    <x v="58"/>
    <n v="0"/>
    <n v="0"/>
    <n v="0"/>
    <s v="NA"/>
    <s v="NA"/>
    <m/>
    <m/>
    <m/>
    <m/>
    <m/>
    <m/>
    <m/>
    <m/>
    <m/>
    <m/>
    <n v="0"/>
    <s v="NA"/>
  </r>
  <r>
    <x v="14"/>
    <x v="59"/>
    <n v="38"/>
    <n v="0"/>
    <n v="38"/>
    <s v="NA"/>
    <s v="NA"/>
    <m/>
    <n v="82.730653643876806"/>
    <n v="12.954545454545499"/>
    <m/>
    <m/>
    <m/>
    <m/>
    <m/>
    <m/>
    <m/>
    <n v="134"/>
    <s v="RSA"/>
  </r>
  <r>
    <x v="14"/>
    <x v="60"/>
    <n v="70"/>
    <n v="0"/>
    <n v="70"/>
    <s v="NA"/>
    <s v="NA"/>
    <m/>
    <n v="94.310150799009705"/>
    <n v="9.1379698401980605"/>
    <m/>
    <m/>
    <m/>
    <m/>
    <m/>
    <m/>
    <m/>
    <n v="173"/>
    <s v="NA"/>
  </r>
  <r>
    <x v="14"/>
    <x v="61"/>
    <n v="90"/>
    <n v="0"/>
    <n v="90"/>
    <s v="NA"/>
    <s v="NA"/>
    <m/>
    <n v="190.962809381884"/>
    <n v="9.8665284436957403"/>
    <m/>
    <m/>
    <m/>
    <m/>
    <m/>
    <m/>
    <m/>
    <n v="291"/>
    <s v="NA"/>
  </r>
  <r>
    <x v="14"/>
    <x v="62"/>
    <n v="225"/>
    <n v="0"/>
    <n v="225"/>
    <s v="NA"/>
    <s v="NA"/>
    <m/>
    <n v="499.230377814527"/>
    <n v="33.717084340414701"/>
    <m/>
    <m/>
    <m/>
    <m/>
    <m/>
    <m/>
    <m/>
    <n v="758"/>
    <s v="NA"/>
  </r>
  <r>
    <x v="14"/>
    <x v="63"/>
    <n v="1208"/>
    <n v="0"/>
    <n v="1208"/>
    <s v="NA"/>
    <s v="NA"/>
    <m/>
    <n v="3708.4033018867899"/>
    <n v="206.37853773584899"/>
    <m/>
    <m/>
    <m/>
    <m/>
    <m/>
    <m/>
    <m/>
    <n v="5123"/>
    <s v="RSA"/>
  </r>
  <r>
    <x v="14"/>
    <x v="64"/>
    <n v="0"/>
    <n v="0"/>
    <n v="0"/>
    <s v="NA"/>
    <s v="NA"/>
    <m/>
    <m/>
    <m/>
    <m/>
    <m/>
    <m/>
    <m/>
    <m/>
    <m/>
    <m/>
    <n v="0"/>
    <s v="NA"/>
  </r>
  <r>
    <x v="14"/>
    <x v="65"/>
    <n v="0"/>
    <n v="0"/>
    <n v="0"/>
    <s v="NA"/>
    <s v="NA"/>
    <m/>
    <m/>
    <m/>
    <m/>
    <m/>
    <m/>
    <m/>
    <m/>
    <m/>
    <m/>
    <n v="0"/>
    <s v="NA"/>
  </r>
  <r>
    <x v="14"/>
    <x v="66"/>
    <n v="0"/>
    <n v="0"/>
    <n v="0"/>
    <s v="NA"/>
    <s v="NA"/>
    <m/>
    <m/>
    <m/>
    <m/>
    <m/>
    <m/>
    <m/>
    <m/>
    <m/>
    <m/>
    <n v="0"/>
    <s v="NA"/>
  </r>
  <r>
    <x v="14"/>
    <x v="67"/>
    <n v="0"/>
    <n v="0"/>
    <n v="0"/>
    <s v="NA"/>
    <s v="NA"/>
    <m/>
    <m/>
    <m/>
    <m/>
    <m/>
    <m/>
    <m/>
    <m/>
    <m/>
    <m/>
    <n v="0"/>
    <s v="NA"/>
  </r>
  <r>
    <x v="14"/>
    <x v="68"/>
    <n v="0"/>
    <n v="0"/>
    <n v="0"/>
    <s v="NA"/>
    <s v="NA"/>
    <m/>
    <m/>
    <m/>
    <m/>
    <m/>
    <m/>
    <m/>
    <m/>
    <m/>
    <m/>
    <n v="0"/>
    <s v="RSA"/>
  </r>
  <r>
    <x v="14"/>
    <x v="69"/>
    <n v="0"/>
    <n v="0"/>
    <n v="0"/>
    <s v="NA"/>
    <s v="NA"/>
    <m/>
    <m/>
    <m/>
    <m/>
    <m/>
    <m/>
    <m/>
    <m/>
    <m/>
    <m/>
    <n v="0"/>
    <s v="NA"/>
  </r>
  <r>
    <x v="14"/>
    <x v="70"/>
    <n v="0"/>
    <n v="0"/>
    <n v="0"/>
    <s v="NA"/>
    <s v="NA"/>
    <m/>
    <m/>
    <m/>
    <m/>
    <m/>
    <m/>
    <m/>
    <m/>
    <m/>
    <m/>
    <n v="0"/>
    <s v="NA"/>
  </r>
  <r>
    <x v="14"/>
    <x v="71"/>
    <n v="0"/>
    <n v="0"/>
    <n v="0"/>
    <s v="NA"/>
    <s v="NA"/>
    <m/>
    <m/>
    <m/>
    <m/>
    <m/>
    <m/>
    <m/>
    <m/>
    <m/>
    <m/>
    <n v="0"/>
    <s v="NA"/>
  </r>
  <r>
    <x v="15"/>
    <x v="0"/>
    <n v="544"/>
    <n v="0"/>
    <n v="544"/>
    <s v="NA"/>
    <s v="NA"/>
    <n v="7.9507487854364196E-3"/>
    <n v="6.0457647345555996"/>
    <n v="2.2026600844511699"/>
    <m/>
    <n v="351.561643835616"/>
    <n v="108.85844748858401"/>
    <m/>
    <n v="1.8995433789954299"/>
    <n v="0.53576864535768598"/>
    <n v="-58.168539223611504"/>
    <n v="1015"/>
    <s v="RSA"/>
  </r>
  <r>
    <x v="15"/>
    <x v="1"/>
    <n v="180"/>
    <n v="0"/>
    <n v="180"/>
    <s v="NA"/>
    <s v="NA"/>
    <n v="0"/>
    <n v="38.4352194516403"/>
    <n v="19.849938880120401"/>
    <m/>
    <n v="54.022249690976501"/>
    <n v="36.044499381953003"/>
    <m/>
    <n v="4.4499381953028397E-2"/>
    <m/>
    <n v="-121.129025000307"/>
    <n v="328"/>
    <s v="RSA"/>
  </r>
  <r>
    <x v="15"/>
    <x v="2"/>
    <n v="1241"/>
    <n v="0"/>
    <n v="1241"/>
    <s v="NA"/>
    <s v="NA"/>
    <n v="310.21873042874603"/>
    <n v="12.243202079155999"/>
    <n v="7.3902636269141597"/>
    <m/>
    <n v="156.00832238282999"/>
    <n v="162.803109943057"/>
    <m/>
    <m/>
    <m/>
    <n v="-465.654632259457"/>
    <n v="1890"/>
    <s v="RSA"/>
  </r>
  <r>
    <x v="15"/>
    <x v="3"/>
    <n v="257"/>
    <n v="0"/>
    <n v="257"/>
    <s v="NA"/>
    <s v="NA"/>
    <n v="1.1509028063531099"/>
    <n v="2.0876526481467801"/>
    <n v="2.18414973638103"/>
    <m/>
    <n v="31.285287528005998"/>
    <n v="24.471620612397299"/>
    <m/>
    <m/>
    <m/>
    <n v="111.43706471370101"/>
    <n v="318"/>
    <s v="RSA"/>
  </r>
  <r>
    <x v="15"/>
    <x v="4"/>
    <n v="126"/>
    <n v="0"/>
    <n v="126"/>
    <s v="NA"/>
    <s v="NA"/>
    <n v="48.735640052625499"/>
    <n v="2.7244326485540999"/>
    <n v="0.27865532644315"/>
    <m/>
    <n v="36.700671140939598"/>
    <n v="20.9718120805369"/>
    <m/>
    <m/>
    <m/>
    <n v="64.612285473949996"/>
    <n v="235"/>
    <s v="RSA"/>
  </r>
  <r>
    <x v="15"/>
    <x v="5"/>
    <n v="99"/>
    <n v="0"/>
    <n v="99"/>
    <s v="NA"/>
    <s v="NA"/>
    <n v="3.2992886720010999"/>
    <n v="80.536909208310306"/>
    <n v="22.881354135250699"/>
    <m/>
    <n v="29.702717540488599"/>
    <n v="19.810870161954401"/>
    <n v="127.126544057096"/>
    <m/>
    <m/>
    <n v="-62.390625251119999"/>
    <n v="382"/>
    <s v="RSA"/>
  </r>
  <r>
    <x v="15"/>
    <x v="6"/>
    <n v="1458"/>
    <n v="0"/>
    <n v="1458"/>
    <s v="NA"/>
    <s v="NA"/>
    <n v="34.583809335386199"/>
    <n v="40.150705564091702"/>
    <n v="96.161931141147406"/>
    <m/>
    <n v="308.24472715098801"/>
    <n v="289.20823568798102"/>
    <n v="84.687981252092399"/>
    <n v="0.24405758285905599"/>
    <n v="0.24405758285905599"/>
    <n v="-2191.10214111607"/>
    <n v="2312"/>
    <s v="RSA"/>
  </r>
  <r>
    <x v="15"/>
    <x v="7"/>
    <n v="511"/>
    <n v="0"/>
    <n v="511"/>
    <s v="NA"/>
    <s v="NA"/>
    <n v="57.670721804389203"/>
    <n v="143.79640583569599"/>
    <n v="289.32225829486998"/>
    <m/>
    <n v="290.02702702702697"/>
    <n v="165.67070917070899"/>
    <n v="70.2934857934858"/>
    <n v="0.118041118041118"/>
    <n v="5.9020559020558999E-2"/>
    <n v="-143.43711472872499"/>
    <n v="1528"/>
    <s v="RSA"/>
  </r>
  <r>
    <x v="15"/>
    <x v="8"/>
    <n v="932"/>
    <n v="0"/>
    <n v="932"/>
    <s v="NA"/>
    <s v="NA"/>
    <n v="34.895736438616801"/>
    <n v="133.14835250038999"/>
    <n v="78.586821750580199"/>
    <m/>
    <n v="236.15495113623001"/>
    <n v="12.510067114093999"/>
    <n v="-28.037913575886002"/>
    <m/>
    <m/>
    <n v="-966.47501206988204"/>
    <n v="1399"/>
    <s v="RSA"/>
  </r>
  <r>
    <x v="15"/>
    <x v="9"/>
    <n v="1169"/>
    <n v="1"/>
    <n v="1170"/>
    <s v="NA"/>
    <s v="NA"/>
    <n v="2.0551288732797701"/>
    <n v="1091.95040305411"/>
    <n v="210.22173980661299"/>
    <m/>
    <n v="459.220255384447"/>
    <n v="236.14479092453499"/>
    <n v="445.57434098755999"/>
    <n v="0.64065325806981999"/>
    <n v="0.32032662903490999"/>
    <n v="-322.24941840167901"/>
    <n v="3616"/>
    <s v="RSA"/>
  </r>
  <r>
    <x v="15"/>
    <x v="10"/>
    <n v="2520"/>
    <n v="4"/>
    <n v="2524"/>
    <s v="NA"/>
    <s v="NA"/>
    <n v="12.051326851658001"/>
    <n v="464.74695539689901"/>
    <n v="225.576584790298"/>
    <m/>
    <n v="647.07750952985998"/>
    <n v="68.043202033036906"/>
    <n v="-146.35959339262999"/>
    <n v="1.0673443456162599"/>
    <n v="0.13341804320203299"/>
    <n v="-992.95690705879497"/>
    <n v="3796"/>
    <s v="RSA"/>
  </r>
  <r>
    <x v="15"/>
    <x v="11"/>
    <n v="911"/>
    <n v="0"/>
    <n v="911"/>
    <s v="NA"/>
    <s v="NA"/>
    <n v="9.0730296544916698"/>
    <n v="538.12839749162299"/>
    <n v="611.93661967058699"/>
    <n v="-375.034176287337"/>
    <n v="160.76470588235301"/>
    <n v="0"/>
    <m/>
    <n v="8.3470771486164594E-2"/>
    <m/>
    <n v="-1220.9537685499899"/>
    <n v="1856"/>
    <s v="RSA"/>
  </r>
  <r>
    <x v="15"/>
    <x v="12"/>
    <n v="724"/>
    <n v="0"/>
    <n v="724"/>
    <s v="NA"/>
    <s v="NA"/>
    <n v="1.4660806307555101"/>
    <n v="432.15572445271903"/>
    <n v="301.34780588682202"/>
    <m/>
    <n v="81.300150526844007"/>
    <n v="7.5560461615654804"/>
    <n v="-330.213748118414"/>
    <m/>
    <m/>
    <n v="-842.22892656656302"/>
    <n v="1218"/>
    <s v="RSA"/>
  </r>
  <r>
    <x v="15"/>
    <x v="13"/>
    <n v="1087"/>
    <n v="0"/>
    <n v="1087"/>
    <s v="NA"/>
    <s v="NA"/>
    <n v="0"/>
    <n v="1498.40702213546"/>
    <m/>
    <m/>
    <n v="120.855623590074"/>
    <n v="0"/>
    <n v="-864.03013213019699"/>
    <m/>
    <m/>
    <n v="-1594.3637930043899"/>
    <n v="1842"/>
    <s v="RSA"/>
  </r>
  <r>
    <x v="15"/>
    <x v="14"/>
    <n v="1811"/>
    <n v="0"/>
    <n v="1811"/>
    <s v="NA"/>
    <s v="NA"/>
    <n v="10.80430042685"/>
    <n v="118.71862948905201"/>
    <n v="34.901978210558198"/>
    <m/>
    <n v="456.56724451039298"/>
    <n v="15.405269761606"/>
    <n v="20.620983854072701"/>
    <m/>
    <m/>
    <n v="348.41055637841902"/>
    <n v="2468"/>
    <s v="RSA"/>
  </r>
  <r>
    <x v="15"/>
    <x v="15"/>
    <n v="653"/>
    <n v="0"/>
    <n v="653"/>
    <s v="NA"/>
    <s v="NA"/>
    <n v="15.0265441346755"/>
    <n v="251.754252587591"/>
    <n v="246.84261782508401"/>
    <m/>
    <m/>
    <m/>
    <m/>
    <m/>
    <m/>
    <n v="-165.83595477140901"/>
    <n v="1332"/>
    <s v="DBE"/>
  </r>
  <r>
    <x v="15"/>
    <x v="16"/>
    <n v="1202"/>
    <n v="0"/>
    <n v="1202"/>
    <s v="NA"/>
    <s v="NA"/>
    <n v="675.39449831822401"/>
    <n v="77.716898071838003"/>
    <n v="32.615450209166902"/>
    <m/>
    <m/>
    <m/>
    <m/>
    <m/>
    <m/>
    <n v="845.41545624199205"/>
    <n v="1988"/>
    <s v="DBE"/>
  </r>
  <r>
    <x v="15"/>
    <x v="17"/>
    <n v="3834"/>
    <n v="0"/>
    <n v="3834"/>
    <s v="NA"/>
    <s v="NA"/>
    <n v="200.88353151467999"/>
    <n v="7759.4788938821403"/>
    <n v="1732.85559904295"/>
    <m/>
    <m/>
    <m/>
    <m/>
    <m/>
    <m/>
    <n v="-15147.2896520879"/>
    <n v="28675"/>
    <s v="DBE"/>
  </r>
  <r>
    <x v="15"/>
    <x v="18"/>
    <n v="3284"/>
    <n v="16"/>
    <n v="3300"/>
    <s v="NA"/>
    <s v="NA"/>
    <n v="440.786981726112"/>
    <n v="2182.0651277278498"/>
    <n v="1579.58126835193"/>
    <m/>
    <m/>
    <m/>
    <m/>
    <m/>
    <m/>
    <n v="-8502.5380098342102"/>
    <n v="16005"/>
    <s v="DBE"/>
  </r>
  <r>
    <x v="15"/>
    <x v="19"/>
    <n v="1113"/>
    <n v="0"/>
    <n v="1113"/>
    <s v="NA"/>
    <s v="NA"/>
    <n v="213.92079619634799"/>
    <n v="9771.1198840065099"/>
    <n v="2864.9311050349302"/>
    <m/>
    <m/>
    <m/>
    <m/>
    <m/>
    <m/>
    <n v="-9813.5039916148198"/>
    <n v="23776"/>
    <s v="DBE"/>
  </r>
  <r>
    <x v="15"/>
    <x v="20"/>
    <n v="2127"/>
    <n v="0"/>
    <n v="2127"/>
    <s v="NA"/>
    <s v="NA"/>
    <n v="110.98767730033801"/>
    <n v="4354.8437727555702"/>
    <n v="774.72694660920399"/>
    <m/>
    <m/>
    <m/>
    <m/>
    <m/>
    <m/>
    <n v="-739.531079248673"/>
    <n v="8107"/>
    <s v="DBE"/>
  </r>
  <r>
    <x v="15"/>
    <x v="21"/>
    <n v="1004"/>
    <n v="0"/>
    <n v="1004"/>
    <s v="NA"/>
    <s v="NA"/>
    <n v="6.5281829072297806E-2"/>
    <n v="368.170262379468"/>
    <n v="389.84897073503203"/>
    <m/>
    <m/>
    <m/>
    <m/>
    <m/>
    <m/>
    <n v="-2233.6893989689502"/>
    <n v="3996"/>
    <s v="DBE"/>
  </r>
  <r>
    <x v="15"/>
    <x v="22"/>
    <n v="1120"/>
    <n v="0"/>
    <n v="1120"/>
    <s v="NA"/>
    <s v="NA"/>
    <n v="2.78329511463334"/>
    <n v="202.139867707017"/>
    <n v="168.789730351381"/>
    <m/>
    <m/>
    <m/>
    <m/>
    <m/>
    <m/>
    <n v="-854.55478658142204"/>
    <n v="2348"/>
    <s v="DBE"/>
  </r>
  <r>
    <x v="15"/>
    <x v="23"/>
    <n v="3333"/>
    <n v="3"/>
    <n v="3336"/>
    <s v="NA"/>
    <s v="NA"/>
    <n v="3.5691845929568"/>
    <n v="2008.4512719984"/>
    <n v="798.17023360513701"/>
    <m/>
    <m/>
    <m/>
    <m/>
    <m/>
    <m/>
    <n v="-274.50377119879602"/>
    <n v="6421"/>
    <s v="DBE"/>
  </r>
  <r>
    <x v="15"/>
    <x v="26"/>
    <n v="122"/>
    <n v="0"/>
    <n v="122"/>
    <s v="NA"/>
    <s v="NA"/>
    <n v="26.5899186675476"/>
    <n v="734.88961028011795"/>
    <n v="88.778411886019398"/>
    <m/>
    <m/>
    <m/>
    <m/>
    <m/>
    <m/>
    <n v="-655.02368276619904"/>
    <n v="1627"/>
    <s v="DBE"/>
  </r>
  <r>
    <x v="15"/>
    <x v="27"/>
    <n v="1347"/>
    <n v="0"/>
    <n v="1347"/>
    <s v="NA"/>
    <s v="NA"/>
    <n v="6.9982069355473603E-2"/>
    <n v="433.13816693333501"/>
    <n v="491.802305418961"/>
    <m/>
    <m/>
    <m/>
    <m/>
    <m/>
    <m/>
    <n v="-989.73545416483898"/>
    <n v="3262"/>
    <s v="DBE"/>
  </r>
  <r>
    <x v="15"/>
    <x v="28"/>
    <n v="113"/>
    <n v="0"/>
    <n v="113"/>
    <s v="NA"/>
    <s v="NA"/>
    <n v="9.8512457533949404E-17"/>
    <n v="35.388564670668998"/>
    <n v="34.090367546471903"/>
    <m/>
    <m/>
    <m/>
    <m/>
    <m/>
    <m/>
    <n v="-116.00311887503101"/>
    <n v="298"/>
    <s v="DBE"/>
  </r>
  <r>
    <x v="15"/>
    <x v="29"/>
    <n v="29"/>
    <n v="0"/>
    <n v="29"/>
    <s v="NA"/>
    <s v="NA"/>
    <n v="1.138316946858E-2"/>
    <n v="20.511370840395699"/>
    <n v="22.192831132021599"/>
    <m/>
    <m/>
    <m/>
    <m/>
    <m/>
    <m/>
    <n v="-70.714461063357305"/>
    <n v="142"/>
    <s v="DBE"/>
  </r>
  <r>
    <x v="15"/>
    <x v="31"/>
    <n v="250"/>
    <n v="0"/>
    <n v="250"/>
    <s v="NA"/>
    <s v="NA"/>
    <n v="0.28228431548781702"/>
    <n v="353.85540120128098"/>
    <n v="587.620169481007"/>
    <m/>
    <m/>
    <m/>
    <m/>
    <m/>
    <m/>
    <n v="75.343938159401702"/>
    <n v="1192"/>
    <s v="DBE"/>
  </r>
  <r>
    <x v="15"/>
    <x v="32"/>
    <n v="293"/>
    <n v="0"/>
    <n v="293"/>
    <s v="NA"/>
    <s v="NA"/>
    <n v="0"/>
    <n v="564.37803623249101"/>
    <n v="135.92637806442599"/>
    <m/>
    <m/>
    <m/>
    <m/>
    <m/>
    <m/>
    <n v="-377.896349518416"/>
    <n v="1371"/>
    <s v="DBE"/>
  </r>
  <r>
    <x v="15"/>
    <x v="33"/>
    <n v="100"/>
    <n v="0"/>
    <n v="100"/>
    <s v="NA"/>
    <s v="NA"/>
    <n v="0.824953256580087"/>
    <n v="278.71697146796203"/>
    <n v="146.579215331326"/>
    <m/>
    <m/>
    <m/>
    <m/>
    <m/>
    <m/>
    <n v="5.35565937964952"/>
    <n v="526"/>
    <s v="DBE"/>
  </r>
  <r>
    <x v="15"/>
    <x v="34"/>
    <n v="0"/>
    <n v="0"/>
    <n v="0"/>
    <s v="NA"/>
    <s v="NA"/>
    <m/>
    <m/>
    <m/>
    <m/>
    <m/>
    <m/>
    <m/>
    <m/>
    <m/>
    <n v="0"/>
    <n v="0"/>
    <s v="DBE"/>
  </r>
  <r>
    <x v="15"/>
    <x v="35"/>
    <n v="277"/>
    <n v="0"/>
    <n v="277"/>
    <s v="NA"/>
    <s v="NA"/>
    <n v="0"/>
    <n v="233.550306348677"/>
    <n v="28.662369192130601"/>
    <m/>
    <m/>
    <m/>
    <m/>
    <m/>
    <m/>
    <n v="41.896431879723103"/>
    <n v="539"/>
    <s v="DBE"/>
  </r>
  <r>
    <x v="15"/>
    <x v="36"/>
    <n v="0"/>
    <n v="0"/>
    <n v="0"/>
    <s v="NA"/>
    <s v="NA"/>
    <m/>
    <m/>
    <m/>
    <m/>
    <m/>
    <m/>
    <m/>
    <m/>
    <m/>
    <n v="0"/>
    <n v="0"/>
    <s v="DBE"/>
  </r>
  <r>
    <x v="15"/>
    <x v="37"/>
    <n v="0"/>
    <n v="0"/>
    <n v="0"/>
    <s v="NA"/>
    <s v="NA"/>
    <m/>
    <m/>
    <m/>
    <m/>
    <m/>
    <m/>
    <m/>
    <m/>
    <m/>
    <n v="0"/>
    <n v="0"/>
    <s v="DBE"/>
  </r>
  <r>
    <x v="15"/>
    <x v="38"/>
    <n v="0"/>
    <n v="0"/>
    <n v="0"/>
    <s v="NA"/>
    <s v="NA"/>
    <m/>
    <m/>
    <m/>
    <m/>
    <m/>
    <m/>
    <m/>
    <m/>
    <m/>
    <n v="0"/>
    <n v="0"/>
    <s v="DBE"/>
  </r>
  <r>
    <x v="15"/>
    <x v="39"/>
    <n v="216"/>
    <n v="0"/>
    <n v="216"/>
    <s v="NA"/>
    <s v="NA"/>
    <n v="0"/>
    <n v="401.39784611066"/>
    <n v="54.190570594147303"/>
    <m/>
    <m/>
    <m/>
    <m/>
    <m/>
    <m/>
    <n v="-352.64700653565302"/>
    <n v="1024"/>
    <s v="DBE"/>
  </r>
  <r>
    <x v="15"/>
    <x v="40"/>
    <n v="0"/>
    <n v="0"/>
    <n v="0"/>
    <s v="NA"/>
    <s v="NA"/>
    <m/>
    <m/>
    <m/>
    <m/>
    <m/>
    <m/>
    <m/>
    <m/>
    <m/>
    <n v="0"/>
    <n v="0"/>
    <s v="DBE"/>
  </r>
  <r>
    <x v="15"/>
    <x v="41"/>
    <n v="0"/>
    <n v="0"/>
    <n v="0"/>
    <s v="NA"/>
    <s v="NA"/>
    <m/>
    <m/>
    <m/>
    <m/>
    <m/>
    <m/>
    <m/>
    <m/>
    <m/>
    <n v="0"/>
    <n v="0"/>
    <s v="DBE"/>
  </r>
  <r>
    <x v="15"/>
    <x v="42"/>
    <n v="13"/>
    <n v="0"/>
    <n v="13"/>
    <s v="NA"/>
    <s v="NA"/>
    <m/>
    <n v="44.883709003296303"/>
    <n v="1.4323359957205799"/>
    <m/>
    <m/>
    <m/>
    <m/>
    <m/>
    <m/>
    <n v="-4.6204449471863702"/>
    <n v="64"/>
    <s v="DBE"/>
  </r>
  <r>
    <x v="15"/>
    <x v="43"/>
    <n v="137"/>
    <n v="0"/>
    <n v="137"/>
    <s v="NA"/>
    <s v="NA"/>
    <m/>
    <n v="253.881805761691"/>
    <n v="27.484412442973401"/>
    <m/>
    <m/>
    <m/>
    <m/>
    <m/>
    <m/>
    <n v="0.75240782127635697"/>
    <n v="418"/>
    <s v="DBE"/>
  </r>
  <r>
    <x v="15"/>
    <x v="44"/>
    <n v="18"/>
    <n v="0"/>
    <n v="18"/>
    <s v="NA"/>
    <s v="NA"/>
    <m/>
    <n v="41.527985194476997"/>
    <n v="3.2999591466247198"/>
    <m/>
    <m/>
    <m/>
    <m/>
    <m/>
    <m/>
    <n v="-8.2080049541507503"/>
    <n v="71"/>
    <s v="DBE"/>
  </r>
  <r>
    <x v="15"/>
    <x v="45"/>
    <n v="0"/>
    <n v="0"/>
    <n v="0"/>
    <s v="NA"/>
    <s v="NA"/>
    <m/>
    <m/>
    <m/>
    <m/>
    <m/>
    <m/>
    <m/>
    <m/>
    <m/>
    <n v="0"/>
    <n v="0"/>
    <s v="DBE"/>
  </r>
  <r>
    <x v="15"/>
    <x v="46"/>
    <n v="16"/>
    <n v="0"/>
    <n v="16"/>
    <s v="NA"/>
    <s v="NA"/>
    <m/>
    <n v="174.124579836419"/>
    <n v="2.0072305919381499"/>
    <m/>
    <m/>
    <m/>
    <m/>
    <m/>
    <m/>
    <n v="-57.773735095647503"/>
    <n v="250"/>
    <s v="DBE"/>
  </r>
  <r>
    <x v="15"/>
    <x v="47"/>
    <n v="85"/>
    <n v="0"/>
    <n v="85"/>
    <s v="NA"/>
    <s v="NA"/>
    <m/>
    <n v="445.15643542992802"/>
    <n v="18.083935699644002"/>
    <m/>
    <m/>
    <m/>
    <m/>
    <m/>
    <m/>
    <m/>
    <n v="548"/>
    <s v="NA"/>
  </r>
  <r>
    <x v="15"/>
    <x v="48"/>
    <n v="0"/>
    <n v="0"/>
    <n v="0"/>
    <s v="NA"/>
    <s v="NA"/>
    <m/>
    <m/>
    <m/>
    <m/>
    <m/>
    <m/>
    <m/>
    <m/>
    <m/>
    <m/>
    <n v="0"/>
    <s v="RSA"/>
  </r>
  <r>
    <x v="15"/>
    <x v="49"/>
    <n v="4"/>
    <n v="0"/>
    <n v="4"/>
    <s v="NA"/>
    <s v="NA"/>
    <m/>
    <n v="14.8016666666667"/>
    <n v="1"/>
    <m/>
    <m/>
    <m/>
    <m/>
    <m/>
    <m/>
    <m/>
    <n v="20"/>
    <s v="NA"/>
  </r>
  <r>
    <x v="15"/>
    <x v="50"/>
    <n v="22"/>
    <n v="0"/>
    <n v="22"/>
    <s v="NA"/>
    <s v="NA"/>
    <m/>
    <n v="103.25845147219199"/>
    <n v="2"/>
    <m/>
    <m/>
    <m/>
    <m/>
    <m/>
    <m/>
    <m/>
    <n v="127"/>
    <s v="NA"/>
  </r>
  <r>
    <x v="15"/>
    <x v="51"/>
    <n v="433"/>
    <n v="3"/>
    <n v="436"/>
    <s v="NA"/>
    <s v="NA"/>
    <m/>
    <n v="3352.21933085502"/>
    <n v="270.89591078067002"/>
    <m/>
    <m/>
    <m/>
    <m/>
    <m/>
    <m/>
    <m/>
    <n v="4059"/>
    <s v="NA"/>
  </r>
  <r>
    <x v="15"/>
    <x v="52"/>
    <n v="5"/>
    <n v="0"/>
    <n v="5"/>
    <s v="NA"/>
    <s v="NA"/>
    <m/>
    <n v="58.928994082840198"/>
    <n v="1"/>
    <m/>
    <m/>
    <m/>
    <m/>
    <m/>
    <m/>
    <m/>
    <n v="65"/>
    <s v="NA"/>
  </r>
  <r>
    <x v="15"/>
    <x v="53"/>
    <n v="2"/>
    <n v="0"/>
    <n v="2"/>
    <s v="NA"/>
    <s v="NA"/>
    <m/>
    <n v="7.2918617614269801"/>
    <n v="1"/>
    <m/>
    <m/>
    <m/>
    <m/>
    <m/>
    <m/>
    <m/>
    <n v="10"/>
    <s v="NA"/>
  </r>
  <r>
    <x v="15"/>
    <x v="54"/>
    <n v="40"/>
    <n v="0"/>
    <n v="40"/>
    <s v="NA"/>
    <s v="NA"/>
    <m/>
    <n v="152.160482868809"/>
    <n v="5"/>
    <m/>
    <m/>
    <m/>
    <m/>
    <m/>
    <m/>
    <m/>
    <n v="197"/>
    <s v="NA"/>
  </r>
  <r>
    <x v="15"/>
    <x v="55"/>
    <n v="275"/>
    <n v="0"/>
    <n v="275"/>
    <s v="NA"/>
    <s v="NA"/>
    <m/>
    <n v="740.24261288032699"/>
    <n v="39"/>
    <m/>
    <m/>
    <m/>
    <m/>
    <m/>
    <m/>
    <m/>
    <n v="1054"/>
    <s v="NA"/>
  </r>
  <r>
    <x v="15"/>
    <x v="56"/>
    <n v="16"/>
    <n v="0"/>
    <n v="16"/>
    <s v="NA"/>
    <s v="NA"/>
    <m/>
    <n v="221.149355572404"/>
    <n v="5.9681576952236597"/>
    <m/>
    <m/>
    <m/>
    <m/>
    <m/>
    <m/>
    <m/>
    <n v="243"/>
    <s v="NA"/>
  </r>
  <r>
    <x v="15"/>
    <x v="57"/>
    <n v="4"/>
    <n v="0"/>
    <n v="4"/>
    <s v="NA"/>
    <s v="NA"/>
    <m/>
    <n v="20.766984126984099"/>
    <n v="0.66666666666666696"/>
    <m/>
    <m/>
    <m/>
    <m/>
    <m/>
    <m/>
    <m/>
    <n v="25"/>
    <s v="NA"/>
  </r>
  <r>
    <x v="15"/>
    <x v="58"/>
    <n v="104"/>
    <n v="0"/>
    <n v="104"/>
    <s v="NA"/>
    <s v="NA"/>
    <m/>
    <n v="255.08442330558901"/>
    <n v="22.552913198573201"/>
    <m/>
    <m/>
    <m/>
    <m/>
    <m/>
    <m/>
    <m/>
    <n v="382"/>
    <s v="NA"/>
  </r>
  <r>
    <x v="15"/>
    <x v="59"/>
    <n v="85"/>
    <n v="0"/>
    <n v="85"/>
    <s v="NA"/>
    <s v="NA"/>
    <m/>
    <n v="185.055409466566"/>
    <n v="28.977272727272702"/>
    <m/>
    <m/>
    <m/>
    <m/>
    <m/>
    <m/>
    <m/>
    <n v="299"/>
    <s v="RSA"/>
  </r>
  <r>
    <x v="15"/>
    <x v="60"/>
    <n v="92"/>
    <n v="0"/>
    <n v="92"/>
    <s v="NA"/>
    <s v="NA"/>
    <m/>
    <n v="123.95048390727"/>
    <n v="12.0099032185461"/>
    <m/>
    <m/>
    <m/>
    <m/>
    <m/>
    <m/>
    <m/>
    <n v="228"/>
    <s v="NA"/>
  </r>
  <r>
    <x v="15"/>
    <x v="61"/>
    <n v="14"/>
    <n v="0"/>
    <n v="14"/>
    <s v="NA"/>
    <s v="NA"/>
    <m/>
    <n v="29.705325903848699"/>
    <n v="1.5347933134637799"/>
    <m/>
    <m/>
    <m/>
    <m/>
    <m/>
    <m/>
    <m/>
    <n v="45"/>
    <s v="NA"/>
  </r>
  <r>
    <x v="15"/>
    <x v="62"/>
    <n v="335"/>
    <n v="0"/>
    <n v="335"/>
    <s v="NA"/>
    <s v="NA"/>
    <m/>
    <n v="743.29856252385196"/>
    <n v="50.200992240173001"/>
    <m/>
    <m/>
    <m/>
    <m/>
    <m/>
    <m/>
    <m/>
    <n v="1128"/>
    <s v="NA"/>
  </r>
  <r>
    <x v="15"/>
    <x v="63"/>
    <n v="23"/>
    <n v="0"/>
    <n v="23"/>
    <s v="NA"/>
    <s v="NA"/>
    <m/>
    <n v="70.607016509433905"/>
    <n v="3.9293926886792399"/>
    <m/>
    <m/>
    <m/>
    <m/>
    <m/>
    <m/>
    <m/>
    <n v="98"/>
    <s v="RSA"/>
  </r>
  <r>
    <x v="15"/>
    <x v="64"/>
    <n v="203"/>
    <n v="0"/>
    <n v="203"/>
    <s v="NA"/>
    <s v="NA"/>
    <m/>
    <n v="946.39757994814204"/>
    <n v="16.590127724959199"/>
    <m/>
    <m/>
    <m/>
    <m/>
    <m/>
    <m/>
    <m/>
    <n v="1166"/>
    <s v="NA"/>
  </r>
  <r>
    <x v="15"/>
    <x v="65"/>
    <n v="0"/>
    <n v="0"/>
    <n v="0"/>
    <s v="NA"/>
    <s v="NA"/>
    <m/>
    <m/>
    <m/>
    <m/>
    <m/>
    <m/>
    <m/>
    <m/>
    <m/>
    <m/>
    <n v="0"/>
    <s v="NA"/>
  </r>
  <r>
    <x v="15"/>
    <x v="66"/>
    <n v="38"/>
    <n v="0"/>
    <n v="38"/>
    <s v="NA"/>
    <s v="NA"/>
    <m/>
    <n v="134.98540251481401"/>
    <n v="2"/>
    <m/>
    <m/>
    <m/>
    <m/>
    <m/>
    <m/>
    <m/>
    <n v="175"/>
    <s v="NA"/>
  </r>
  <r>
    <x v="15"/>
    <x v="67"/>
    <n v="2"/>
    <n v="0"/>
    <n v="2"/>
    <s v="NA"/>
    <s v="NA"/>
    <m/>
    <n v="9.6234096692112008"/>
    <n v="0.47726518420179198"/>
    <m/>
    <m/>
    <m/>
    <m/>
    <m/>
    <m/>
    <m/>
    <n v="12"/>
    <s v="NA"/>
  </r>
  <r>
    <x v="15"/>
    <x v="68"/>
    <n v="97"/>
    <n v="0"/>
    <n v="97"/>
    <s v="NA"/>
    <s v="NA"/>
    <m/>
    <n v="490"/>
    <n v="24.2406334492082"/>
    <m/>
    <m/>
    <m/>
    <m/>
    <m/>
    <m/>
    <m/>
    <n v="611"/>
    <s v="RSA"/>
  </r>
  <r>
    <x v="15"/>
    <x v="69"/>
    <n v="0"/>
    <n v="0"/>
    <n v="0"/>
    <s v="NA"/>
    <s v="NA"/>
    <m/>
    <m/>
    <m/>
    <m/>
    <m/>
    <m/>
    <m/>
    <m/>
    <m/>
    <m/>
    <n v="0"/>
    <s v="NA"/>
  </r>
  <r>
    <x v="15"/>
    <x v="70"/>
    <n v="0"/>
    <n v="0"/>
    <n v="0"/>
    <s v="NA"/>
    <s v="NA"/>
    <m/>
    <m/>
    <m/>
    <m/>
    <m/>
    <m/>
    <m/>
    <m/>
    <m/>
    <m/>
    <n v="0"/>
    <s v="NA"/>
  </r>
  <r>
    <x v="15"/>
    <x v="71"/>
    <n v="0"/>
    <n v="0"/>
    <n v="0"/>
    <s v="NA"/>
    <s v="NA"/>
    <m/>
    <m/>
    <m/>
    <m/>
    <m/>
    <m/>
    <m/>
    <m/>
    <m/>
    <m/>
    <n v="0"/>
    <s v="NA"/>
  </r>
  <r>
    <x v="16"/>
    <x v="0"/>
    <n v="3438"/>
    <n v="27"/>
    <n v="3465"/>
    <s v="NA"/>
    <s v="NA"/>
    <n v="2.3514756223681799"/>
    <n v="52.5839875541553"/>
    <n v="8.0578328593006692"/>
    <m/>
    <n v="1033"/>
    <n v="693"/>
    <m/>
    <n v="8"/>
    <n v="5"/>
    <n v="1028.42412430883"/>
    <n v="5267"/>
    <s v="RSA"/>
  </r>
  <r>
    <x v="16"/>
    <x v="1"/>
    <n v="18367"/>
    <n v="0"/>
    <n v="18367"/>
    <s v="NA"/>
    <s v="NA"/>
    <n v="2063.0706282849201"/>
    <n v="18814.2110863692"/>
    <n v="1041.4089776365599"/>
    <m/>
    <n v="4592"/>
    <m/>
    <m/>
    <m/>
    <m/>
    <n v="-15556.056309411701"/>
    <n v="44878"/>
    <s v="RSA"/>
  </r>
  <r>
    <x v="16"/>
    <x v="2"/>
    <n v="2887"/>
    <n v="15"/>
    <n v="2902"/>
    <s v="NA"/>
    <s v="NA"/>
    <n v="223.104840963681"/>
    <n v="31.346404845731001"/>
    <n v="21.0235906015909"/>
    <m/>
    <n v="722"/>
    <m/>
    <m/>
    <n v="4"/>
    <m/>
    <n v="-2623.2021591620301"/>
    <n v="3903"/>
    <s v="RSA"/>
  </r>
  <r>
    <x v="16"/>
    <x v="3"/>
    <n v="20"/>
    <n v="0"/>
    <n v="20"/>
    <s v="NA"/>
    <s v="NA"/>
    <n v="1.9752642747495099"/>
    <n v="3.0909140380456401"/>
    <n v="0.27816567577541601"/>
    <m/>
    <n v="20"/>
    <m/>
    <m/>
    <m/>
    <m/>
    <n v="-6.0136629395935"/>
    <n v="45"/>
    <s v="RSA"/>
  </r>
  <r>
    <x v="16"/>
    <x v="4"/>
    <n v="520"/>
    <n v="0"/>
    <n v="520"/>
    <s v="NA"/>
    <s v="NA"/>
    <n v="39.919540643534397"/>
    <n v="13.4259733502457"/>
    <n v="1.51395459408791"/>
    <m/>
    <n v="279.84732824427499"/>
    <m/>
    <m/>
    <m/>
    <m/>
    <n v="-254.273516536497"/>
    <n v="855"/>
    <s v="RSA"/>
  </r>
  <r>
    <x v="16"/>
    <x v="5"/>
    <n v="35548"/>
    <n v="0"/>
    <n v="35548"/>
    <s v="NA"/>
    <s v="NA"/>
    <n v="55.229639573409997"/>
    <n v="78968.926946099498"/>
    <n v="5994.7529773168799"/>
    <m/>
    <n v="6273"/>
    <m/>
    <n v="-33407"/>
    <m/>
    <m/>
    <n v="-61410.067032305997"/>
    <n v="93433"/>
    <s v="RSA"/>
  </r>
  <r>
    <x v="16"/>
    <x v="6"/>
    <n v="1198"/>
    <n v="67"/>
    <n v="1265"/>
    <s v="NA"/>
    <s v="NA"/>
    <n v="52.027684292628997"/>
    <n v="281.43228206224501"/>
    <n v="136.320699910982"/>
    <m/>
    <n v="399"/>
    <m/>
    <n v="-250"/>
    <n v="22"/>
    <m/>
    <n v="-5154.6228810057"/>
    <n v="1906"/>
    <s v="RSA"/>
  </r>
  <r>
    <x v="16"/>
    <x v="7"/>
    <n v="41"/>
    <n v="0"/>
    <n v="41"/>
    <s v="NA"/>
    <s v="NA"/>
    <n v="555.94001178009"/>
    <n v="5.3078425135059897"/>
    <n v="0.39010777104064898"/>
    <m/>
    <n v="34"/>
    <m/>
    <n v="-414"/>
    <m/>
    <m/>
    <n v="-185.93213216765599"/>
    <n v="223"/>
    <s v="RSA"/>
  </r>
  <r>
    <x v="16"/>
    <x v="8"/>
    <n v="36"/>
    <n v="0"/>
    <n v="36"/>
    <s v="NA"/>
    <s v="NA"/>
    <n v="22.48922440646"/>
    <n v="432.30060531370202"/>
    <n v="13.522248991318101"/>
    <m/>
    <n v="29"/>
    <m/>
    <n v="-451"/>
    <m/>
    <m/>
    <n v="-6220.1243910345702"/>
    <n v="82"/>
    <s v="RSA"/>
  </r>
  <r>
    <x v="16"/>
    <x v="9"/>
    <n v="24275"/>
    <n v="0"/>
    <n v="24275"/>
    <s v="NA"/>
    <s v="NA"/>
    <n v="1010.30588344739"/>
    <n v="93570.068982901706"/>
    <n v="4002.4369216846599"/>
    <m/>
    <n v="6068.9993016472899"/>
    <m/>
    <n v="-45205.369099946598"/>
    <m/>
    <m/>
    <n v="-64836.804062691503"/>
    <n v="83721"/>
    <s v="RSA"/>
  </r>
  <r>
    <x v="16"/>
    <x v="10"/>
    <n v="7327"/>
    <n v="182"/>
    <n v="7509"/>
    <s v="NA"/>
    <s v="NA"/>
    <n v="264.063059603027"/>
    <n v="1435.1670009250099"/>
    <n v="249.908701264901"/>
    <m/>
    <n v="3945.5376768226301"/>
    <m/>
    <n v="-749.44287268770404"/>
    <n v="97.666757344940194"/>
    <m/>
    <n v="-24863.7982934557"/>
    <n v="12752"/>
    <s v="RSA"/>
  </r>
  <r>
    <x v="16"/>
    <x v="11"/>
    <n v="25"/>
    <n v="0"/>
    <n v="25"/>
    <s v="NA"/>
    <s v="NA"/>
    <n v="5.5611837908690003"/>
    <n v="250.064268389592"/>
    <n v="265.373269993375"/>
    <n v="-438"/>
    <n v="94"/>
    <m/>
    <m/>
    <m/>
    <m/>
    <n v="-859.33456151930204"/>
    <n v="202"/>
    <s v="RSA"/>
  </r>
  <r>
    <x v="16"/>
    <x v="12"/>
    <n v="1114"/>
    <n v="0"/>
    <n v="1114"/>
    <s v="NA"/>
    <s v="NA"/>
    <n v="106.388124072284"/>
    <n v="5232.0511889127602"/>
    <n v="1736.9958741980799"/>
    <m/>
    <n v="897"/>
    <n v="707"/>
    <n v="-5517"/>
    <m/>
    <m/>
    <n v="-23733.796484463899"/>
    <n v="4276"/>
    <s v="RSA"/>
  </r>
  <r>
    <x v="16"/>
    <x v="13"/>
    <n v="57870"/>
    <n v="0"/>
    <n v="57870"/>
    <s v="NA"/>
    <s v="NA"/>
    <n v="0"/>
    <n v="270081.72970019199"/>
    <m/>
    <m/>
    <n v="5686"/>
    <n v="17675"/>
    <n v="-187098"/>
    <m/>
    <m/>
    <n v="-121665.584943972"/>
    <n v="164215"/>
    <s v="RSA"/>
  </r>
  <r>
    <x v="16"/>
    <x v="14"/>
    <n v="1773"/>
    <n v="63"/>
    <n v="1836"/>
    <s v="NA"/>
    <s v="NA"/>
    <n v="589.28518415500503"/>
    <n v="322.02038879834799"/>
    <n v="31.159848180005898"/>
    <m/>
    <n v="760"/>
    <m/>
    <n v="-738"/>
    <n v="27"/>
    <m/>
    <n v="-4895.8861238140698"/>
    <n v="2827"/>
    <s v="RSA"/>
  </r>
  <r>
    <x v="16"/>
    <x v="15"/>
    <n v="97"/>
    <n v="0"/>
    <n v="97"/>
    <s v="NA"/>
    <s v="NA"/>
    <n v="3.6434760686190999"/>
    <n v="378.138463770351"/>
    <n v="467.434086445579"/>
    <m/>
    <m/>
    <m/>
    <m/>
    <m/>
    <m/>
    <n v="-2001.4581261825299"/>
    <n v="2948"/>
    <s v="DBE"/>
  </r>
  <r>
    <x v="16"/>
    <x v="16"/>
    <n v="1699"/>
    <n v="0"/>
    <n v="1699"/>
    <s v="NA"/>
    <s v="NA"/>
    <n v="423.71224175539999"/>
    <n v="1425.7188069255501"/>
    <n v="1264.2605246217199"/>
    <m/>
    <m/>
    <m/>
    <m/>
    <m/>
    <m/>
    <n v="-15245.144762325999"/>
    <n v="20058"/>
    <s v="DBE"/>
  </r>
  <r>
    <x v="16"/>
    <x v="17"/>
    <n v="18882"/>
    <n v="0"/>
    <n v="18882"/>
    <s v="NA"/>
    <s v="NA"/>
    <n v="388.53222506916097"/>
    <n v="36692.712137485098"/>
    <n v="5746.7136638635902"/>
    <m/>
    <m/>
    <m/>
    <m/>
    <m/>
    <m/>
    <n v="-120270.900553853"/>
    <n v="181981"/>
    <s v="DBE"/>
  </r>
  <r>
    <x v="16"/>
    <x v="18"/>
    <n v="12082"/>
    <n v="8"/>
    <n v="12090"/>
    <s v="NA"/>
    <s v="NA"/>
    <n v="1105.19671187725"/>
    <n v="1270.0978914234199"/>
    <n v="1218.05813920676"/>
    <m/>
    <m/>
    <m/>
    <m/>
    <m/>
    <m/>
    <n v="-12266.120179985999"/>
    <n v="27949"/>
    <s v="DBE"/>
  </r>
  <r>
    <x v="16"/>
    <x v="19"/>
    <n v="1287"/>
    <n v="25"/>
    <n v="1312"/>
    <s v="NA"/>
    <s v="NA"/>
    <n v="368.88828520726901"/>
    <n v="644.00711984145096"/>
    <n v="962.80043786941405"/>
    <m/>
    <m/>
    <m/>
    <m/>
    <m/>
    <m/>
    <n v="-2342.1342172542199"/>
    <n v="5630"/>
    <s v="DBE"/>
  </r>
  <r>
    <x v="16"/>
    <x v="20"/>
    <n v="4940"/>
    <n v="86"/>
    <n v="5026"/>
    <s v="NA"/>
    <s v="NA"/>
    <n v="1089.0364875400101"/>
    <n v="13448.306636523101"/>
    <n v="4709.9966149219899"/>
    <m/>
    <m/>
    <m/>
    <m/>
    <m/>
    <m/>
    <n v="-58613.072147314997"/>
    <n v="82886"/>
    <s v="DBE"/>
  </r>
  <r>
    <x v="16"/>
    <x v="21"/>
    <n v="14953"/>
    <n v="12"/>
    <n v="14965"/>
    <s v="NA"/>
    <s v="NA"/>
    <n v="1.14425087495255"/>
    <n v="4967.8106722223602"/>
    <n v="556.75186372220605"/>
    <m/>
    <m/>
    <m/>
    <m/>
    <m/>
    <m/>
    <n v="-15561.4359372289"/>
    <n v="36052"/>
    <s v="DBE"/>
  </r>
  <r>
    <x v="16"/>
    <x v="22"/>
    <n v="3150"/>
    <n v="9"/>
    <n v="3159"/>
    <s v="NA"/>
    <s v="NA"/>
    <n v="266.89140655717699"/>
    <n v="3954.8549727402601"/>
    <n v="1015.27735594738"/>
    <m/>
    <m/>
    <m/>
    <m/>
    <m/>
    <m/>
    <n v="-27610.613422247799"/>
    <n v="36007"/>
    <s v="DBE"/>
  </r>
  <r>
    <x v="16"/>
    <x v="23"/>
    <n v="1269"/>
    <n v="0"/>
    <n v="1269"/>
    <s v="NA"/>
    <s v="NA"/>
    <n v="35.944150179892901"/>
    <n v="36411.826924371599"/>
    <n v="6944.3282364135803"/>
    <m/>
    <m/>
    <m/>
    <m/>
    <m/>
    <m/>
    <n v="-34486.298663478599"/>
    <n v="79147"/>
    <s v="DBE"/>
  </r>
  <r>
    <x v="16"/>
    <x v="24"/>
    <n v="6264"/>
    <n v="211"/>
    <n v="6475"/>
    <s v="NA"/>
    <s v="NA"/>
    <n v="495.83040229114101"/>
    <n v="3175.1024622014102"/>
    <n v="114.17008222619801"/>
    <m/>
    <m/>
    <m/>
    <m/>
    <m/>
    <m/>
    <n v="-18710.605860657801"/>
    <n v="28971"/>
    <s v="DBE"/>
  </r>
  <r>
    <x v="16"/>
    <x v="25"/>
    <n v="25179"/>
    <n v="26"/>
    <n v="25205"/>
    <s v="NA"/>
    <s v="NA"/>
    <n v="2282.8931873102001"/>
    <n v="12650.993790151"/>
    <n v="450.06749730760799"/>
    <m/>
    <m/>
    <m/>
    <m/>
    <m/>
    <m/>
    <n v="-76181.2146680101"/>
    <n v="116770"/>
    <s v="DBE"/>
  </r>
  <r>
    <x v="16"/>
    <x v="26"/>
    <n v="9766"/>
    <n v="8"/>
    <n v="9774"/>
    <s v="NA"/>
    <s v="NA"/>
    <n v="2932.0059808503802"/>
    <n v="157600.90158817501"/>
    <n v="2061.4366738407498"/>
    <m/>
    <m/>
    <m/>
    <m/>
    <m/>
    <m/>
    <n v="-25858.7072223385"/>
    <n v="198227"/>
    <s v="DBE"/>
  </r>
  <r>
    <x v="16"/>
    <x v="27"/>
    <n v="3422"/>
    <n v="5"/>
    <n v="3427"/>
    <s v="NA"/>
    <s v="NA"/>
    <n v="604.85612521861299"/>
    <n v="9142.7777714592503"/>
    <n v="2264.2298578445302"/>
    <m/>
    <m/>
    <m/>
    <m/>
    <m/>
    <m/>
    <n v="-10602.1024499134"/>
    <n v="26041"/>
    <s v="DBE"/>
  </r>
  <r>
    <x v="16"/>
    <x v="28"/>
    <n v="7875"/>
    <n v="572"/>
    <n v="8447"/>
    <s v="NA"/>
    <s v="NA"/>
    <n v="70.341319165444702"/>
    <n v="7837.6608652591804"/>
    <n v="977.251894258324"/>
    <m/>
    <m/>
    <m/>
    <m/>
    <m/>
    <m/>
    <n v="-7749.4921237487097"/>
    <n v="25082"/>
    <s v="DBE"/>
  </r>
  <r>
    <x v="16"/>
    <x v="29"/>
    <n v="9270"/>
    <n v="0"/>
    <n v="9270"/>
    <s v="NA"/>
    <s v="NA"/>
    <n v="706.27040080845802"/>
    <n v="53350.6695099352"/>
    <n v="1481.90267230123"/>
    <m/>
    <m/>
    <m/>
    <m/>
    <m/>
    <m/>
    <n v="5134.2721130872997"/>
    <n v="64809"/>
    <s v="DBE"/>
  </r>
  <r>
    <x v="16"/>
    <x v="30"/>
    <n v="19760"/>
    <n v="0"/>
    <n v="19760"/>
    <s v="NA"/>
    <s v="NA"/>
    <n v="7390.2037921088204"/>
    <n v="166493.35232412801"/>
    <m/>
    <m/>
    <m/>
    <m/>
    <m/>
    <m/>
    <m/>
    <n v="-34529.348674961897"/>
    <n v="228173"/>
    <s v="DBE"/>
  </r>
  <r>
    <x v="16"/>
    <x v="31"/>
    <n v="2706"/>
    <n v="89"/>
    <n v="2795"/>
    <s v="NA"/>
    <s v="NA"/>
    <n v="447.48337167218602"/>
    <n v="13915.428128559701"/>
    <n v="39.636988918609099"/>
    <m/>
    <m/>
    <m/>
    <m/>
    <m/>
    <m/>
    <n v="-756.50705113972901"/>
    <n v="17954"/>
    <s v="DBE"/>
  </r>
  <r>
    <x v="16"/>
    <x v="32"/>
    <n v="12053"/>
    <n v="158"/>
    <n v="12211"/>
    <s v="NA"/>
    <s v="NA"/>
    <n v="708.33908904044301"/>
    <n v="31672.132002605402"/>
    <n v="678.94715604946805"/>
    <m/>
    <m/>
    <m/>
    <m/>
    <m/>
    <m/>
    <n v="-10455.8112516608"/>
    <n v="55726"/>
    <s v="DBE"/>
  </r>
  <r>
    <x v="16"/>
    <x v="33"/>
    <n v="18336"/>
    <n v="143"/>
    <n v="18479"/>
    <s v="NA"/>
    <s v="NA"/>
    <n v="1096.6421631861699"/>
    <n v="42547.385317450397"/>
    <n v="131.444154802486"/>
    <m/>
    <m/>
    <m/>
    <m/>
    <m/>
    <m/>
    <n v="254.78763840818601"/>
    <n v="62254"/>
    <s v="DBE"/>
  </r>
  <r>
    <x v="16"/>
    <x v="34"/>
    <n v="7900"/>
    <n v="182"/>
    <n v="8082"/>
    <s v="NA"/>
    <s v="NA"/>
    <n v="2105.97950587491"/>
    <n v="38117.996060700498"/>
    <n v="432.07759699624501"/>
    <m/>
    <m/>
    <m/>
    <m/>
    <m/>
    <m/>
    <n v="-37485.589343814703"/>
    <n v="86224"/>
    <s v="DBE"/>
  </r>
  <r>
    <x v="16"/>
    <x v="35"/>
    <n v="1050"/>
    <n v="361"/>
    <n v="1411"/>
    <s v="NA"/>
    <s v="NA"/>
    <n v="0"/>
    <n v="23233.7434307203"/>
    <n v="1046"/>
    <m/>
    <m/>
    <m/>
    <m/>
    <m/>
    <m/>
    <n v="-4975.0078944827401"/>
    <n v="30666"/>
    <s v="DBE"/>
  </r>
  <r>
    <x v="16"/>
    <x v="36"/>
    <n v="6820"/>
    <n v="222"/>
    <n v="7042"/>
    <s v="NA"/>
    <s v="NA"/>
    <n v="31.547026714620699"/>
    <n v="43337.549709942199"/>
    <n v="769.48408110532102"/>
    <m/>
    <m/>
    <m/>
    <m/>
    <m/>
    <m/>
    <n v="-3174.81792586247"/>
    <n v="54355"/>
    <s v="DBE"/>
  </r>
  <r>
    <x v="16"/>
    <x v="37"/>
    <n v="14291"/>
    <n v="156"/>
    <n v="14447"/>
    <s v="NA"/>
    <s v="NA"/>
    <n v="901.50051415871201"/>
    <n v="184547.77993886499"/>
    <n v="2482.0722264126998"/>
    <m/>
    <m/>
    <m/>
    <m/>
    <m/>
    <m/>
    <n v="-40699.745771590497"/>
    <n v="243078"/>
    <s v="DBE"/>
  </r>
  <r>
    <x v="16"/>
    <x v="38"/>
    <n v="1765"/>
    <n v="318"/>
    <n v="2083"/>
    <s v="NA"/>
    <s v="NA"/>
    <n v="3.5164818480617699"/>
    <n v="10701.467725969"/>
    <n v="26.466648879144099"/>
    <m/>
    <m/>
    <m/>
    <m/>
    <m/>
    <m/>
    <n v="-956.00437406240098"/>
    <n v="13770"/>
    <s v="DBE"/>
  </r>
  <r>
    <x v="16"/>
    <x v="39"/>
    <n v="1710"/>
    <n v="58"/>
    <n v="1768"/>
    <s v="NA"/>
    <s v="NA"/>
    <n v="0"/>
    <n v="8318.6225873893909"/>
    <n v="71.116926955222297"/>
    <m/>
    <m/>
    <m/>
    <m/>
    <m/>
    <m/>
    <n v="164.416496423034"/>
    <n v="10158"/>
    <s v="DBE"/>
  </r>
  <r>
    <x v="16"/>
    <x v="40"/>
    <n v="7747"/>
    <n v="198"/>
    <n v="7945"/>
    <s v="NA"/>
    <s v="NA"/>
    <n v="1270.9214769267301"/>
    <n v="59404.069761918698"/>
    <n v="246.58450420490601"/>
    <m/>
    <m/>
    <m/>
    <m/>
    <m/>
    <m/>
    <n v="-6906.6317499445804"/>
    <n v="75773"/>
    <s v="DBE"/>
  </r>
  <r>
    <x v="16"/>
    <x v="41"/>
    <n v="23867"/>
    <n v="98"/>
    <n v="23965"/>
    <s v="NA"/>
    <s v="NA"/>
    <m/>
    <n v="72850.509339569093"/>
    <n v="275.57091000408599"/>
    <m/>
    <m/>
    <m/>
    <m/>
    <m/>
    <m/>
    <n v="-10909.642911778499"/>
    <n v="108001"/>
    <s v="DBE"/>
  </r>
  <r>
    <x v="16"/>
    <x v="42"/>
    <n v="5855"/>
    <n v="231"/>
    <n v="6086"/>
    <s v="NA"/>
    <s v="NA"/>
    <m/>
    <n v="35071.565065659997"/>
    <n v="364.93057857359997"/>
    <m/>
    <m/>
    <m/>
    <m/>
    <m/>
    <m/>
    <n v="-5228.48258791441"/>
    <n v="46751"/>
    <s v="DBE"/>
  </r>
  <r>
    <x v="16"/>
    <x v="43"/>
    <n v="1800"/>
    <n v="198"/>
    <n v="1998"/>
    <s v="NA"/>
    <s v="NA"/>
    <m/>
    <n v="1262.5447242312"/>
    <n v="83.961981534679595"/>
    <m/>
    <m/>
    <m/>
    <m/>
    <m/>
    <m/>
    <n v="-1064.59527524387"/>
    <n v="4409"/>
    <s v="DBE"/>
  </r>
  <r>
    <x v="16"/>
    <x v="44"/>
    <n v="3575"/>
    <n v="88"/>
    <n v="3663"/>
    <s v="NA"/>
    <s v="NA"/>
    <m/>
    <n v="11301.063154600201"/>
    <n v="225.68491614942701"/>
    <m/>
    <m/>
    <m/>
    <m/>
    <m/>
    <m/>
    <n v="-1249.86605095608"/>
    <n v="16440"/>
    <s v="DBE"/>
  </r>
  <r>
    <x v="16"/>
    <x v="45"/>
    <n v="9978"/>
    <n v="252"/>
    <n v="10230"/>
    <s v="NA"/>
    <s v="NA"/>
    <m/>
    <n v="26578.313458509401"/>
    <n v="273.77460155472301"/>
    <m/>
    <m/>
    <m/>
    <m/>
    <m/>
    <m/>
    <n v="1207.5744464402601"/>
    <n v="37082"/>
    <s v="DBE"/>
  </r>
  <r>
    <x v="16"/>
    <x v="46"/>
    <n v="7610"/>
    <n v="364"/>
    <n v="7974"/>
    <s v="NA"/>
    <s v="NA"/>
    <m/>
    <n v="69524.920498821302"/>
    <n v="340.478934199967"/>
    <m/>
    <m/>
    <m/>
    <m/>
    <m/>
    <m/>
    <n v="-9341.9634450233898"/>
    <n v="87181"/>
    <s v="DBE"/>
  </r>
  <r>
    <x v="16"/>
    <x v="47"/>
    <n v="1042"/>
    <n v="2758"/>
    <n v="3800"/>
    <s v="NA"/>
    <s v="NA"/>
    <m/>
    <n v="19253"/>
    <n v="895"/>
    <m/>
    <m/>
    <m/>
    <m/>
    <m/>
    <m/>
    <m/>
    <n v="23948"/>
    <s v="NA"/>
  </r>
  <r>
    <x v="16"/>
    <x v="48"/>
    <n v="3175"/>
    <n v="654"/>
    <n v="3829"/>
    <s v="NA"/>
    <s v="NA"/>
    <m/>
    <n v="13929"/>
    <n v="181"/>
    <m/>
    <m/>
    <m/>
    <m/>
    <m/>
    <m/>
    <m/>
    <n v="17939"/>
    <s v="RSA"/>
  </r>
  <r>
    <x v="16"/>
    <x v="49"/>
    <n v="8475"/>
    <n v="511"/>
    <n v="8986"/>
    <s v="NA"/>
    <s v="NA"/>
    <m/>
    <n v="49359"/>
    <n v="402"/>
    <m/>
    <m/>
    <m/>
    <m/>
    <m/>
    <m/>
    <m/>
    <n v="58747"/>
    <s v="NA"/>
  </r>
  <r>
    <x v="16"/>
    <x v="50"/>
    <n v="3963"/>
    <n v="309"/>
    <n v="4272"/>
    <s v="NA"/>
    <s v="NA"/>
    <m/>
    <n v="27469"/>
    <n v="317"/>
    <m/>
    <m/>
    <m/>
    <m/>
    <m/>
    <m/>
    <m/>
    <n v="32058"/>
    <s v="NA"/>
  </r>
  <r>
    <x v="16"/>
    <x v="51"/>
    <n v="190"/>
    <n v="1270"/>
    <n v="1460"/>
    <s v="NA"/>
    <s v="NA"/>
    <m/>
    <n v="3299"/>
    <n v="240"/>
    <m/>
    <m/>
    <m/>
    <m/>
    <m/>
    <m/>
    <m/>
    <n v="4999"/>
    <s v="NA"/>
  </r>
  <r>
    <x v="16"/>
    <x v="52"/>
    <n v="281"/>
    <n v="0"/>
    <n v="281"/>
    <s v="NA"/>
    <s v="NA"/>
    <m/>
    <n v="3991"/>
    <n v="36"/>
    <m/>
    <m/>
    <m/>
    <m/>
    <m/>
    <m/>
    <m/>
    <n v="4308"/>
    <s v="NA"/>
  </r>
  <r>
    <x v="16"/>
    <x v="53"/>
    <n v="3873"/>
    <n v="28"/>
    <n v="3901"/>
    <s v="NA"/>
    <s v="NA"/>
    <m/>
    <n v="26628"/>
    <n v="342"/>
    <m/>
    <m/>
    <m/>
    <m/>
    <m/>
    <m/>
    <m/>
    <n v="30871"/>
    <s v="NA"/>
  </r>
  <r>
    <x v="16"/>
    <x v="54"/>
    <n v="963"/>
    <n v="77"/>
    <n v="1040"/>
    <s v="NA"/>
    <s v="NA"/>
    <m/>
    <n v="2402"/>
    <n v="209"/>
    <m/>
    <m/>
    <m/>
    <m/>
    <m/>
    <m/>
    <m/>
    <n v="3651"/>
    <s v="NA"/>
  </r>
  <r>
    <x v="16"/>
    <x v="55"/>
    <n v="86"/>
    <n v="87"/>
    <n v="173"/>
    <s v="NA"/>
    <s v="NA"/>
    <m/>
    <n v="504.89630714973902"/>
    <n v="34"/>
    <m/>
    <m/>
    <m/>
    <m/>
    <m/>
    <m/>
    <m/>
    <n v="712"/>
    <s v="NA"/>
  </r>
  <r>
    <x v="16"/>
    <x v="56"/>
    <n v="4025"/>
    <n v="23"/>
    <n v="4048"/>
    <s v="NA"/>
    <s v="NA"/>
    <m/>
    <n v="51624"/>
    <n v="512"/>
    <m/>
    <m/>
    <m/>
    <m/>
    <m/>
    <m/>
    <m/>
    <n v="56184"/>
    <s v="NA"/>
  </r>
  <r>
    <x v="16"/>
    <x v="57"/>
    <n v="31343"/>
    <n v="501"/>
    <n v="31844"/>
    <s v="NA"/>
    <s v="NA"/>
    <m/>
    <n v="38247.520404167"/>
    <n v="2253"/>
    <m/>
    <m/>
    <m/>
    <m/>
    <m/>
    <m/>
    <m/>
    <n v="72345"/>
    <s v="NA"/>
  </r>
  <r>
    <x v="16"/>
    <x v="58"/>
    <n v="981"/>
    <n v="1127"/>
    <n v="2108"/>
    <s v="NA"/>
    <s v="NA"/>
    <m/>
    <n v="3374.1769864593398"/>
    <n v="109"/>
    <m/>
    <m/>
    <m/>
    <m/>
    <m/>
    <m/>
    <m/>
    <n v="5591"/>
    <s v="NA"/>
  </r>
  <r>
    <x v="16"/>
    <x v="59"/>
    <n v="9"/>
    <n v="0"/>
    <n v="9"/>
    <s v="NA"/>
    <s v="NA"/>
    <m/>
    <n v="21.724137931034502"/>
    <n v="2.3958620689655201"/>
    <m/>
    <m/>
    <m/>
    <m/>
    <m/>
    <m/>
    <m/>
    <n v="33"/>
    <s v="RSA"/>
  </r>
  <r>
    <x v="16"/>
    <x v="60"/>
    <n v="2011"/>
    <n v="0"/>
    <n v="2011"/>
    <s v="NA"/>
    <s v="NA"/>
    <m/>
    <n v="3409"/>
    <n v="167"/>
    <m/>
    <m/>
    <m/>
    <m/>
    <m/>
    <m/>
    <m/>
    <n v="5587"/>
    <s v="NA"/>
  </r>
  <r>
    <x v="16"/>
    <x v="61"/>
    <n v="11935"/>
    <n v="99"/>
    <n v="12034"/>
    <s v="NA"/>
    <s v="NA"/>
    <m/>
    <n v="12134.786422349"/>
    <n v="696"/>
    <m/>
    <m/>
    <m/>
    <m/>
    <m/>
    <m/>
    <m/>
    <n v="24865"/>
    <s v="NA"/>
  </r>
  <r>
    <x v="16"/>
    <x v="62"/>
    <n v="23"/>
    <n v="504"/>
    <n v="527"/>
    <s v="NA"/>
    <s v="NA"/>
    <m/>
    <n v="312.82289407086"/>
    <n v="2"/>
    <m/>
    <m/>
    <m/>
    <m/>
    <m/>
    <m/>
    <m/>
    <n v="842"/>
    <s v="NA"/>
  </r>
  <r>
    <x v="16"/>
    <x v="63"/>
    <n v="0"/>
    <n v="0"/>
    <n v="0"/>
    <s v="NA"/>
    <s v="NA"/>
    <m/>
    <m/>
    <m/>
    <m/>
    <m/>
    <m/>
    <m/>
    <m/>
    <m/>
    <m/>
    <n v="0"/>
    <s v="RSA"/>
  </r>
  <r>
    <x v="16"/>
    <x v="64"/>
    <n v="572"/>
    <n v="0"/>
    <n v="572"/>
    <s v="NA"/>
    <s v="NA"/>
    <m/>
    <n v="4894"/>
    <n v="19"/>
    <m/>
    <m/>
    <m/>
    <m/>
    <m/>
    <m/>
    <m/>
    <n v="5485"/>
    <s v="NA"/>
  </r>
  <r>
    <x v="16"/>
    <x v="65"/>
    <n v="4791"/>
    <n v="12"/>
    <n v="4803"/>
    <s v="NA"/>
    <s v="NA"/>
    <m/>
    <n v="31132"/>
    <n v="82"/>
    <m/>
    <m/>
    <m/>
    <m/>
    <m/>
    <m/>
    <m/>
    <n v="36017"/>
    <s v="NA"/>
  </r>
  <r>
    <x v="16"/>
    <x v="66"/>
    <n v="40"/>
    <n v="412"/>
    <n v="452"/>
    <s v="NA"/>
    <s v="NA"/>
    <m/>
    <n v="3227.2604799962301"/>
    <n v="1"/>
    <m/>
    <m/>
    <m/>
    <m/>
    <m/>
    <m/>
    <m/>
    <n v="3680"/>
    <s v="NA"/>
  </r>
  <r>
    <x v="16"/>
    <x v="67"/>
    <n v="0"/>
    <n v="0"/>
    <n v="0"/>
    <s v="NA"/>
    <s v="NA"/>
    <m/>
    <m/>
    <m/>
    <m/>
    <m/>
    <m/>
    <m/>
    <m/>
    <m/>
    <m/>
    <n v="0"/>
    <s v="NA"/>
  </r>
  <r>
    <x v="16"/>
    <x v="68"/>
    <n v="41"/>
    <n v="2"/>
    <n v="43"/>
    <s v="NA"/>
    <s v="NA"/>
    <m/>
    <n v="172"/>
    <n v="4"/>
    <m/>
    <m/>
    <m/>
    <m/>
    <m/>
    <m/>
    <m/>
    <n v="219"/>
    <s v="RSA"/>
  </r>
  <r>
    <x v="16"/>
    <x v="69"/>
    <n v="3369"/>
    <n v="10"/>
    <n v="3379"/>
    <s v="NA"/>
    <s v="NA"/>
    <m/>
    <n v="24455.720338982999"/>
    <n v="109"/>
    <m/>
    <m/>
    <m/>
    <m/>
    <m/>
    <m/>
    <m/>
    <n v="27944"/>
    <s v="NA"/>
  </r>
  <r>
    <x v="16"/>
    <x v="70"/>
    <n v="50"/>
    <n v="150"/>
    <n v="200"/>
    <s v="NA"/>
    <s v="NA"/>
    <m/>
    <n v="300.07163453691402"/>
    <n v="1"/>
    <m/>
    <m/>
    <m/>
    <m/>
    <m/>
    <m/>
    <m/>
    <n v="501"/>
    <s v="NA"/>
  </r>
  <r>
    <x v="16"/>
    <x v="71"/>
    <n v="0"/>
    <n v="0"/>
    <n v="0"/>
    <s v="NA"/>
    <s v="NA"/>
    <m/>
    <m/>
    <m/>
    <m/>
    <m/>
    <m/>
    <m/>
    <m/>
    <m/>
    <m/>
    <n v="0"/>
    <s v="NA"/>
  </r>
  <r>
    <x v="17"/>
    <x v="0"/>
    <n v="65723"/>
    <n v="0"/>
    <n v="65723"/>
    <s v="NA"/>
    <s v="NA"/>
    <n v="1289.5856711455001"/>
    <n v="1156.75976027251"/>
    <n v="1489.4416814746201"/>
    <m/>
    <n v="24521.828107709302"/>
    <n v="693.27480634452195"/>
    <n v="-9.9317594983400994"/>
    <m/>
    <m/>
    <n v="-45714.503670083701"/>
    <n v="94864"/>
    <s v="RSA"/>
  </r>
  <r>
    <x v="17"/>
    <x v="1"/>
    <n v="827355"/>
    <n v="0"/>
    <n v="827355"/>
    <s v="NA"/>
    <s v="NA"/>
    <n v="19656.429815260701"/>
    <n v="224138.87006100899"/>
    <n v="116842.222070353"/>
    <m/>
    <n v="276761.44561754703"/>
    <n v="2930.3368526417898"/>
    <n v="-576.78780759650397"/>
    <m/>
    <m/>
    <n v="-506384.75084080599"/>
    <n v="1467108"/>
    <s v="RSA"/>
  </r>
  <r>
    <x v="17"/>
    <x v="2"/>
    <n v="101434"/>
    <n v="444"/>
    <n v="101878"/>
    <s v="NA"/>
    <s v="NA"/>
    <n v="2672.8536306542201"/>
    <n v="563.03838937808996"/>
    <n v="2077.5360785643902"/>
    <m/>
    <n v="11396.666348266301"/>
    <n v="1135.9556786703599"/>
    <n v="-33.910784220078099"/>
    <n v="48.984334702454902"/>
    <m/>
    <n v="352.865681513205"/>
    <n v="119739"/>
    <s v="RSA"/>
  </r>
  <r>
    <x v="17"/>
    <x v="3"/>
    <n v="813"/>
    <n v="6"/>
    <n v="819"/>
    <s v="NA"/>
    <s v="NA"/>
    <n v="0"/>
    <n v="18.906762428803201"/>
    <n v="176.36125393961899"/>
    <m/>
    <n v="170.816176470588"/>
    <n v="182.129901960784"/>
    <n v="-13.8112745098039"/>
    <n v="0.91421568627451"/>
    <n v="0.91421568627451"/>
    <n v="82.223552728624597"/>
    <n v="1355"/>
    <s v="RSA"/>
  </r>
  <r>
    <x v="17"/>
    <x v="4"/>
    <n v="21632"/>
    <n v="0"/>
    <n v="21632"/>
    <s v="NA"/>
    <s v="NA"/>
    <n v="10787.341996159401"/>
    <n v="519.15724012439898"/>
    <n v="843.48573448281502"/>
    <m/>
    <n v="9803.5830108232203"/>
    <n v="60.515841259429301"/>
    <n v="-13.8977369629386"/>
    <m/>
    <m/>
    <n v="-10003.977138770801"/>
    <n v="43632"/>
    <s v="RSA"/>
  </r>
  <r>
    <x v="17"/>
    <x v="5"/>
    <n v="817811"/>
    <n v="0"/>
    <n v="817811"/>
    <s v="NA"/>
    <s v="NA"/>
    <n v="11225.306082072"/>
    <n v="909124.89772946597"/>
    <n v="145940.046242215"/>
    <m/>
    <n v="188855.25809408599"/>
    <n v="1042.03237634266"/>
    <n v="-166.82018465721001"/>
    <m/>
    <m/>
    <n v="-79163.131367043999"/>
    <n v="2073832"/>
    <s v="RSA"/>
  </r>
  <r>
    <x v="17"/>
    <x v="6"/>
    <n v="113010"/>
    <n v="1571"/>
    <n v="114581"/>
    <s v="NA"/>
    <s v="NA"/>
    <n v="3662.3450243157199"/>
    <n v="2301.0948582410201"/>
    <n v="4629.9682219986698"/>
    <m/>
    <n v="17682.469620396001"/>
    <m/>
    <n v="-21.9486587828093"/>
    <n v="270.54116452013398"/>
    <m/>
    <n v="-19808.045787951301"/>
    <n v="143105"/>
    <s v="RSA"/>
  </r>
  <r>
    <x v="17"/>
    <x v="7"/>
    <n v="893"/>
    <n v="188"/>
    <n v="1081"/>
    <s v="NA"/>
    <s v="NA"/>
    <n v="751.35931280592001"/>
    <n v="576.91355421053004"/>
    <n v="687.42833220857904"/>
    <m/>
    <n v="410.80897009966799"/>
    <n v="340.426910299003"/>
    <n v="66.317275747508305"/>
    <n v="87.313953488372107"/>
    <n v="90.038205980066394"/>
    <n v="-6880.0523026915598"/>
    <n v="4092"/>
    <s v="RSA"/>
  </r>
  <r>
    <x v="17"/>
    <x v="8"/>
    <n v="45357"/>
    <n v="0"/>
    <n v="45357"/>
    <s v="NA"/>
    <s v="NA"/>
    <n v="7108.5428623658399"/>
    <n v="2354.8667862603002"/>
    <n v="1344.9037024940801"/>
    <n v="541.54190986012804"/>
    <n v="8993.9958211017092"/>
    <m/>
    <n v="-17.4176480745984"/>
    <m/>
    <m/>
    <n v="-1696.2899077724001"/>
    <n v="65683"/>
    <s v="RSA"/>
  </r>
  <r>
    <x v="17"/>
    <x v="9"/>
    <n v="832266"/>
    <n v="78"/>
    <n v="832344"/>
    <s v="NA"/>
    <s v="NA"/>
    <n v="50879.420520929401"/>
    <n v="1127357.2486773599"/>
    <n v="135218.27835437699"/>
    <m/>
    <n v="249047.33509242799"/>
    <m/>
    <n v="-274.41882103552001"/>
    <n v="23.915563439681399"/>
    <m/>
    <n v="-92850.251705829505"/>
    <n v="2394596"/>
    <s v="RSA"/>
  </r>
  <r>
    <x v="17"/>
    <x v="10"/>
    <n v="176656"/>
    <n v="2425"/>
    <n v="179081"/>
    <s v="NA"/>
    <s v="NA"/>
    <n v="9206.4090894928395"/>
    <n v="12486.26931053"/>
    <n v="6568.2815695768504"/>
    <m/>
    <n v="39046.801429745399"/>
    <n v="44608.016515342002"/>
    <n v="97.025674029921703"/>
    <n v="491.66618810459698"/>
    <n v="473.96522668990201"/>
    <n v="-13968.9845957123"/>
    <n v="292059"/>
    <s v="RSA"/>
  </r>
  <r>
    <x v="17"/>
    <x v="11"/>
    <n v="605"/>
    <n v="19"/>
    <n v="624"/>
    <s v="NA"/>
    <s v="NA"/>
    <n v="71.173201905108797"/>
    <n v="1739.1309965529999"/>
    <n v="3885.2337824169799"/>
    <n v="-5558.1884984025601"/>
    <n v="93.341853035143799"/>
    <n v="-77.0607028753994"/>
    <m/>
    <n v="3.4249201277955299"/>
    <m/>
    <n v="-8641.13040860609"/>
    <n v="781"/>
    <s v="RSA"/>
  </r>
  <r>
    <x v="17"/>
    <x v="12"/>
    <n v="45433"/>
    <n v="0"/>
    <n v="45433"/>
    <s v="NA"/>
    <s v="NA"/>
    <n v="129.736438159861"/>
    <n v="31983.172959178701"/>
    <n v="20057.415283250699"/>
    <m/>
    <n v="6285.9065040650403"/>
    <n v="11148.0688045769"/>
    <n v="-282.58852755194101"/>
    <m/>
    <m/>
    <n v="-13988.946240408401"/>
    <n v="114755"/>
    <s v="RSA"/>
  </r>
  <r>
    <x v="17"/>
    <x v="13"/>
    <n v="246563"/>
    <n v="21"/>
    <n v="246584"/>
    <s v="NA"/>
    <s v="NA"/>
    <n v="0"/>
    <n v="275634.78365821502"/>
    <m/>
    <m/>
    <n v="27396.0030553283"/>
    <m/>
    <n v="-2725.43227142565"/>
    <n v="1.9450040908161199"/>
    <m/>
    <n v="-96698.217160926099"/>
    <n v="546891"/>
    <s v="RSA"/>
  </r>
  <r>
    <x v="17"/>
    <x v="14"/>
    <n v="149400"/>
    <n v="67"/>
    <n v="149467"/>
    <s v="NA"/>
    <s v="NA"/>
    <n v="5154.1625913342696"/>
    <n v="8813.0090001273293"/>
    <n v="2216.0122014368699"/>
    <m/>
    <n v="37350"/>
    <m/>
    <n v="-4.17056856187273"/>
    <n v="16.964567883282399"/>
    <m/>
    <n v="-33695.812187245399"/>
    <n v="203013"/>
    <s v="RSA"/>
  </r>
  <r>
    <x v="17"/>
    <x v="15"/>
    <n v="7091"/>
    <n v="0"/>
    <n v="7091"/>
    <s v="NA"/>
    <s v="NA"/>
    <n v="497.40683069147502"/>
    <n v="8176.3144927510002"/>
    <n v="10993.3787083058"/>
    <m/>
    <m/>
    <m/>
    <m/>
    <m/>
    <m/>
    <n v="-21077.066046995598"/>
    <n v="47835"/>
    <s v="DBE"/>
  </r>
  <r>
    <x v="17"/>
    <x v="16"/>
    <n v="74715"/>
    <n v="0"/>
    <n v="74715"/>
    <s v="NA"/>
    <s v="NA"/>
    <n v="24202.929327285201"/>
    <n v="11469.1750379405"/>
    <n v="17426.525861963499"/>
    <m/>
    <m/>
    <m/>
    <m/>
    <m/>
    <m/>
    <n v="-44560.225270426599"/>
    <n v="172374"/>
    <s v="DBE"/>
  </r>
  <r>
    <x v="17"/>
    <x v="17"/>
    <n v="169127"/>
    <n v="0"/>
    <n v="169127"/>
    <s v="NA"/>
    <s v="NA"/>
    <n v="2257.5277416005101"/>
    <n v="241887.37777505899"/>
    <n v="49489.272171125303"/>
    <m/>
    <m/>
    <m/>
    <m/>
    <m/>
    <m/>
    <n v="-125342.75070249999"/>
    <n v="588104"/>
    <s v="DBE"/>
  </r>
  <r>
    <x v="17"/>
    <x v="18"/>
    <n v="1436751"/>
    <n v="38"/>
    <n v="1436789"/>
    <s v="NA"/>
    <s v="NA"/>
    <n v="166673.66628694901"/>
    <n v="417891.03337768698"/>
    <n v="253490.73428062501"/>
    <m/>
    <m/>
    <m/>
    <m/>
    <m/>
    <m/>
    <n v="-1204423.8104254301"/>
    <n v="3479268"/>
    <s v="DBE"/>
  </r>
  <r>
    <x v="17"/>
    <x v="19"/>
    <n v="10222"/>
    <n v="42"/>
    <n v="10264"/>
    <s v="NA"/>
    <s v="NA"/>
    <n v="4058.8203187138101"/>
    <n v="82563.319280099895"/>
    <n v="33498.422212773701"/>
    <m/>
    <m/>
    <m/>
    <m/>
    <m/>
    <m/>
    <n v="-102668.35647329999"/>
    <n v="233053"/>
    <s v="DBE"/>
  </r>
  <r>
    <x v="17"/>
    <x v="20"/>
    <n v="278990"/>
    <n v="0"/>
    <n v="278990"/>
    <s v="NA"/>
    <s v="NA"/>
    <n v="10793.734299719301"/>
    <n v="276062.046336442"/>
    <n v="72341.0763660425"/>
    <m/>
    <m/>
    <m/>
    <m/>
    <m/>
    <m/>
    <n v="-96747.504884648501"/>
    <n v="734934"/>
    <s v="DBE"/>
  </r>
  <r>
    <x v="17"/>
    <x v="21"/>
    <n v="2985212"/>
    <n v="0"/>
    <n v="2985212"/>
    <s v="NA"/>
    <s v="NA"/>
    <n v="330.75077438972397"/>
    <n v="1479519.6342486001"/>
    <n v="362312.496428193"/>
    <m/>
    <m/>
    <m/>
    <m/>
    <m/>
    <m/>
    <n v="48133.421544793397"/>
    <n v="4827375"/>
    <s v="DBE"/>
  </r>
  <r>
    <x v="17"/>
    <x v="22"/>
    <n v="3510920"/>
    <n v="56"/>
    <n v="3510976"/>
    <s v="NA"/>
    <s v="NA"/>
    <n v="27502.817531348999"/>
    <n v="567474.199046458"/>
    <n v="242566.46535927799"/>
    <m/>
    <m/>
    <m/>
    <m/>
    <m/>
    <m/>
    <n v="936647.31664013001"/>
    <n v="4348519"/>
    <s v="DBE"/>
  </r>
  <r>
    <x v="17"/>
    <x v="23"/>
    <n v="63703"/>
    <n v="79"/>
    <n v="63782"/>
    <s v="NA"/>
    <s v="NA"/>
    <n v="58.2232078582621"/>
    <n v="36867.896855599902"/>
    <n v="8696.3633549271908"/>
    <m/>
    <m/>
    <m/>
    <m/>
    <m/>
    <m/>
    <n v="23324.039809384802"/>
    <n v="109404"/>
    <s v="DBE"/>
  </r>
  <r>
    <x v="17"/>
    <x v="24"/>
    <n v="189360"/>
    <n v="0"/>
    <n v="189360"/>
    <s v="NA"/>
    <s v="NA"/>
    <n v="163.82646912635499"/>
    <n v="26354.651615571998"/>
    <n v="15447.262815727099"/>
    <m/>
    <m/>
    <m/>
    <m/>
    <m/>
    <m/>
    <n v="-28035.813054167698"/>
    <n v="259362"/>
    <s v="DBE"/>
  </r>
  <r>
    <x v="17"/>
    <x v="25"/>
    <n v="1179252"/>
    <n v="0"/>
    <n v="1179252"/>
    <s v="NA"/>
    <s v="NA"/>
    <n v="40188.252410111199"/>
    <n v="662922.62488063297"/>
    <n v="173592.57675017801"/>
    <m/>
    <m/>
    <m/>
    <m/>
    <m/>
    <m/>
    <n v="-492831.44682758301"/>
    <n v="2548787"/>
    <s v="DBE"/>
  </r>
  <r>
    <x v="17"/>
    <x v="26"/>
    <n v="1858652"/>
    <n v="157"/>
    <n v="1858809"/>
    <s v="NA"/>
    <s v="NA"/>
    <n v="90901.979323753505"/>
    <n v="4294687.8466980001"/>
    <n v="159116.80077361499"/>
    <m/>
    <m/>
    <m/>
    <m/>
    <m/>
    <m/>
    <n v="87596.153726948294"/>
    <n v="6403516"/>
    <s v="DBE"/>
  </r>
  <r>
    <x v="17"/>
    <x v="27"/>
    <n v="41187"/>
    <n v="1312"/>
    <n v="42499"/>
    <s v="NA"/>
    <s v="NA"/>
    <n v="403.473675420809"/>
    <n v="24643.552523793802"/>
    <n v="8306.7958202705195"/>
    <m/>
    <m/>
    <m/>
    <m/>
    <m/>
    <m/>
    <n v="11003.7156398435"/>
    <n v="75853"/>
    <s v="DBE"/>
  </r>
  <r>
    <x v="17"/>
    <x v="28"/>
    <n v="216109"/>
    <n v="1"/>
    <n v="216110"/>
    <s v="NA"/>
    <s v="NA"/>
    <n v="700.90277191098698"/>
    <n v="132084.68436615501"/>
    <n v="87525.572479084294"/>
    <m/>
    <m/>
    <m/>
    <m/>
    <m/>
    <m/>
    <n v="77055.035881337797"/>
    <n v="436421"/>
    <s v="DBE"/>
  </r>
  <r>
    <x v="17"/>
    <x v="29"/>
    <n v="659499"/>
    <n v="6"/>
    <n v="659505"/>
    <s v="NA"/>
    <s v="NA"/>
    <n v="35915.254140419303"/>
    <n v="1919221.2164808"/>
    <n v="197766.20455775701"/>
    <m/>
    <m/>
    <m/>
    <m/>
    <m/>
    <m/>
    <n v="-123121.49711682901"/>
    <n v="2935529"/>
    <s v="DBE"/>
  </r>
  <r>
    <x v="17"/>
    <x v="30"/>
    <n v="2620454"/>
    <n v="303"/>
    <n v="2620757"/>
    <s v="NA"/>
    <s v="NA"/>
    <n v="103934.18658360399"/>
    <n v="7470524.9414361501"/>
    <n v="136265"/>
    <m/>
    <m/>
    <m/>
    <m/>
    <m/>
    <m/>
    <n v="323205.53913420101"/>
    <n v="10331481"/>
    <s v="DBE"/>
  </r>
  <r>
    <x v="17"/>
    <x v="31"/>
    <n v="5862"/>
    <n v="3039"/>
    <n v="8901"/>
    <s v="NA"/>
    <s v="NA"/>
    <n v="363.03012718948997"/>
    <n v="61065.951228970502"/>
    <n v="2765.8796668950399"/>
    <m/>
    <m/>
    <m/>
    <m/>
    <m/>
    <m/>
    <n v="-10763.009193124601"/>
    <n v="83859"/>
    <s v="DBE"/>
  </r>
  <r>
    <x v="17"/>
    <x v="32"/>
    <n v="46259"/>
    <n v="0"/>
    <n v="46259"/>
    <s v="NA"/>
    <s v="NA"/>
    <n v="403.31408158708899"/>
    <n v="206166.21648558299"/>
    <n v="8664"/>
    <m/>
    <m/>
    <m/>
    <m/>
    <m/>
    <m/>
    <n v="-5916.7727716895697"/>
    <n v="267409"/>
    <s v="DBE"/>
  </r>
  <r>
    <x v="17"/>
    <x v="33"/>
    <n v="487644"/>
    <n v="7"/>
    <n v="487651"/>
    <s v="NA"/>
    <s v="NA"/>
    <n v="26289.4213799756"/>
    <n v="2061969.17925237"/>
    <n v="119303.538441688"/>
    <m/>
    <m/>
    <m/>
    <m/>
    <m/>
    <m/>
    <n v="-118065.961809395"/>
    <n v="2813279"/>
    <s v="DBE"/>
  </r>
  <r>
    <x v="17"/>
    <x v="34"/>
    <n v="1870672"/>
    <n v="13"/>
    <n v="1870685"/>
    <s v="NA"/>
    <s v="NA"/>
    <n v="138555.79738057"/>
    <n v="9892290.6605469305"/>
    <n v="196370.096644473"/>
    <m/>
    <m/>
    <m/>
    <m/>
    <m/>
    <m/>
    <n v="-168.455403044137"/>
    <n v="12098070"/>
    <s v="DBE"/>
  </r>
  <r>
    <x v="17"/>
    <x v="35"/>
    <n v="6832"/>
    <n v="20202"/>
    <n v="27034"/>
    <s v="NA"/>
    <s v="NA"/>
    <n v="0"/>
    <n v="14956.0165554707"/>
    <n v="2218"/>
    <m/>
    <m/>
    <m/>
    <m/>
    <m/>
    <m/>
    <n v="21748.912152848501"/>
    <n v="44208"/>
    <s v="DBE"/>
  </r>
  <r>
    <x v="17"/>
    <x v="36"/>
    <n v="20546"/>
    <n v="13"/>
    <n v="20559"/>
    <s v="NA"/>
    <s v="NA"/>
    <n v="8.8438950205017992"/>
    <n v="53018.377568003401"/>
    <n v="6171"/>
    <m/>
    <m/>
    <m/>
    <m/>
    <m/>
    <m/>
    <n v="3364.65349490881"/>
    <n v="79757"/>
    <s v="DBE"/>
  </r>
  <r>
    <x v="17"/>
    <x v="37"/>
    <n v="181467"/>
    <n v="6"/>
    <n v="181473"/>
    <s v="NA"/>
    <s v="NA"/>
    <n v="0"/>
    <n v="486868.282176662"/>
    <n v="57124.072545217401"/>
    <m/>
    <m/>
    <m/>
    <m/>
    <m/>
    <m/>
    <n v="-61514.146163595797"/>
    <n v="786980"/>
    <s v="DBE"/>
  </r>
  <r>
    <x v="17"/>
    <x v="38"/>
    <n v="1349263"/>
    <n v="0"/>
    <n v="1349263"/>
    <s v="NA"/>
    <s v="NA"/>
    <n v="4274.0096501210801"/>
    <n v="7981811.8826636197"/>
    <n v="202818.08706560501"/>
    <m/>
    <m/>
    <m/>
    <m/>
    <m/>
    <m/>
    <n v="60417.624653455998"/>
    <n v="9538167"/>
    <s v="DBE"/>
  </r>
  <r>
    <x v="17"/>
    <x v="39"/>
    <n v="914"/>
    <n v="5272"/>
    <n v="6186"/>
    <s v="NA"/>
    <s v="NA"/>
    <n v="0"/>
    <n v="18986.064910884001"/>
    <n v="360.77291635027399"/>
    <m/>
    <m/>
    <m/>
    <m/>
    <m/>
    <m/>
    <n v="3335.0551912109299"/>
    <n v="25533"/>
    <s v="DBE"/>
  </r>
  <r>
    <x v="17"/>
    <x v="40"/>
    <n v="2155"/>
    <n v="0"/>
    <n v="2155"/>
    <s v="NA"/>
    <s v="NA"/>
    <n v="1067.77186767018"/>
    <n v="1953.1064043348899"/>
    <n v="1015.6950845177"/>
    <m/>
    <m/>
    <m/>
    <m/>
    <m/>
    <m/>
    <n v="2505.1303362243402"/>
    <n v="6192"/>
    <s v="DBE"/>
  </r>
  <r>
    <x v="17"/>
    <x v="41"/>
    <n v="39841"/>
    <n v="0"/>
    <n v="39841"/>
    <s v="NA"/>
    <s v="NA"/>
    <m/>
    <n v="211569.44138089"/>
    <n v="19994.048367424999"/>
    <m/>
    <m/>
    <m/>
    <m/>
    <m/>
    <m/>
    <n v="-28053.6637991272"/>
    <n v="299458"/>
    <s v="DBE"/>
  </r>
  <r>
    <x v="17"/>
    <x v="42"/>
    <n v="748621"/>
    <n v="31"/>
    <n v="748652"/>
    <s v="NA"/>
    <s v="NA"/>
    <m/>
    <n v="2855209.6191504402"/>
    <n v="160560.64888466499"/>
    <m/>
    <m/>
    <m/>
    <m/>
    <m/>
    <m/>
    <n v="-69998.390248956304"/>
    <n v="3834421"/>
    <s v="DBE"/>
  </r>
  <r>
    <x v="17"/>
    <x v="43"/>
    <n v="308"/>
    <n v="2868"/>
    <n v="3176"/>
    <s v="NA"/>
    <s v="NA"/>
    <m/>
    <n v="3598.3940337725599"/>
    <n v="189.25568714072199"/>
    <m/>
    <m/>
    <m/>
    <m/>
    <m/>
    <m/>
    <n v="2975.9422153393498"/>
    <n v="6964"/>
    <s v="DBE"/>
  </r>
  <r>
    <x v="17"/>
    <x v="44"/>
    <n v="511"/>
    <n v="0"/>
    <n v="511"/>
    <s v="NA"/>
    <s v="NA"/>
    <m/>
    <n v="2967.28473445704"/>
    <n v="77.381332301522704"/>
    <m/>
    <m/>
    <m/>
    <m/>
    <m/>
    <m/>
    <n v="76.260963321541198"/>
    <n v="3556"/>
    <s v="DBE"/>
  </r>
  <r>
    <x v="17"/>
    <x v="45"/>
    <n v="8614"/>
    <n v="0"/>
    <n v="8614"/>
    <s v="NA"/>
    <s v="NA"/>
    <m/>
    <n v="23923.868172246101"/>
    <n v="1728.18250285576"/>
    <m/>
    <m/>
    <m/>
    <m/>
    <m/>
    <m/>
    <n v="-1728.0957651518399"/>
    <n v="35994"/>
    <s v="DBE"/>
  </r>
  <r>
    <x v="17"/>
    <x v="46"/>
    <n v="516199"/>
    <n v="24"/>
    <n v="516223"/>
    <s v="NA"/>
    <s v="NA"/>
    <m/>
    <n v="1757614.49701708"/>
    <n v="67812.992098778093"/>
    <m/>
    <m/>
    <m/>
    <m/>
    <m/>
    <m/>
    <n v="-80035.683389713799"/>
    <n v="2421686"/>
    <s v="DBE"/>
  </r>
  <r>
    <x v="17"/>
    <x v="47"/>
    <n v="305"/>
    <n v="1892"/>
    <n v="2197"/>
    <s v="NA"/>
    <s v="NA"/>
    <m/>
    <n v="3919.9665345662702"/>
    <n v="239.918978423602"/>
    <m/>
    <m/>
    <m/>
    <m/>
    <m/>
    <m/>
    <m/>
    <n v="6357"/>
    <s v="NA"/>
  </r>
  <r>
    <x v="17"/>
    <x v="48"/>
    <n v="193"/>
    <n v="8"/>
    <n v="201"/>
    <s v="NA"/>
    <s v="NA"/>
    <m/>
    <n v="508"/>
    <n v="47"/>
    <m/>
    <m/>
    <m/>
    <m/>
    <m/>
    <m/>
    <m/>
    <n v="756"/>
    <s v="RSA"/>
  </r>
  <r>
    <x v="17"/>
    <x v="49"/>
    <n v="4459"/>
    <n v="0"/>
    <n v="4459"/>
    <s v="NA"/>
    <s v="NA"/>
    <m/>
    <n v="20496.777088411302"/>
    <n v="2868.26434744073"/>
    <m/>
    <m/>
    <m/>
    <m/>
    <m/>
    <m/>
    <m/>
    <n v="27824"/>
    <s v="NA"/>
  </r>
  <r>
    <x v="17"/>
    <x v="50"/>
    <n v="278061"/>
    <n v="0"/>
    <n v="278061"/>
    <s v="NA"/>
    <s v="NA"/>
    <m/>
    <n v="1315966.5653717399"/>
    <n v="32399.271612605498"/>
    <m/>
    <m/>
    <m/>
    <m/>
    <m/>
    <m/>
    <m/>
    <n v="1626427"/>
    <s v="NA"/>
  </r>
  <r>
    <x v="17"/>
    <x v="51"/>
    <n v="111"/>
    <n v="3377"/>
    <n v="3488"/>
    <s v="NA"/>
    <s v="NA"/>
    <m/>
    <n v="3305"/>
    <n v="117"/>
    <m/>
    <m/>
    <m/>
    <m/>
    <m/>
    <m/>
    <m/>
    <n v="6910"/>
    <s v="NA"/>
  </r>
  <r>
    <x v="17"/>
    <x v="52"/>
    <n v="171"/>
    <n v="0"/>
    <n v="171"/>
    <s v="NA"/>
    <s v="NA"/>
    <m/>
    <n v="1906"/>
    <n v="69"/>
    <m/>
    <m/>
    <m/>
    <m/>
    <m/>
    <m/>
    <m/>
    <n v="2146"/>
    <s v="NA"/>
  </r>
  <r>
    <x v="17"/>
    <x v="53"/>
    <n v="1368"/>
    <n v="5"/>
    <n v="1373"/>
    <s v="NA"/>
    <s v="NA"/>
    <m/>
    <n v="6360"/>
    <n v="220"/>
    <m/>
    <m/>
    <m/>
    <m/>
    <m/>
    <m/>
    <m/>
    <n v="7953"/>
    <s v="NA"/>
  </r>
  <r>
    <x v="17"/>
    <x v="54"/>
    <n v="273129"/>
    <n v="5"/>
    <n v="273134"/>
    <s v="NA"/>
    <s v="NA"/>
    <m/>
    <n v="1334448"/>
    <n v="38721"/>
    <m/>
    <m/>
    <m/>
    <m/>
    <m/>
    <m/>
    <m/>
    <n v="1646303"/>
    <s v="NA"/>
  </r>
  <r>
    <x v="17"/>
    <x v="55"/>
    <n v="699"/>
    <n v="5064"/>
    <n v="5763"/>
    <s v="NA"/>
    <s v="NA"/>
    <m/>
    <n v="11802.556199506"/>
    <n v="156.152949245542"/>
    <m/>
    <m/>
    <m/>
    <m/>
    <m/>
    <m/>
    <m/>
    <n v="17722"/>
    <s v="NA"/>
  </r>
  <r>
    <x v="17"/>
    <x v="56"/>
    <n v="119"/>
    <n v="0"/>
    <n v="119"/>
    <s v="NA"/>
    <s v="NA"/>
    <m/>
    <n v="261.40192548206198"/>
    <n v="4.1253333333333302"/>
    <m/>
    <m/>
    <m/>
    <m/>
    <m/>
    <m/>
    <m/>
    <n v="385"/>
    <s v="NA"/>
  </r>
  <r>
    <x v="17"/>
    <x v="57"/>
    <n v="1753"/>
    <n v="0"/>
    <n v="1753"/>
    <s v="NA"/>
    <s v="NA"/>
    <m/>
    <n v="5892"/>
    <n v="214"/>
    <m/>
    <m/>
    <m/>
    <m/>
    <m/>
    <m/>
    <m/>
    <n v="7859"/>
    <s v="NA"/>
  </r>
  <r>
    <x v="17"/>
    <x v="58"/>
    <n v="364704"/>
    <n v="10"/>
    <n v="364714"/>
    <s v="NA"/>
    <s v="NA"/>
    <m/>
    <n v="782122"/>
    <n v="48999"/>
    <m/>
    <m/>
    <m/>
    <m/>
    <m/>
    <m/>
    <m/>
    <n v="1195835"/>
    <s v="NA"/>
  </r>
  <r>
    <x v="17"/>
    <x v="59"/>
    <n v="392"/>
    <n v="15447"/>
    <n v="15839"/>
    <s v="NA"/>
    <s v="NA"/>
    <m/>
    <n v="12087.7675056068"/>
    <n v="1169"/>
    <m/>
    <m/>
    <m/>
    <m/>
    <m/>
    <m/>
    <m/>
    <n v="29096"/>
    <s v="RSA"/>
  </r>
  <r>
    <x v="17"/>
    <x v="60"/>
    <n v="83"/>
    <n v="3"/>
    <n v="86"/>
    <s v="NA"/>
    <s v="NA"/>
    <m/>
    <n v="95.303318584070794"/>
    <n v="14"/>
    <m/>
    <m/>
    <m/>
    <m/>
    <m/>
    <m/>
    <m/>
    <n v="195"/>
    <s v="NA"/>
  </r>
  <r>
    <x v="17"/>
    <x v="61"/>
    <n v="1078"/>
    <n v="0"/>
    <n v="1078"/>
    <s v="NA"/>
    <s v="NA"/>
    <m/>
    <n v="2331"/>
    <n v="127"/>
    <m/>
    <m/>
    <m/>
    <m/>
    <m/>
    <m/>
    <m/>
    <n v="3536"/>
    <s v="NA"/>
  </r>
  <r>
    <x v="17"/>
    <x v="62"/>
    <n v="302554"/>
    <n v="9"/>
    <n v="302563"/>
    <s v="NA"/>
    <s v="NA"/>
    <m/>
    <n v="569566"/>
    <n v="27928"/>
    <m/>
    <m/>
    <m/>
    <m/>
    <m/>
    <m/>
    <m/>
    <n v="900057"/>
    <s v="NA"/>
  </r>
  <r>
    <x v="17"/>
    <x v="63"/>
    <n v="292"/>
    <n v="2765"/>
    <n v="3057"/>
    <s v="NA"/>
    <s v="NA"/>
    <m/>
    <n v="4034"/>
    <n v="213"/>
    <m/>
    <m/>
    <m/>
    <m/>
    <m/>
    <m/>
    <m/>
    <n v="7304"/>
    <s v="RSA"/>
  </r>
  <r>
    <x v="17"/>
    <x v="64"/>
    <n v="65"/>
    <n v="11"/>
    <n v="76"/>
    <s v="NA"/>
    <s v="NA"/>
    <m/>
    <n v="54.5"/>
    <m/>
    <m/>
    <m/>
    <m/>
    <m/>
    <m/>
    <m/>
    <m/>
    <n v="130"/>
    <s v="NA"/>
  </r>
  <r>
    <x v="17"/>
    <x v="65"/>
    <n v="1863"/>
    <n v="0"/>
    <n v="1863"/>
    <s v="NA"/>
    <s v="NA"/>
    <m/>
    <n v="8643.6421799121308"/>
    <n v="251.88483773992201"/>
    <m/>
    <m/>
    <m/>
    <m/>
    <m/>
    <m/>
    <m/>
    <n v="10759"/>
    <s v="NA"/>
  </r>
  <r>
    <x v="17"/>
    <x v="66"/>
    <n v="223667"/>
    <n v="0"/>
    <n v="223667"/>
    <s v="NA"/>
    <s v="NA"/>
    <m/>
    <n v="308553"/>
    <n v="8344"/>
    <m/>
    <m/>
    <m/>
    <m/>
    <m/>
    <m/>
    <m/>
    <n v="540564"/>
    <s v="NA"/>
  </r>
  <r>
    <x v="17"/>
    <x v="67"/>
    <n v="81"/>
    <n v="2588"/>
    <n v="2669"/>
    <s v="NA"/>
    <s v="NA"/>
    <m/>
    <n v="1729"/>
    <n v="73"/>
    <m/>
    <m/>
    <m/>
    <m/>
    <m/>
    <m/>
    <m/>
    <n v="4471"/>
    <s v="NA"/>
  </r>
  <r>
    <x v="17"/>
    <x v="68"/>
    <n v="63"/>
    <n v="0"/>
    <n v="63"/>
    <s v="NA"/>
    <s v="NA"/>
    <m/>
    <n v="317"/>
    <n v="12"/>
    <m/>
    <m/>
    <m/>
    <m/>
    <m/>
    <m/>
    <m/>
    <n v="392"/>
    <s v="RSA"/>
  </r>
  <r>
    <x v="17"/>
    <x v="69"/>
    <n v="299"/>
    <n v="0"/>
    <n v="299"/>
    <s v="NA"/>
    <s v="NA"/>
    <m/>
    <n v="1650.2270757496999"/>
    <n v="42.758710348413999"/>
    <m/>
    <m/>
    <m/>
    <m/>
    <m/>
    <m/>
    <m/>
    <n v="1992"/>
    <s v="NA"/>
  </r>
  <r>
    <x v="17"/>
    <x v="70"/>
    <n v="110919"/>
    <n v="8"/>
    <n v="110927"/>
    <s v="NA"/>
    <s v="NA"/>
    <m/>
    <n v="321989"/>
    <n v="6180"/>
    <m/>
    <m/>
    <m/>
    <m/>
    <m/>
    <m/>
    <m/>
    <n v="439096"/>
    <s v="NA"/>
  </r>
  <r>
    <x v="17"/>
    <x v="71"/>
    <n v="184"/>
    <n v="6833"/>
    <n v="7017"/>
    <s v="NA"/>
    <s v="NA"/>
    <m/>
    <n v="6793"/>
    <n v="339"/>
    <m/>
    <m/>
    <m/>
    <m/>
    <m/>
    <m/>
    <m/>
    <n v="14149"/>
    <s v="NA"/>
  </r>
  <r>
    <x v="18"/>
    <x v="0"/>
    <n v="10625"/>
    <n v="62"/>
    <n v="10687"/>
    <s v="NA"/>
    <s v="NA"/>
    <n v="0.155288062215555"/>
    <n v="118.081342471789"/>
    <n v="43.020704774436901"/>
    <m/>
    <n v="6866.4383561643799"/>
    <n v="2126.1415525114198"/>
    <m/>
    <n v="37.100456621004597"/>
    <n v="10.464231354642299"/>
    <n v="-1074.10428171116"/>
    <n v="19888"/>
    <s v="RSA"/>
  </r>
  <r>
    <x v="18"/>
    <x v="1"/>
    <n v="3865"/>
    <n v="3"/>
    <n v="3868"/>
    <s v="NA"/>
    <s v="NA"/>
    <n v="0"/>
    <n v="825.28957322549797"/>
    <n v="426.22229873147398"/>
    <m/>
    <n v="1159.9777503090199"/>
    <n v="773.95550061804704"/>
    <m/>
    <n v="0.95550061804697195"/>
    <m/>
    <n v="-2597.90934236769"/>
    <n v="7054"/>
    <s v="RSA"/>
  </r>
  <r>
    <x v="18"/>
    <x v="2"/>
    <n v="3325"/>
    <n v="0"/>
    <n v="3325"/>
    <s v="NA"/>
    <s v="NA"/>
    <n v="831.16621972246605"/>
    <n v="32.803099849471899"/>
    <n v="19.800666043102002"/>
    <m/>
    <n v="417.99167761717001"/>
    <n v="436.196890056943"/>
    <m/>
    <m/>
    <m/>
    <n v="-1247.62421616656"/>
    <n v="5063"/>
    <s v="RSA"/>
  </r>
  <r>
    <x v="18"/>
    <x v="3"/>
    <n v="5099"/>
    <n v="0"/>
    <n v="5099"/>
    <s v="NA"/>
    <s v="NA"/>
    <n v="22.834449064569998"/>
    <n v="41.420003318678802"/>
    <n v="43.3345506062524"/>
    <m/>
    <n v="620.71471247199395"/>
    <n v="485.52837938760302"/>
    <m/>
    <m/>
    <m/>
    <n v="2210.9633967905102"/>
    <n v="6313"/>
    <s v="RSA"/>
  </r>
  <r>
    <x v="18"/>
    <x v="4"/>
    <n v="619"/>
    <n v="0"/>
    <n v="619"/>
    <s v="NA"/>
    <s v="NA"/>
    <n v="239.423501528375"/>
    <n v="13.384315948055001"/>
    <n v="1.36894957990722"/>
    <m/>
    <n v="180.29932885906001"/>
    <n v="103.02818791946299"/>
    <m/>
    <m/>
    <m/>
    <n v="317.42067228869098"/>
    <n v="1157"/>
    <s v="RSA"/>
  </r>
  <r>
    <x v="18"/>
    <x v="5"/>
    <n v="3544"/>
    <n v="0"/>
    <n v="3544"/>
    <s v="NA"/>
    <s v="NA"/>
    <n v="118.107869227999"/>
    <n v="2883.05864883083"/>
    <n v="819.10625308412602"/>
    <m/>
    <n v="1063.2972824595099"/>
    <n v="709.18912983804603"/>
    <n v="4550.8734559429004"/>
    <m/>
    <m/>
    <n v="-2233.4583423229201"/>
    <n v="13688"/>
    <s v="RSA"/>
  </r>
  <r>
    <x v="18"/>
    <x v="6"/>
    <n v="4516"/>
    <n v="2"/>
    <n v="4518"/>
    <s v="NA"/>
    <s v="NA"/>
    <n v="107.119672811114"/>
    <n v="124.36254206271499"/>
    <n v="297.85135873348599"/>
    <m/>
    <n v="954.75527284901204"/>
    <n v="895.79176431201904"/>
    <n v="262.31201874790798"/>
    <n v="0.75594241714094401"/>
    <n v="0.75594241714094401"/>
    <n v="-6784.7059460083401"/>
    <n v="7162"/>
    <s v="RSA"/>
  </r>
  <r>
    <x v="18"/>
    <x v="7"/>
    <n v="8147"/>
    <n v="3"/>
    <n v="8150"/>
    <s v="NA"/>
    <s v="NA"/>
    <n v="919.45865076391101"/>
    <n v="2292.5818362884902"/>
    <n v="1879.21695387715"/>
    <m/>
    <n v="4623.9729729729697"/>
    <n v="2641.3292908292901"/>
    <n v="1120.7065142065101"/>
    <n v="1.8819588819588799"/>
    <n v="0.94097944097944097"/>
    <n v="-5017.3732849158496"/>
    <n v="21630"/>
    <s v="RSA"/>
  </r>
  <r>
    <x v="18"/>
    <x v="8"/>
    <n v="16054"/>
    <n v="0"/>
    <n v="16054"/>
    <s v="NA"/>
    <s v="NA"/>
    <n v="601.09029268836298"/>
    <n v="2293.5232307309702"/>
    <n v="1353.6833008409999"/>
    <m/>
    <n v="4067.84504886377"/>
    <n v="215.489932885906"/>
    <n v="-482.96208642411398"/>
    <m/>
    <m/>
    <n v="-16647.843180010601"/>
    <n v="24103"/>
    <s v="RSA"/>
  </r>
  <r>
    <x v="18"/>
    <x v="9"/>
    <n v="17078"/>
    <n v="24"/>
    <n v="17102"/>
    <s v="NA"/>
    <s v="NA"/>
    <n v="30.023516593560199"/>
    <n v="15952.377231273"/>
    <n v="3071.1436034365602"/>
    <m/>
    <n v="6708.77974461555"/>
    <n v="3449.8552090754602"/>
    <n v="6509.4256590124396"/>
    <n v="9.3593467419301799"/>
    <n v="4.67967337096509"/>
    <n v="-4698.3725983437698"/>
    <n v="52838"/>
    <s v="RSA"/>
  </r>
  <r>
    <x v="18"/>
    <x v="10"/>
    <n v="16368"/>
    <n v="26"/>
    <n v="16394"/>
    <s v="NA"/>
    <s v="NA"/>
    <n v="78.276237265055002"/>
    <n v="3018.6421293398598"/>
    <n v="1465.1736269236501"/>
    <m/>
    <n v="4202.9224904701396"/>
    <n v="441.95679796696299"/>
    <n v="-950.64040660736998"/>
    <n v="6.9326556543837397"/>
    <n v="0.86658195679796701"/>
    <n v="-6449.4724820390302"/>
    <n v="24658"/>
    <s v="RSA"/>
  </r>
  <r>
    <x v="18"/>
    <x v="11"/>
    <n v="10003"/>
    <n v="5"/>
    <n v="10008"/>
    <s v="NA"/>
    <s v="NA"/>
    <n v="99.624056678243903"/>
    <n v="5908.7797586264696"/>
    <n v="6719.2118623105098"/>
    <n v="-4117.9658237126596"/>
    <n v="1765.23529411765"/>
    <m/>
    <m/>
    <n v="0.916529228513835"/>
    <m/>
    <n v="-13401.3672303025"/>
    <n v="20384"/>
    <s v="RSA"/>
  </r>
  <r>
    <x v="18"/>
    <x v="12"/>
    <n v="9241"/>
    <n v="2"/>
    <n v="9243"/>
    <s v="NA"/>
    <s v="NA"/>
    <n v="18.712777774601701"/>
    <n v="5515.9544884911302"/>
    <n v="3846.3467875692299"/>
    <m/>
    <n v="1037.6998494731599"/>
    <n v="96.443953838434496"/>
    <n v="-4214.78625188159"/>
    <m/>
    <m/>
    <n v="-10748.051809946999"/>
    <n v="15543"/>
    <s v="RSA"/>
  </r>
  <r>
    <x v="18"/>
    <x v="13"/>
    <n v="5119"/>
    <n v="0"/>
    <n v="5119"/>
    <s v="NA"/>
    <s v="NA"/>
    <n v="0"/>
    <n v="7056.4356451806998"/>
    <m/>
    <m/>
    <n v="569.14437640992605"/>
    <m/>
    <n v="-4068.9698678698001"/>
    <m/>
    <m/>
    <n v="-7508.3240629158099"/>
    <n v="8676"/>
    <s v="RSA"/>
  </r>
  <r>
    <x v="18"/>
    <x v="14"/>
    <n v="11464"/>
    <n v="0"/>
    <n v="11464"/>
    <s v="NA"/>
    <s v="NA"/>
    <n v="65.583098216394603"/>
    <n v="746.57081568582396"/>
    <n v="218.04653659814201"/>
    <m/>
    <n v="2865.7840729300101"/>
    <m/>
    <n v="131.28365855496099"/>
    <m/>
    <m/>
    <n v="2343.4684199671701"/>
    <n v="15491"/>
    <s v="RSA"/>
  </r>
  <r>
    <x v="18"/>
    <x v="15"/>
    <n v="10406"/>
    <n v="0"/>
    <n v="10406"/>
    <s v="NA"/>
    <s v="NA"/>
    <n v="241.93364197690499"/>
    <n v="3934.2669131724601"/>
    <n v="3783.8315420758599"/>
    <m/>
    <m/>
    <m/>
    <m/>
    <m/>
    <m/>
    <n v="-2131.6303866419598"/>
    <n v="20498"/>
    <s v="DBE"/>
  </r>
  <r>
    <x v="18"/>
    <x v="16"/>
    <n v="14353"/>
    <n v="4"/>
    <n v="14357"/>
    <s v="NA"/>
    <s v="NA"/>
    <n v="8236.05048799014"/>
    <n v="855.274060890501"/>
    <n v="322.12961962487901"/>
    <m/>
    <m/>
    <m/>
    <m/>
    <m/>
    <m/>
    <n v="10895.183619646399"/>
    <n v="23770"/>
    <s v="DBE"/>
  </r>
  <r>
    <x v="18"/>
    <x v="17"/>
    <n v="6073"/>
    <n v="0"/>
    <n v="6073"/>
    <s v="NA"/>
    <s v="NA"/>
    <n v="331.43256686212197"/>
    <n v="12497.489172821901"/>
    <n v="2841.8391187338998"/>
    <m/>
    <m/>
    <m/>
    <m/>
    <m/>
    <m/>
    <n v="-24780.9319922389"/>
    <n v="46525"/>
    <s v="DBE"/>
  </r>
  <r>
    <x v="18"/>
    <x v="18"/>
    <n v="26456"/>
    <n v="45"/>
    <n v="26501"/>
    <s v="NA"/>
    <s v="NA"/>
    <n v="3550.99281015409"/>
    <n v="17578.780456506702"/>
    <n v="12725.1528731786"/>
    <m/>
    <m/>
    <m/>
    <m/>
    <m/>
    <m/>
    <n v="-68580.591226605902"/>
    <n v="128937"/>
    <s v="DBE"/>
  </r>
  <r>
    <x v="18"/>
    <x v="19"/>
    <n v="5611"/>
    <n v="0"/>
    <n v="5611"/>
    <s v="NA"/>
    <s v="NA"/>
    <n v="1078.4452717499601"/>
    <n v="49259.437258904298"/>
    <n v="14443.0623812677"/>
    <m/>
    <m/>
    <m/>
    <m/>
    <m/>
    <m/>
    <n v="-49473.109521069899"/>
    <n v="119865"/>
    <s v="DBE"/>
  </r>
  <r>
    <x v="18"/>
    <x v="20"/>
    <n v="10040"/>
    <n v="53"/>
    <n v="10093"/>
    <s v="NA"/>
    <s v="NA"/>
    <n v="524.90436566306903"/>
    <n v="20618.6067836492"/>
    <n v="3666.2759340242701"/>
    <m/>
    <m/>
    <m/>
    <m/>
    <m/>
    <m/>
    <n v="-3438.82668003246"/>
    <n v="38342"/>
    <s v="DBE"/>
  </r>
  <r>
    <x v="18"/>
    <x v="21"/>
    <n v="18369"/>
    <n v="92"/>
    <n v="18461"/>
    <s v="NA"/>
    <s v="NA"/>
    <n v="1.19438438070621"/>
    <n v="6793.7114097571302"/>
    <n v="7132.6053221432403"/>
    <m/>
    <m/>
    <m/>
    <m/>
    <m/>
    <m/>
    <n v="-40775.171882132097"/>
    <n v="73164"/>
    <s v="DBE"/>
  </r>
  <r>
    <x v="18"/>
    <x v="22"/>
    <n v="32498"/>
    <n v="8"/>
    <n v="32506"/>
    <s v="NA"/>
    <s v="NA"/>
    <n v="79.099950725579802"/>
    <n v="5605.9461156363604"/>
    <n v="4897.6148722849703"/>
    <m/>
    <m/>
    <m/>
    <m/>
    <m/>
    <m/>
    <n v="-25437.895384175001"/>
    <n v="68527"/>
    <s v="DBE"/>
  </r>
  <r>
    <x v="18"/>
    <x v="23"/>
    <n v="66292"/>
    <n v="0"/>
    <n v="66292"/>
    <s v="NA"/>
    <s v="NA"/>
    <n v="74.580249625053398"/>
    <n v="41556.171892621402"/>
    <n v="15875.277865632101"/>
    <m/>
    <m/>
    <m/>
    <m/>
    <m/>
    <m/>
    <n v="-27.1805683057901"/>
    <n v="123825"/>
    <s v="DBE"/>
  </r>
  <r>
    <x v="18"/>
    <x v="24"/>
    <n v="6979"/>
    <n v="0"/>
    <n v="6979"/>
    <s v="NA"/>
    <s v="NA"/>
    <n v="1.8687700219779899"/>
    <n v="4430.55160672905"/>
    <n v="9584.4108373756899"/>
    <m/>
    <m/>
    <m/>
    <m/>
    <m/>
    <m/>
    <n v="-43824.905592557501"/>
    <n v="64821"/>
    <s v="DBE"/>
  </r>
  <r>
    <x v="18"/>
    <x v="25"/>
    <n v="7198"/>
    <n v="31"/>
    <n v="7229"/>
    <s v="NA"/>
    <s v="NA"/>
    <n v="29.0574707669081"/>
    <n v="4361.3465413249896"/>
    <n v="1109.36907418244"/>
    <m/>
    <m/>
    <m/>
    <m/>
    <m/>
    <m/>
    <n v="-19961.277857553701"/>
    <n v="32690"/>
    <s v="DBE"/>
  </r>
  <r>
    <x v="18"/>
    <x v="26"/>
    <n v="6093"/>
    <n v="0"/>
    <n v="6093"/>
    <s v="NA"/>
    <s v="NA"/>
    <n v="1185.78155726248"/>
    <n v="36728.959449530703"/>
    <n v="4433.8267509960397"/>
    <m/>
    <m/>
    <m/>
    <m/>
    <m/>
    <m/>
    <n v="-35013.521688462999"/>
    <n v="83455"/>
    <s v="DBE"/>
  </r>
  <r>
    <x v="18"/>
    <x v="27"/>
    <n v="46592"/>
    <n v="23"/>
    <n v="46615"/>
    <s v="NA"/>
    <s v="NA"/>
    <n v="2.38948587548848"/>
    <n v="15364.7484136934"/>
    <n v="17011.175214610401"/>
    <m/>
    <m/>
    <m/>
    <m/>
    <m/>
    <m/>
    <n v="-34208.617302857798"/>
    <n v="113202"/>
    <s v="DBE"/>
  </r>
  <r>
    <x v="18"/>
    <x v="28"/>
    <n v="1040"/>
    <n v="6"/>
    <n v="1046"/>
    <s v="NA"/>
    <s v="NA"/>
    <n v="1.1228074928287701E-15"/>
    <n v="295.86942413980597"/>
    <n v="313.75205529496299"/>
    <m/>
    <m/>
    <m/>
    <m/>
    <m/>
    <m/>
    <n v="-1062.80158544698"/>
    <n v="2718"/>
    <s v="DBE"/>
  </r>
  <r>
    <x v="18"/>
    <x v="29"/>
    <n v="1712"/>
    <n v="0"/>
    <n v="1712"/>
    <s v="NA"/>
    <s v="NA"/>
    <n v="0.26024905857734398"/>
    <n v="1140.68414917375"/>
    <n v="1310.14230682831"/>
    <m/>
    <m/>
    <m/>
    <m/>
    <m/>
    <m/>
    <n v="-3477.65127835355"/>
    <n v="7641"/>
    <s v="DBE"/>
  </r>
  <r>
    <x v="18"/>
    <x v="30"/>
    <n v="5047"/>
    <n v="0"/>
    <n v="5047"/>
    <s v="NA"/>
    <s v="NA"/>
    <n v="83.696885354314404"/>
    <n v="11747.526231108999"/>
    <n v="391.35463847594798"/>
    <m/>
    <m/>
    <m/>
    <m/>
    <m/>
    <m/>
    <n v="-4491.2129721768097"/>
    <n v="21761"/>
    <s v="DBE"/>
  </r>
  <r>
    <x v="18"/>
    <x v="31"/>
    <n v="8236"/>
    <n v="6"/>
    <n v="8242"/>
    <s v="NA"/>
    <s v="NA"/>
    <n v="9.2995744894306895"/>
    <n v="11657.412337174999"/>
    <n v="19358.558863382299"/>
    <m/>
    <m/>
    <m/>
    <m/>
    <m/>
    <m/>
    <n v="2488.1306987233102"/>
    <n v="39267"/>
    <s v="DBE"/>
  </r>
  <r>
    <x v="18"/>
    <x v="32"/>
    <n v="464"/>
    <n v="0"/>
    <n v="464"/>
    <s v="NA"/>
    <s v="NA"/>
    <n v="0"/>
    <n v="820.86911780663604"/>
    <n v="215.25542464810201"/>
    <m/>
    <m/>
    <m/>
    <m/>
    <m/>
    <m/>
    <n v="-689.39389167306797"/>
    <n v="2190"/>
    <s v="DBE"/>
  </r>
  <r>
    <x v="18"/>
    <x v="33"/>
    <n v="630"/>
    <n v="0"/>
    <n v="630"/>
    <s v="NA"/>
    <s v="NA"/>
    <n v="5.1972055164545399"/>
    <n v="1755.9169202481701"/>
    <n v="923.44905658735195"/>
    <m/>
    <m/>
    <m/>
    <m/>
    <m/>
    <m/>
    <n v="33.740654091789303"/>
    <n v="3315"/>
    <s v="DBE"/>
  </r>
  <r>
    <x v="18"/>
    <x v="34"/>
    <n v="1647"/>
    <n v="0"/>
    <n v="1647"/>
    <s v="NA"/>
    <s v="NA"/>
    <n v="23.573210692400899"/>
    <n v="11591.346044305301"/>
    <n v="915.69234737747195"/>
    <m/>
    <m/>
    <m/>
    <m/>
    <m/>
    <m/>
    <n v="-342.87862511819998"/>
    <n v="14520"/>
    <s v="DBE"/>
  </r>
  <r>
    <x v="18"/>
    <x v="35"/>
    <n v="19851"/>
    <n v="6"/>
    <n v="19857"/>
    <s v="NA"/>
    <s v="NA"/>
    <n v="0"/>
    <n v="16738.2483579008"/>
    <n v="2054.0674759313501"/>
    <m/>
    <m/>
    <m/>
    <m/>
    <m/>
    <m/>
    <n v="3008.4767842757501"/>
    <n v="38649"/>
    <s v="DBE"/>
  </r>
  <r>
    <x v="18"/>
    <x v="36"/>
    <n v="1436"/>
    <n v="76"/>
    <n v="1512"/>
    <s v="NA"/>
    <s v="NA"/>
    <n v="0"/>
    <n v="1709.0816373918999"/>
    <n v="418.25058376757698"/>
    <m/>
    <m/>
    <m/>
    <m/>
    <m/>
    <m/>
    <n v="-70.639130854147197"/>
    <n v="3710"/>
    <s v="DBE"/>
  </r>
  <r>
    <x v="18"/>
    <x v="37"/>
    <n v="2095"/>
    <n v="31"/>
    <n v="2126"/>
    <s v="NA"/>
    <s v="NA"/>
    <n v="0"/>
    <n v="763.08198596250099"/>
    <n v="775.60160488481802"/>
    <m/>
    <m/>
    <m/>
    <m/>
    <m/>
    <m/>
    <n v="-790.90964818639304"/>
    <n v="4456"/>
    <s v="DBE"/>
  </r>
  <r>
    <x v="18"/>
    <x v="38"/>
    <n v="3638"/>
    <n v="0"/>
    <n v="3638"/>
    <s v="NA"/>
    <s v="NA"/>
    <n v="0"/>
    <n v="10845.4402108372"/>
    <n v="789.74704878432101"/>
    <m/>
    <m/>
    <m/>
    <m/>
    <m/>
    <m/>
    <n v="1807.9348066114901"/>
    <n v="15273"/>
    <s v="DBE"/>
  </r>
  <r>
    <x v="18"/>
    <x v="39"/>
    <n v="19086"/>
    <n v="12"/>
    <n v="19098"/>
    <s v="NA"/>
    <s v="NA"/>
    <n v="0"/>
    <n v="26589.422006689001"/>
    <n v="4788.3390294439596"/>
    <m/>
    <m/>
    <m/>
    <m/>
    <m/>
    <m/>
    <n v="-3531.8140549064701"/>
    <n v="54008"/>
    <s v="DBE"/>
  </r>
  <r>
    <x v="18"/>
    <x v="40"/>
    <n v="2780"/>
    <n v="77"/>
    <n v="2857"/>
    <s v="NA"/>
    <s v="NA"/>
    <n v="0.22714578908004299"/>
    <n v="4567.8778722366196"/>
    <n v="726.21919376003598"/>
    <m/>
    <m/>
    <m/>
    <m/>
    <m/>
    <m/>
    <n v="-691.294358353544"/>
    <n v="8843"/>
    <s v="DBE"/>
  </r>
  <r>
    <x v="18"/>
    <x v="41"/>
    <n v="2992"/>
    <n v="0"/>
    <n v="2992"/>
    <s v="NA"/>
    <s v="NA"/>
    <m/>
    <n v="9700.9731378133001"/>
    <n v="943.26588908704696"/>
    <m/>
    <m/>
    <m/>
    <m/>
    <m/>
    <m/>
    <n v="-122.80132896692"/>
    <n v="13759"/>
    <s v="DBE"/>
  </r>
  <r>
    <x v="18"/>
    <x v="42"/>
    <n v="815"/>
    <n v="58"/>
    <n v="873"/>
    <s v="NA"/>
    <s v="NA"/>
    <m/>
    <n v="2813.86329520665"/>
    <n v="89.796448962482401"/>
    <m/>
    <m/>
    <m/>
    <m/>
    <m/>
    <m/>
    <n v="-231.666356304375"/>
    <n v="4008"/>
    <s v="DBE"/>
  </r>
  <r>
    <x v="18"/>
    <x v="43"/>
    <n v="5418"/>
    <n v="0"/>
    <n v="5418"/>
    <s v="NA"/>
    <s v="NA"/>
    <m/>
    <n v="9855.6621852583994"/>
    <n v="1086.93829646737"/>
    <m/>
    <m/>
    <m/>
    <m/>
    <m/>
    <m/>
    <n v="364.522741820882"/>
    <n v="16361"/>
    <s v="DBE"/>
  </r>
  <r>
    <x v="18"/>
    <x v="44"/>
    <n v="1758"/>
    <n v="22"/>
    <n v="1780"/>
    <s v="NA"/>
    <s v="NA"/>
    <m/>
    <n v="4055.8998873272499"/>
    <n v="322.29600998701397"/>
    <m/>
    <m/>
    <m/>
    <m/>
    <m/>
    <m/>
    <n v="-779.64848385538903"/>
    <n v="6938"/>
    <s v="DBE"/>
  </r>
  <r>
    <x v="18"/>
    <x v="45"/>
    <n v="2493"/>
    <n v="7"/>
    <n v="2500"/>
    <s v="NA"/>
    <s v="NA"/>
    <m/>
    <n v="9045.3638463139105"/>
    <n v="437.94089701323003"/>
    <m/>
    <m/>
    <m/>
    <m/>
    <m/>
    <m/>
    <n v="161.444010007911"/>
    <n v="11983"/>
    <s v="DBE"/>
  </r>
  <r>
    <x v="18"/>
    <x v="46"/>
    <n v="617"/>
    <n v="31"/>
    <n v="648"/>
    <s v="NA"/>
    <s v="NA"/>
    <m/>
    <n v="1693.6598319566201"/>
    <n v="77.403829701615095"/>
    <m/>
    <m/>
    <m/>
    <m/>
    <m/>
    <m/>
    <n v="457.82131909244299"/>
    <n v="2419"/>
    <s v="DBE"/>
  </r>
  <r>
    <x v="18"/>
    <x v="47"/>
    <n v="8665"/>
    <n v="19"/>
    <n v="8684"/>
    <s v="NA"/>
    <s v="NA"/>
    <m/>
    <n v="45479.2762973352"/>
    <n v="1847.5399719495099"/>
    <m/>
    <m/>
    <m/>
    <m/>
    <m/>
    <m/>
    <m/>
    <n v="56011"/>
    <s v="NA"/>
  </r>
  <r>
    <x v="18"/>
    <x v="48"/>
    <n v="2609"/>
    <n v="55"/>
    <n v="2664"/>
    <s v="NA"/>
    <s v="NA"/>
    <m/>
    <n v="6892"/>
    <n v="601"/>
    <m/>
    <m/>
    <m/>
    <m/>
    <m/>
    <m/>
    <m/>
    <n v="10157"/>
    <s v="RSA"/>
  </r>
  <r>
    <x v="18"/>
    <x v="49"/>
    <n v="2383"/>
    <n v="13"/>
    <n v="2396"/>
    <s v="NA"/>
    <s v="NA"/>
    <m/>
    <n v="8866.1983333333392"/>
    <n v="782"/>
    <m/>
    <m/>
    <m/>
    <m/>
    <m/>
    <m/>
    <m/>
    <n v="12044"/>
    <s v="NA"/>
  </r>
  <r>
    <x v="18"/>
    <x v="50"/>
    <n v="2714"/>
    <n v="15"/>
    <n v="2729"/>
    <s v="NA"/>
    <s v="NA"/>
    <m/>
    <n v="12808.7415485278"/>
    <n v="184"/>
    <m/>
    <m/>
    <m/>
    <m/>
    <m/>
    <m/>
    <m/>
    <n v="15722"/>
    <s v="NA"/>
  </r>
  <r>
    <x v="18"/>
    <x v="51"/>
    <n v="11048"/>
    <n v="103"/>
    <n v="11151"/>
    <s v="NA"/>
    <s v="NA"/>
    <m/>
    <n v="84580"/>
    <n v="6933"/>
    <m/>
    <m/>
    <m/>
    <m/>
    <m/>
    <m/>
    <m/>
    <n v="102664"/>
    <s v="NA"/>
  </r>
  <r>
    <x v="18"/>
    <x v="52"/>
    <n v="801"/>
    <n v="39"/>
    <n v="840"/>
    <s v="NA"/>
    <s v="NA"/>
    <m/>
    <n v="9900.0710059171597"/>
    <n v="317"/>
    <m/>
    <m/>
    <m/>
    <m/>
    <m/>
    <m/>
    <m/>
    <n v="11057"/>
    <s v="NA"/>
  </r>
  <r>
    <x v="18"/>
    <x v="53"/>
    <n v="4462"/>
    <n v="12"/>
    <n v="4474"/>
    <s v="NA"/>
    <s v="NA"/>
    <m/>
    <n v="16311.8947603121"/>
    <n v="1421"/>
    <m/>
    <m/>
    <m/>
    <m/>
    <m/>
    <m/>
    <m/>
    <n v="22207"/>
    <s v="NA"/>
  </r>
  <r>
    <x v="18"/>
    <x v="54"/>
    <n v="5537"/>
    <n v="56"/>
    <n v="5593"/>
    <s v="NA"/>
    <s v="NA"/>
    <m/>
    <n v="21275.8395171312"/>
    <n v="678"/>
    <m/>
    <m/>
    <m/>
    <m/>
    <m/>
    <m/>
    <m/>
    <n v="27547"/>
    <s v="NA"/>
  </r>
  <r>
    <x v="18"/>
    <x v="55"/>
    <n v="8089"/>
    <n v="32"/>
    <n v="8121"/>
    <s v="NA"/>
    <s v="NA"/>
    <m/>
    <n v="28908.293598050899"/>
    <n v="1496"/>
    <m/>
    <m/>
    <m/>
    <m/>
    <m/>
    <m/>
    <m/>
    <n v="38525"/>
    <s v="NA"/>
  </r>
  <r>
    <x v="18"/>
    <x v="56"/>
    <n v="1279"/>
    <n v="24"/>
    <n v="1303"/>
    <s v="NA"/>
    <s v="NA"/>
    <m/>
    <n v="18009.850644427599"/>
    <n v="486.031842304777"/>
    <m/>
    <m/>
    <m/>
    <m/>
    <m/>
    <m/>
    <m/>
    <n v="19799"/>
    <s v="NA"/>
  </r>
  <r>
    <x v="18"/>
    <x v="57"/>
    <n v="6244"/>
    <n v="6"/>
    <n v="6250"/>
    <s v="NA"/>
    <s v="NA"/>
    <m/>
    <n v="32448.4126984127"/>
    <n v="1041.6666666666699"/>
    <m/>
    <m/>
    <m/>
    <m/>
    <m/>
    <m/>
    <m/>
    <n v="39740"/>
    <s v="NA"/>
  </r>
  <r>
    <x v="18"/>
    <x v="58"/>
    <n v="6624"/>
    <n v="0"/>
    <n v="6624"/>
    <s v="NA"/>
    <s v="NA"/>
    <m/>
    <n v="16246.9155766944"/>
    <n v="1436.44708680143"/>
    <m/>
    <m/>
    <m/>
    <m/>
    <m/>
    <m/>
    <m/>
    <n v="24307"/>
    <s v="NA"/>
  </r>
  <r>
    <x v="18"/>
    <x v="59"/>
    <n v="5177"/>
    <n v="24"/>
    <n v="5201"/>
    <s v="NA"/>
    <s v="NA"/>
    <m/>
    <n v="11323.213936889601"/>
    <n v="1773.0681818181799"/>
    <m/>
    <m/>
    <m/>
    <m/>
    <m/>
    <m/>
    <m/>
    <n v="18297"/>
    <s v="RSA"/>
  </r>
  <r>
    <x v="18"/>
    <x v="60"/>
    <n v="8683"/>
    <n v="41"/>
    <n v="8724"/>
    <s v="NA"/>
    <s v="NA"/>
    <m/>
    <n v="11753.739365293701"/>
    <n v="1138.8521269412599"/>
    <m/>
    <m/>
    <m/>
    <m/>
    <m/>
    <m/>
    <m/>
    <n v="21617"/>
    <s v="NA"/>
  </r>
  <r>
    <x v="18"/>
    <x v="61"/>
    <n v="7613"/>
    <n v="0"/>
    <n v="7613"/>
    <s v="NA"/>
    <s v="NA"/>
    <m/>
    <n v="16153.331864714301"/>
    <n v="834.59867824284004"/>
    <m/>
    <m/>
    <m/>
    <m/>
    <m/>
    <m/>
    <m/>
    <n v="24601"/>
    <s v="NA"/>
  </r>
  <r>
    <x v="18"/>
    <x v="62"/>
    <n v="7293"/>
    <n v="8"/>
    <n v="7301"/>
    <s v="NA"/>
    <s v="NA"/>
    <m/>
    <n v="16199.471059661601"/>
    <n v="1094.08192341941"/>
    <m/>
    <m/>
    <m/>
    <m/>
    <m/>
    <m/>
    <m/>
    <n v="24595"/>
    <s v="NA"/>
  </r>
  <r>
    <x v="18"/>
    <x v="63"/>
    <n v="5513"/>
    <n v="40"/>
    <n v="5553"/>
    <s v="NA"/>
    <s v="NA"/>
    <m/>
    <n v="17046.989681603802"/>
    <n v="948.69206957547203"/>
    <m/>
    <m/>
    <m/>
    <m/>
    <m/>
    <m/>
    <m/>
    <n v="23549"/>
    <s v="RSA"/>
  </r>
  <r>
    <x v="18"/>
    <x v="64"/>
    <n v="10210"/>
    <n v="0"/>
    <n v="10210"/>
    <s v="NA"/>
    <s v="NA"/>
    <m/>
    <n v="47599.602420051902"/>
    <n v="834.40987227504104"/>
    <m/>
    <m/>
    <m/>
    <m/>
    <m/>
    <m/>
    <m/>
    <n v="58644"/>
    <s v="NA"/>
  </r>
  <r>
    <x v="18"/>
    <x v="65"/>
    <n v="10214"/>
    <n v="1"/>
    <n v="10215"/>
    <s v="NA"/>
    <s v="NA"/>
    <m/>
    <n v="30238"/>
    <n v="372"/>
    <m/>
    <m/>
    <m/>
    <m/>
    <m/>
    <m/>
    <m/>
    <n v="40825"/>
    <s v="NA"/>
  </r>
  <r>
    <x v="18"/>
    <x v="66"/>
    <n v="6860"/>
    <n v="21"/>
    <n v="6881"/>
    <s v="NA"/>
    <s v="NA"/>
    <m/>
    <n v="24443.014597485198"/>
    <n v="412"/>
    <m/>
    <m/>
    <m/>
    <m/>
    <m/>
    <m/>
    <m/>
    <n v="31736"/>
    <s v="NA"/>
  </r>
  <r>
    <x v="18"/>
    <x v="67"/>
    <n v="9037"/>
    <n v="0"/>
    <n v="9037"/>
    <s v="NA"/>
    <s v="NA"/>
    <m/>
    <n v="43483.376590330801"/>
    <n v="2156.5227348158"/>
    <m/>
    <m/>
    <m/>
    <m/>
    <m/>
    <m/>
    <m/>
    <n v="54677"/>
    <s v="NA"/>
  </r>
  <r>
    <x v="18"/>
    <x v="68"/>
    <n v="5079"/>
    <n v="2"/>
    <n v="5081"/>
    <s v="NA"/>
    <s v="NA"/>
    <m/>
    <n v="31788"/>
    <n v="1269.7593665508"/>
    <m/>
    <m/>
    <m/>
    <m/>
    <m/>
    <m/>
    <m/>
    <n v="38139"/>
    <s v="RSA"/>
  </r>
  <r>
    <x v="18"/>
    <x v="69"/>
    <n v="9988"/>
    <n v="7"/>
    <n v="9995"/>
    <s v="NA"/>
    <s v="NA"/>
    <m/>
    <n v="31007.160172735301"/>
    <n v="341.37403081754798"/>
    <m/>
    <m/>
    <m/>
    <m/>
    <m/>
    <m/>
    <m/>
    <n v="41344"/>
    <s v="NA"/>
  </r>
  <r>
    <x v="18"/>
    <x v="70"/>
    <n v="7904"/>
    <n v="5"/>
    <n v="7909"/>
    <s v="NA"/>
    <s v="NA"/>
    <m/>
    <n v="26924"/>
    <n v="490"/>
    <m/>
    <m/>
    <m/>
    <m/>
    <m/>
    <m/>
    <m/>
    <n v="35323"/>
    <s v="NA"/>
  </r>
  <r>
    <x v="18"/>
    <x v="71"/>
    <n v="15617"/>
    <n v="0"/>
    <n v="15617"/>
    <s v="NA"/>
    <s v="NA"/>
    <m/>
    <n v="50964"/>
    <n v="1091"/>
    <m/>
    <m/>
    <m/>
    <m/>
    <m/>
    <m/>
    <m/>
    <n v="67672"/>
    <s v="NA"/>
  </r>
  <r>
    <x v="19"/>
    <x v="0"/>
    <n v="5341"/>
    <n v="46"/>
    <n v="5387"/>
    <s v="NA"/>
    <s v="NA"/>
    <n v="1.6289216069719501"/>
    <n v="262.56884461316503"/>
    <n v="98.155568519135997"/>
    <m/>
    <n v="4589.1131372211703"/>
    <n v="1542.66970583176"/>
    <m/>
    <n v="12.2507024485349"/>
    <n v="4.2877458569872102"/>
    <n v="-19676.3711709251"/>
    <n v="11898"/>
    <s v="RSA"/>
  </r>
  <r>
    <x v="19"/>
    <x v="1"/>
    <n v="65257"/>
    <n v="17"/>
    <n v="65274"/>
    <s v="NA"/>
    <s v="NA"/>
    <n v="196.92767632613899"/>
    <n v="12387.3194589785"/>
    <n v="10032.5035563581"/>
    <m/>
    <n v="35768.914205060399"/>
    <n v="1171.2118634727001"/>
    <m/>
    <n v="3.59635167903593"/>
    <m/>
    <n v="-73262.206046322201"/>
    <n v="124834"/>
    <s v="RSA"/>
  </r>
  <r>
    <x v="19"/>
    <x v="2"/>
    <n v="14144"/>
    <n v="321"/>
    <n v="14465"/>
    <s v="NA"/>
    <s v="NA"/>
    <n v="2595.3698749059899"/>
    <n v="142.27297901039"/>
    <n v="134.503258639135"/>
    <m/>
    <n v="3909.3697167432902"/>
    <n v="1492.95447130357"/>
    <m/>
    <n v="76.037372089574404"/>
    <n v="26.219783479163599"/>
    <n v="3026.0947294940102"/>
    <n v="22842"/>
    <s v="RSA"/>
  </r>
  <r>
    <x v="19"/>
    <x v="3"/>
    <n v="1410"/>
    <n v="33"/>
    <n v="1443"/>
    <s v="NA"/>
    <s v="NA"/>
    <n v="35.784947219189696"/>
    <n v="17.674357982085802"/>
    <n v="2.8424532032549599"/>
    <m/>
    <n v="383.43083003952597"/>
    <n v="123.166007905138"/>
    <m/>
    <n v="4.4584980237154204"/>
    <m/>
    <n v="1212.1185323336599"/>
    <n v="2010"/>
    <s v="RSA"/>
  </r>
  <r>
    <x v="19"/>
    <x v="4"/>
    <n v="1719"/>
    <n v="0"/>
    <n v="1719"/>
    <s v="NA"/>
    <s v="NA"/>
    <n v="209.9924336995"/>
    <n v="92.623144292684998"/>
    <n v="12.654119961850499"/>
    <m/>
    <n v="884.05714285714305"/>
    <n v="343.8"/>
    <m/>
    <m/>
    <m/>
    <n v="-2547.5419484845302"/>
    <n v="3262"/>
    <s v="RSA"/>
  </r>
  <r>
    <x v="19"/>
    <x v="5"/>
    <n v="82192"/>
    <n v="0"/>
    <n v="82192"/>
    <s v="NA"/>
    <s v="NA"/>
    <n v="3808.6017332070201"/>
    <n v="206652.666502437"/>
    <n v="26729.853951012901"/>
    <m/>
    <n v="44662.553644041298"/>
    <n v="752.74248179096503"/>
    <n v="1294.30305196836"/>
    <m/>
    <m/>
    <n v="-145200.81037442599"/>
    <n v="366093"/>
    <s v="RSA"/>
  </r>
  <r>
    <x v="19"/>
    <x v="6"/>
    <n v="4975"/>
    <n v="679"/>
    <n v="5654"/>
    <s v="NA"/>
    <s v="NA"/>
    <n v="47.682017480058001"/>
    <n v="165.987988365126"/>
    <n v="187.35400041204801"/>
    <m/>
    <n v="1353.6004675271899"/>
    <n v="439.90751092590699"/>
    <n v="33.3722939323102"/>
    <n v="364.06138835247498"/>
    <n v="218.43683301148499"/>
    <n v="-909.74516227640902"/>
    <n v="8464"/>
    <s v="RSA"/>
  </r>
  <r>
    <x v="19"/>
    <x v="7"/>
    <n v="961"/>
    <n v="29"/>
    <n v="990"/>
    <s v="NA"/>
    <s v="NA"/>
    <n v="126.88532248910001"/>
    <n v="415.935335686256"/>
    <n v="355.46126802575299"/>
    <m/>
    <n v="270.76824324324298"/>
    <n v="122.07297297297301"/>
    <n v="-126.618243243243"/>
    <n v="5.1945945945945899"/>
    <m/>
    <n v="-823.13640953133802"/>
    <n v="2160"/>
    <s v="RSA"/>
  </r>
  <r>
    <x v="19"/>
    <x v="8"/>
    <n v="6614"/>
    <n v="0"/>
    <n v="6614"/>
    <s v="NA"/>
    <s v="NA"/>
    <n v="4765.4339164413996"/>
    <n v="3066.5201849086702"/>
    <n v="1491.9768543641401"/>
    <m/>
    <n v="5399.6640100826598"/>
    <n v="1485.49601512399"/>
    <n v="36.775771953886597"/>
    <m/>
    <m/>
    <n v="-18140.581533619999"/>
    <n v="22860"/>
    <s v="RSA"/>
  </r>
  <r>
    <x v="19"/>
    <x v="9"/>
    <n v="135100"/>
    <n v="34"/>
    <n v="135134"/>
    <s v="NA"/>
    <s v="NA"/>
    <n v="8579.1374918745405"/>
    <n v="170487.42894498201"/>
    <n v="42444.193624610802"/>
    <m/>
    <n v="57899.961058797198"/>
    <m/>
    <m/>
    <n v="13.0842441472179"/>
    <m/>
    <n v="-73359.404321055001"/>
    <n v="414558"/>
    <s v="RSA"/>
  </r>
  <r>
    <x v="19"/>
    <x v="10"/>
    <n v="23867"/>
    <n v="841"/>
    <n v="24708"/>
    <s v="NA"/>
    <s v="NA"/>
    <n v="291.02718272529103"/>
    <n v="5451.1557176554597"/>
    <n v="4851.3463159217999"/>
    <m/>
    <n v="12851.4939454918"/>
    <m/>
    <m/>
    <n v="574.64146014262496"/>
    <m/>
    <n v="-26912.0393902383"/>
    <n v="48728"/>
    <s v="RSA"/>
  </r>
  <r>
    <x v="19"/>
    <x v="11"/>
    <n v="2005"/>
    <n v="2"/>
    <n v="2007"/>
    <s v="NA"/>
    <s v="NA"/>
    <n v="0"/>
    <n v="307.29330658841798"/>
    <n v="657.53846137161599"/>
    <n v="1540.090625"/>
    <n v="360.2734375"/>
    <n v="35.087499999999999"/>
    <m/>
    <n v="0.62656250000000002"/>
    <m/>
    <n v="-128.01536398205101"/>
    <n v="4908"/>
    <s v="RSA"/>
  </r>
  <r>
    <x v="19"/>
    <x v="12"/>
    <n v="33807"/>
    <n v="0"/>
    <n v="33807"/>
    <s v="NA"/>
    <s v="NA"/>
    <n v="104.665212479888"/>
    <n v="20953.766078726101"/>
    <n v="20012.3213380983"/>
    <m/>
    <n v="3917.4610751117998"/>
    <n v="1448.0927261111599"/>
    <n v="797.58232180341304"/>
    <m/>
    <m/>
    <n v="-37517.0953863584"/>
    <n v="81041"/>
    <s v="RSA"/>
  </r>
  <r>
    <x v="19"/>
    <x v="13"/>
    <n v="522367"/>
    <n v="0"/>
    <n v="522367"/>
    <s v="NA"/>
    <s v="NA"/>
    <n v="0"/>
    <n v="422509.21148591198"/>
    <m/>
    <m/>
    <n v="58040.9411447639"/>
    <m/>
    <m/>
    <m/>
    <m/>
    <n v="-989443.91754433804"/>
    <n v="1002917"/>
    <s v="RSA"/>
  </r>
  <r>
    <x v="19"/>
    <x v="14"/>
    <n v="4672"/>
    <n v="1098"/>
    <n v="5770"/>
    <s v="NA"/>
    <s v="NA"/>
    <n v="0.44730399999999998"/>
    <n v="289.79273819442398"/>
    <n v="218.89586194387499"/>
    <m/>
    <n v="1261.16042298549"/>
    <n v="372.25870973030601"/>
    <n v="166.597262070662"/>
    <n v="178.469710632019"/>
    <n v="34.468399049102402"/>
    <n v="-727.082741495758"/>
    <n v="8292"/>
    <s v="RSA"/>
  </r>
  <r>
    <x v="19"/>
    <x v="15"/>
    <n v="654"/>
    <n v="0"/>
    <n v="654"/>
    <s v="NA"/>
    <s v="NA"/>
    <n v="7.3170747207655998E-2"/>
    <n v="783.85597534630494"/>
    <n v="1094.07178268743"/>
    <m/>
    <m/>
    <m/>
    <m/>
    <m/>
    <m/>
    <n v="-3308.0421559665201"/>
    <n v="5840"/>
    <s v="DBE"/>
  </r>
  <r>
    <x v="19"/>
    <x v="16"/>
    <n v="8272"/>
    <n v="2"/>
    <n v="8274"/>
    <s v="NA"/>
    <s v="NA"/>
    <n v="3707.7533539767001"/>
    <n v="761.68701127567999"/>
    <n v="933.97645171441002"/>
    <m/>
    <m/>
    <m/>
    <m/>
    <m/>
    <m/>
    <n v="-3517.8893172395901"/>
    <n v="17195"/>
    <s v="DBE"/>
  </r>
  <r>
    <x v="19"/>
    <x v="17"/>
    <n v="144199"/>
    <n v="0"/>
    <n v="144199"/>
    <s v="NA"/>
    <s v="NA"/>
    <n v="4072.7382484776699"/>
    <n v="337821.27200212202"/>
    <n v="76178.394630703595"/>
    <m/>
    <m/>
    <m/>
    <m/>
    <m/>
    <m/>
    <n v="-376977.112004583"/>
    <n v="939249"/>
    <s v="DBE"/>
  </r>
  <r>
    <x v="19"/>
    <x v="18"/>
    <n v="4163"/>
    <n v="1008"/>
    <n v="5171"/>
    <s v="NA"/>
    <s v="NA"/>
    <n v="56.550998456499997"/>
    <n v="1855.9971457291899"/>
    <n v="3371.5161059464399"/>
    <m/>
    <m/>
    <m/>
    <m/>
    <m/>
    <m/>
    <n v="-12139.708484245"/>
    <n v="22595"/>
    <s v="DBE"/>
  </r>
  <r>
    <x v="19"/>
    <x v="19"/>
    <n v="783"/>
    <n v="0"/>
    <n v="783"/>
    <s v="NA"/>
    <s v="NA"/>
    <n v="30.116020148099501"/>
    <n v="7986.2747479053296"/>
    <n v="1099.35619889194"/>
    <m/>
    <m/>
    <m/>
    <m/>
    <m/>
    <m/>
    <n v="-3347.1599635785201"/>
    <n v="13246"/>
    <s v="DBE"/>
  </r>
  <r>
    <x v="19"/>
    <x v="20"/>
    <n v="5089"/>
    <n v="2"/>
    <n v="5091"/>
    <s v="NA"/>
    <s v="NA"/>
    <n v="467.73048592088099"/>
    <n v="20898.438987074798"/>
    <n v="2096.0449433908602"/>
    <m/>
    <m/>
    <m/>
    <m/>
    <m/>
    <m/>
    <n v="-3604.1288411618302"/>
    <n v="32157"/>
    <s v="DBE"/>
  </r>
  <r>
    <x v="19"/>
    <x v="21"/>
    <n v="101269"/>
    <n v="0"/>
    <n v="101269"/>
    <s v="NA"/>
    <s v="NA"/>
    <n v="9.2174607092480603"/>
    <n v="51735.7239153993"/>
    <n v="14787.708800513199"/>
    <m/>
    <m/>
    <m/>
    <m/>
    <m/>
    <m/>
    <n v="-19447.607887104299"/>
    <n v="187249"/>
    <s v="DBE"/>
  </r>
  <r>
    <x v="19"/>
    <x v="22"/>
    <n v="2449"/>
    <n v="148"/>
    <n v="2597"/>
    <s v="NA"/>
    <s v="NA"/>
    <n v="9.3557795839091291"/>
    <n v="622.68435093772996"/>
    <n v="478.28679679611201"/>
    <m/>
    <m/>
    <m/>
    <m/>
    <m/>
    <m/>
    <n v="-4744.4971796053696"/>
    <n v="8452"/>
    <s v="DBE"/>
  </r>
  <r>
    <x v="19"/>
    <x v="23"/>
    <n v="3765"/>
    <n v="4"/>
    <n v="3769"/>
    <s v="NA"/>
    <s v="NA"/>
    <n v="2.90776872319393"/>
    <n v="1475.36451244911"/>
    <n v="656.85204209799804"/>
    <m/>
    <m/>
    <m/>
    <m/>
    <m/>
    <m/>
    <n v="1358.5124117143901"/>
    <n v="5904"/>
    <s v="DBE"/>
  </r>
  <r>
    <x v="19"/>
    <x v="24"/>
    <n v="4093"/>
    <n v="0"/>
    <n v="4093"/>
    <s v="NA"/>
    <s v="NA"/>
    <n v="0.21557043708611801"/>
    <n v="1282.9011245688901"/>
    <n v="2769.3968561008301"/>
    <m/>
    <m/>
    <m/>
    <m/>
    <m/>
    <m/>
    <n v="-8579.7568812680001"/>
    <n v="16725"/>
    <s v="DBE"/>
  </r>
  <r>
    <x v="19"/>
    <x v="25"/>
    <n v="35981"/>
    <n v="12"/>
    <n v="35993"/>
    <s v="NA"/>
    <s v="NA"/>
    <n v="154.47370472603299"/>
    <n v="43789.934176218601"/>
    <n v="10184.132036782899"/>
    <m/>
    <m/>
    <m/>
    <m/>
    <m/>
    <m/>
    <n v="-57310.895971162099"/>
    <n v="147432"/>
    <s v="DBE"/>
  </r>
  <r>
    <x v="19"/>
    <x v="26"/>
    <n v="3085"/>
    <n v="10"/>
    <n v="3095"/>
    <s v="NA"/>
    <s v="NA"/>
    <n v="265.85643118414703"/>
    <n v="4796.8246897935196"/>
    <n v="358.29686433938798"/>
    <m/>
    <m/>
    <m/>
    <m/>
    <m/>
    <m/>
    <n v="-2804.5455766193099"/>
    <n v="11321"/>
    <s v="DBE"/>
  </r>
  <r>
    <x v="19"/>
    <x v="27"/>
    <n v="4609"/>
    <n v="56"/>
    <n v="4665"/>
    <s v="NA"/>
    <s v="NA"/>
    <n v="0.15033066420742999"/>
    <n v="466.82815125940601"/>
    <n v="476.95535736501103"/>
    <m/>
    <m/>
    <m/>
    <m/>
    <m/>
    <m/>
    <n v="2872.9916618553498"/>
    <n v="5609"/>
    <s v="DBE"/>
  </r>
  <r>
    <x v="19"/>
    <x v="28"/>
    <n v="14772"/>
    <n v="1"/>
    <n v="14773"/>
    <s v="NA"/>
    <s v="NA"/>
    <n v="1.4481160020944201E-11"/>
    <n v="6237.0226641819399"/>
    <n v="5906.7061453345596"/>
    <m/>
    <m/>
    <m/>
    <m/>
    <m/>
    <m/>
    <n v="6525.3607622755299"/>
    <n v="26917"/>
    <s v="DBE"/>
  </r>
  <r>
    <x v="19"/>
    <x v="29"/>
    <n v="73180"/>
    <n v="3"/>
    <n v="73183"/>
    <s v="NA"/>
    <s v="NA"/>
    <n v="321.53109886150702"/>
    <n v="157404.062067483"/>
    <n v="21525.4227424975"/>
    <m/>
    <m/>
    <m/>
    <m/>
    <m/>
    <m/>
    <n v="-36779.153246187998"/>
    <n v="289213"/>
    <s v="DBE"/>
  </r>
  <r>
    <x v="19"/>
    <x v="30"/>
    <n v="8359"/>
    <n v="169"/>
    <n v="8528"/>
    <s v="NA"/>
    <s v="NA"/>
    <n v="52.896847734508697"/>
    <n v="7458.5354455750503"/>
    <n v="648.17385041023397"/>
    <m/>
    <m/>
    <m/>
    <m/>
    <m/>
    <m/>
    <n v="-1596.9355438843399"/>
    <n v="18285"/>
    <s v="DBE"/>
  </r>
  <r>
    <x v="19"/>
    <x v="31"/>
    <n v="2156"/>
    <n v="125"/>
    <n v="2281"/>
    <s v="NA"/>
    <s v="NA"/>
    <n v="34.425008145018701"/>
    <n v="9166.8153908979402"/>
    <n v="5329.0734198400896"/>
    <m/>
    <m/>
    <m/>
    <m/>
    <m/>
    <m/>
    <n v="-584.50114427204096"/>
    <n v="17396"/>
    <s v="DBE"/>
  </r>
  <r>
    <x v="19"/>
    <x v="32"/>
    <m/>
    <m/>
    <m/>
    <m/>
    <m/>
    <n v="0.65514535576400101"/>
    <n v="15733.891781847"/>
    <n v="1256.7833754174501"/>
    <m/>
    <m/>
    <m/>
    <m/>
    <m/>
    <m/>
    <n v="-13589.3750798319"/>
    <n v="30581"/>
    <s v="DBE"/>
  </r>
  <r>
    <x v="19"/>
    <x v="33"/>
    <n v="83388"/>
    <n v="18"/>
    <n v="83406"/>
    <s v="NA"/>
    <s v="NA"/>
    <n v="450.91195238585698"/>
    <n v="149427.20027238599"/>
    <n v="15539.021203592099"/>
    <m/>
    <m/>
    <m/>
    <m/>
    <m/>
    <m/>
    <n v="9792.7027033289305"/>
    <n v="248823"/>
    <s v="DBE"/>
  </r>
  <r>
    <x v="19"/>
    <x v="34"/>
    <n v="7236"/>
    <n v="0"/>
    <n v="7236"/>
    <s v="NA"/>
    <s v="NA"/>
    <n v="0"/>
    <n v="184.95455941050099"/>
    <n v="1089.7322689591599"/>
    <m/>
    <m/>
    <m/>
    <m/>
    <m/>
    <m/>
    <n v="8325.7322689591601"/>
    <n v="8511"/>
    <s v="DBE"/>
  </r>
  <r>
    <x v="19"/>
    <x v="35"/>
    <n v="1060"/>
    <n v="1033"/>
    <n v="2093"/>
    <s v="NA"/>
    <s v="NA"/>
    <n v="0"/>
    <n v="1273.76753546749"/>
    <n v="160.29788702055799"/>
    <m/>
    <m/>
    <m/>
    <m/>
    <m/>
    <m/>
    <n v="1615.2568089179799"/>
    <n v="3527"/>
    <s v="DBE"/>
  </r>
  <r>
    <x v="19"/>
    <x v="36"/>
    <n v="2089"/>
    <n v="8"/>
    <n v="2097"/>
    <s v="NA"/>
    <s v="NA"/>
    <n v="0"/>
    <n v="4920.8122047536499"/>
    <n v="775.68764797855704"/>
    <m/>
    <m/>
    <m/>
    <m/>
    <m/>
    <m/>
    <n v="457.64061127894502"/>
    <n v="7793"/>
    <s v="DBE"/>
  </r>
  <r>
    <x v="19"/>
    <x v="37"/>
    <n v="26624"/>
    <n v="0"/>
    <n v="26624"/>
    <s v="NA"/>
    <s v="NA"/>
    <n v="0"/>
    <n v="75050.880346074293"/>
    <n v="6731.8329060916503"/>
    <m/>
    <m/>
    <m/>
    <m/>
    <m/>
    <m/>
    <n v="749.41981607379103"/>
    <n v="108407"/>
    <s v="DBE"/>
  </r>
  <r>
    <x v="19"/>
    <x v="38"/>
    <n v="3385"/>
    <n v="57"/>
    <n v="3442"/>
    <s v="NA"/>
    <s v="NA"/>
    <n v="2.3404484420904499"/>
    <n v="20763.7166772747"/>
    <n v="734.82511273637397"/>
    <m/>
    <m/>
    <m/>
    <m/>
    <m/>
    <m/>
    <n v="852.86596036929996"/>
    <n v="24943"/>
    <s v="DBE"/>
  </r>
  <r>
    <x v="19"/>
    <x v="39"/>
    <n v="409"/>
    <n v="19"/>
    <n v="428"/>
    <s v="NA"/>
    <s v="NA"/>
    <n v="0"/>
    <n v="1117.4498234893299"/>
    <n v="102.610848949103"/>
    <m/>
    <m/>
    <m/>
    <m/>
    <m/>
    <m/>
    <n v="183.22897759268301"/>
    <n v="1648"/>
    <s v="DBE"/>
  </r>
  <r>
    <x v="19"/>
    <x v="40"/>
    <n v="239"/>
    <n v="0"/>
    <n v="239"/>
    <s v="NA"/>
    <s v="NA"/>
    <n v="1.4999668525703"/>
    <n v="492.06697020808099"/>
    <n v="62.433952269297997"/>
    <m/>
    <m/>
    <m/>
    <m/>
    <m/>
    <m/>
    <n v="15.832951483222599"/>
    <n v="795"/>
    <s v="DBE"/>
  </r>
  <r>
    <x v="19"/>
    <x v="41"/>
    <n v="4709"/>
    <n v="0"/>
    <n v="4709"/>
    <s v="NA"/>
    <s v="NA"/>
    <m/>
    <n v="15389.3866864424"/>
    <n v="1484.5718822563199"/>
    <m/>
    <m/>
    <m/>
    <m/>
    <m/>
    <m/>
    <n v="-170.67259610979499"/>
    <n v="21754"/>
    <s v="DBE"/>
  </r>
  <r>
    <x v="19"/>
    <x v="42"/>
    <n v="18952"/>
    <n v="0"/>
    <n v="18952"/>
    <s v="NA"/>
    <s v="NA"/>
    <m/>
    <n v="67988.815331686506"/>
    <n v="2088.1255223766502"/>
    <m/>
    <m/>
    <m/>
    <m/>
    <m/>
    <m/>
    <n v="-1596.80267993404"/>
    <n v="90626"/>
    <s v="DBE"/>
  </r>
  <r>
    <x v="19"/>
    <x v="43"/>
    <n v="107"/>
    <n v="98"/>
    <n v="205"/>
    <s v="NA"/>
    <s v="NA"/>
    <m/>
    <n v="186.090164670441"/>
    <n v="21.4659279664099"/>
    <m/>
    <m/>
    <m/>
    <m/>
    <m/>
    <m/>
    <n v="11.227162117239899"/>
    <n v="413"/>
    <s v="DBE"/>
  </r>
  <r>
    <x v="19"/>
    <x v="44"/>
    <n v="0"/>
    <n v="0"/>
    <n v="0"/>
    <s v="NA"/>
    <s v="NA"/>
    <m/>
    <m/>
    <m/>
    <m/>
    <m/>
    <m/>
    <m/>
    <m/>
    <m/>
    <n v="0"/>
    <n v="0"/>
    <s v="DBE"/>
  </r>
  <r>
    <x v="19"/>
    <x v="45"/>
    <n v="2056"/>
    <n v="0"/>
    <n v="2056"/>
    <s v="NA"/>
    <s v="NA"/>
    <m/>
    <n v="5572.4134220507904"/>
    <n v="361.17388056927302"/>
    <m/>
    <m/>
    <m/>
    <m/>
    <m/>
    <m/>
    <n v="343.15339319537702"/>
    <n v="7990"/>
    <s v="DBE"/>
  </r>
  <r>
    <x v="19"/>
    <x v="46"/>
    <n v="13586"/>
    <n v="0"/>
    <n v="13586"/>
    <s v="NA"/>
    <s v="NA"/>
    <m/>
    <n v="42903.936690566203"/>
    <n v="1704.3896763794901"/>
    <m/>
    <m/>
    <m/>
    <m/>
    <m/>
    <m/>
    <n v="8292.6662281746394"/>
    <n v="58194"/>
    <s v="DBE"/>
  </r>
  <r>
    <x v="19"/>
    <x v="47"/>
    <n v="34"/>
    <n v="7"/>
    <n v="41"/>
    <s v="NA"/>
    <s v="NA"/>
    <m/>
    <n v="233.02543757292901"/>
    <n v="7.3675612602100298"/>
    <m/>
    <m/>
    <m/>
    <m/>
    <m/>
    <m/>
    <m/>
    <n v="281"/>
    <s v="NA"/>
  </r>
  <r>
    <x v="19"/>
    <x v="48"/>
    <n v="0"/>
    <n v="0"/>
    <n v="0"/>
    <s v="NA"/>
    <s v="NA"/>
    <m/>
    <m/>
    <m/>
    <m/>
    <m/>
    <m/>
    <m/>
    <m/>
    <m/>
    <m/>
    <n v="0"/>
    <s v="RSA"/>
  </r>
  <r>
    <x v="19"/>
    <x v="49"/>
    <n v="447"/>
    <n v="17"/>
    <n v="464"/>
    <s v="NA"/>
    <s v="NA"/>
    <m/>
    <n v="1525.0588235294099"/>
    <n v="66.410546139359695"/>
    <m/>
    <m/>
    <m/>
    <m/>
    <m/>
    <m/>
    <m/>
    <n v="2055"/>
    <s v="NA"/>
  </r>
  <r>
    <x v="19"/>
    <x v="50"/>
    <n v="6235"/>
    <n v="0"/>
    <n v="6235"/>
    <s v="NA"/>
    <s v="NA"/>
    <m/>
    <n v="27245"/>
    <n v="403"/>
    <m/>
    <m/>
    <m/>
    <m/>
    <m/>
    <m/>
    <m/>
    <n v="33883"/>
    <s v="NA"/>
  </r>
  <r>
    <x v="19"/>
    <x v="51"/>
    <n v="0"/>
    <n v="47"/>
    <n v="47"/>
    <s v="NA"/>
    <s v="NA"/>
    <m/>
    <n v="242.60952380952401"/>
    <n v="16"/>
    <m/>
    <m/>
    <m/>
    <m/>
    <m/>
    <m/>
    <m/>
    <n v="306"/>
    <s v="NA"/>
  </r>
  <r>
    <x v="19"/>
    <x v="52"/>
    <n v="0"/>
    <n v="0"/>
    <n v="0"/>
    <s v="NA"/>
    <s v="NA"/>
    <m/>
    <m/>
    <m/>
    <m/>
    <m/>
    <m/>
    <m/>
    <m/>
    <m/>
    <m/>
    <n v="0"/>
    <s v="NA"/>
  </r>
  <r>
    <x v="19"/>
    <x v="53"/>
    <n v="304"/>
    <n v="0"/>
    <n v="304"/>
    <s v="NA"/>
    <s v="NA"/>
    <m/>
    <n v="2599.7922077922099"/>
    <n v="55"/>
    <m/>
    <m/>
    <m/>
    <m/>
    <m/>
    <m/>
    <m/>
    <n v="2959"/>
    <s v="NA"/>
  </r>
  <r>
    <x v="19"/>
    <x v="54"/>
    <n v="3395"/>
    <n v="0"/>
    <n v="3395"/>
    <s v="NA"/>
    <s v="NA"/>
    <m/>
    <n v="13099"/>
    <n v="165"/>
    <m/>
    <m/>
    <m/>
    <m/>
    <m/>
    <m/>
    <m/>
    <n v="16659"/>
    <s v="NA"/>
  </r>
  <r>
    <x v="19"/>
    <x v="55"/>
    <n v="0"/>
    <n v="126"/>
    <n v="126"/>
    <s v="NA"/>
    <s v="NA"/>
    <m/>
    <n v="483.83321189117498"/>
    <n v="9.7516531961792801"/>
    <m/>
    <m/>
    <m/>
    <m/>
    <m/>
    <m/>
    <m/>
    <n v="620"/>
    <s v="NA"/>
  </r>
  <r>
    <x v="19"/>
    <x v="56"/>
    <n v="0"/>
    <n v="0"/>
    <n v="0"/>
    <s v="NA"/>
    <s v="NA"/>
    <m/>
    <m/>
    <m/>
    <m/>
    <m/>
    <m/>
    <m/>
    <m/>
    <m/>
    <m/>
    <n v="0"/>
    <s v="NA"/>
  </r>
  <r>
    <x v="19"/>
    <x v="57"/>
    <n v="459"/>
    <n v="0"/>
    <n v="459"/>
    <s v="NA"/>
    <s v="NA"/>
    <m/>
    <n v="2335.8324313354101"/>
    <n v="30.740765796238701"/>
    <m/>
    <m/>
    <m/>
    <m/>
    <m/>
    <m/>
    <m/>
    <n v="2826"/>
    <s v="NA"/>
  </r>
  <r>
    <x v="19"/>
    <x v="58"/>
    <n v="1910"/>
    <n v="0"/>
    <n v="1910"/>
    <s v="NA"/>
    <s v="NA"/>
    <m/>
    <n v="4614.9196655761598"/>
    <m/>
    <m/>
    <m/>
    <m/>
    <m/>
    <m/>
    <m/>
    <m/>
    <n v="6525"/>
    <s v="NA"/>
  </r>
  <r>
    <x v="19"/>
    <x v="59"/>
    <n v="0"/>
    <n v="0"/>
    <n v="0"/>
    <s v="NA"/>
    <s v="NA"/>
    <m/>
    <m/>
    <m/>
    <m/>
    <m/>
    <m/>
    <m/>
    <m/>
    <m/>
    <m/>
    <n v="0"/>
    <s v="RSA"/>
  </r>
  <r>
    <x v="19"/>
    <x v="60"/>
    <n v="0"/>
    <n v="0"/>
    <n v="0"/>
    <s v="NA"/>
    <s v="NA"/>
    <m/>
    <m/>
    <m/>
    <m/>
    <m/>
    <m/>
    <m/>
    <m/>
    <m/>
    <m/>
    <n v="0"/>
    <s v="NA"/>
  </r>
  <r>
    <x v="19"/>
    <x v="61"/>
    <n v="7"/>
    <n v="0"/>
    <n v="7"/>
    <s v="NA"/>
    <s v="NA"/>
    <m/>
    <n v="16.866914230953501"/>
    <n v="0.36571633924293301"/>
    <m/>
    <m/>
    <m/>
    <m/>
    <m/>
    <m/>
    <m/>
    <n v="24"/>
    <s v="NA"/>
  </r>
  <r>
    <x v="19"/>
    <x v="62"/>
    <n v="598"/>
    <n v="0"/>
    <n v="598"/>
    <s v="NA"/>
    <s v="NA"/>
    <m/>
    <n v="1204"/>
    <m/>
    <m/>
    <m/>
    <m/>
    <m/>
    <m/>
    <m/>
    <m/>
    <n v="1802"/>
    <s v="NA"/>
  </r>
  <r>
    <x v="19"/>
    <x v="63"/>
    <n v="0"/>
    <n v="11"/>
    <n v="11"/>
    <s v="NA"/>
    <s v="NA"/>
    <m/>
    <n v="29.649581074420901"/>
    <n v="1.82971907343519"/>
    <m/>
    <m/>
    <m/>
    <m/>
    <m/>
    <m/>
    <m/>
    <n v="42"/>
    <s v="RSA"/>
  </r>
  <r>
    <x v="19"/>
    <x v="64"/>
    <n v="0"/>
    <n v="0"/>
    <n v="0"/>
    <s v="NA"/>
    <s v="NA"/>
    <m/>
    <m/>
    <m/>
    <m/>
    <m/>
    <m/>
    <m/>
    <m/>
    <m/>
    <m/>
    <n v="0"/>
    <s v="NA"/>
  </r>
  <r>
    <x v="19"/>
    <x v="65"/>
    <n v="0"/>
    <n v="0"/>
    <n v="0"/>
    <s v="NA"/>
    <s v="NA"/>
    <m/>
    <m/>
    <m/>
    <m/>
    <m/>
    <m/>
    <m/>
    <m/>
    <m/>
    <m/>
    <n v="0"/>
    <s v="NA"/>
  </r>
  <r>
    <x v="19"/>
    <x v="66"/>
    <n v="2230"/>
    <n v="0"/>
    <n v="2230"/>
    <s v="NA"/>
    <s v="NA"/>
    <m/>
    <n v="6337.0567235224098"/>
    <n v="326.40618802062698"/>
    <m/>
    <m/>
    <m/>
    <m/>
    <m/>
    <m/>
    <m/>
    <n v="8893"/>
    <s v="NA"/>
  </r>
  <r>
    <x v="19"/>
    <x v="67"/>
    <n v="8"/>
    <n v="147"/>
    <n v="155"/>
    <s v="NA"/>
    <s v="NA"/>
    <m/>
    <n v="493.08877476155601"/>
    <n v="34.457079970652998"/>
    <m/>
    <m/>
    <m/>
    <m/>
    <m/>
    <m/>
    <m/>
    <n v="683"/>
    <s v="NA"/>
  </r>
  <r>
    <x v="19"/>
    <x v="68"/>
    <n v="0"/>
    <n v="0"/>
    <n v="0"/>
    <s v="NA"/>
    <s v="NA"/>
    <m/>
    <m/>
    <m/>
    <m/>
    <m/>
    <m/>
    <m/>
    <m/>
    <m/>
    <m/>
    <n v="0"/>
    <s v="RSA"/>
  </r>
  <r>
    <x v="19"/>
    <x v="69"/>
    <n v="0"/>
    <n v="0"/>
    <n v="0"/>
    <s v="NA"/>
    <s v="NA"/>
    <m/>
    <m/>
    <m/>
    <m/>
    <m/>
    <m/>
    <m/>
    <m/>
    <m/>
    <m/>
    <n v="0"/>
    <s v="NA"/>
  </r>
  <r>
    <x v="19"/>
    <x v="70"/>
    <n v="1364"/>
    <n v="0"/>
    <n v="1364"/>
    <s v="NA"/>
    <s v="NA"/>
    <m/>
    <n v="4294"/>
    <m/>
    <m/>
    <m/>
    <m/>
    <m/>
    <m/>
    <m/>
    <m/>
    <n v="5658"/>
    <s v="NA"/>
  </r>
  <r>
    <x v="19"/>
    <x v="71"/>
    <n v="12"/>
    <n v="326"/>
    <n v="338"/>
    <s v="NA"/>
    <s v="NA"/>
    <m/>
    <n v="1146.88205734555"/>
    <n v="60.646172036653802"/>
    <m/>
    <m/>
    <m/>
    <m/>
    <m/>
    <m/>
    <m/>
    <n v="1546"/>
    <s v="NA"/>
  </r>
  <r>
    <x v="20"/>
    <x v="0"/>
    <n v="6235"/>
    <n v="0"/>
    <n v="6235"/>
    <s v="NA"/>
    <s v="NA"/>
    <n v="5.7900189463788498"/>
    <n v="190.52071452958899"/>
    <n v="55.792147792195003"/>
    <m/>
    <n v="5357.2590171454804"/>
    <n v="1800.8885257182201"/>
    <m/>
    <n v="14.301278743047201"/>
    <n v="5.0054475600665196"/>
    <n v="-8059.1852335813401"/>
    <n v="13665"/>
    <s v="RSA"/>
  </r>
  <r>
    <x v="20"/>
    <x v="1"/>
    <n v="30156"/>
    <n v="0"/>
    <n v="30156"/>
    <s v="NA"/>
    <s v="NA"/>
    <n v="650.523854316231"/>
    <n v="10870.693670029101"/>
    <n v="5895.8452869267303"/>
    <m/>
    <n v="16529.221030200599"/>
    <n v="541.230288779484"/>
    <m/>
    <n v="1.66191490925123"/>
    <m/>
    <n v="-42832.433168662203"/>
    <n v="64645"/>
    <s v="RSA"/>
  </r>
  <r>
    <x v="20"/>
    <x v="2"/>
    <n v="8138"/>
    <n v="124"/>
    <n v="8262"/>
    <s v="NA"/>
    <s v="NA"/>
    <n v="1374.2592694601401"/>
    <n v="89.099516631749793"/>
    <n v="48.924793241757897"/>
    <m/>
    <n v="2249.3248554056099"/>
    <n v="858.99770131988703"/>
    <m/>
    <n v="43.749443867714703"/>
    <n v="15.0860151267982"/>
    <n v="-1225.63351226395"/>
    <n v="12941"/>
    <s v="RSA"/>
  </r>
  <r>
    <x v="20"/>
    <x v="3"/>
    <n v="920"/>
    <n v="0"/>
    <n v="920"/>
    <s v="NA"/>
    <s v="NA"/>
    <n v="18.275232361396899"/>
    <n v="18.114074864027199"/>
    <n v="3.23896419067324"/>
    <m/>
    <n v="250.18181818181799"/>
    <n v="80.363636363636402"/>
    <m/>
    <n v="2.9090909090909101"/>
    <m/>
    <n v="526.26904237603105"/>
    <n v="1293"/>
    <s v="RSA"/>
  </r>
  <r>
    <x v="20"/>
    <x v="4"/>
    <n v="1180"/>
    <n v="0"/>
    <n v="1180"/>
    <s v="NA"/>
    <s v="NA"/>
    <n v="1781.87374120197"/>
    <n v="63.598336179399901"/>
    <n v="17.209782652454699"/>
    <m/>
    <n v="606.857142857143"/>
    <n v="236"/>
    <m/>
    <m/>
    <m/>
    <n v="-2045.1642309280801"/>
    <n v="3886"/>
    <s v="RSA"/>
  </r>
  <r>
    <x v="20"/>
    <x v="5"/>
    <n v="141888"/>
    <n v="0"/>
    <n v="141888"/>
    <s v="NA"/>
    <s v="NA"/>
    <n v="5650.26473115521"/>
    <n v="257490.64690349999"/>
    <n v="58097.366685597"/>
    <m/>
    <n v="77100.939403418"/>
    <n v="1299.4588920619599"/>
    <n v="2234.3545775463199"/>
    <m/>
    <m/>
    <n v="-281007.36925988301"/>
    <n v="543761"/>
    <s v="RSA"/>
  </r>
  <r>
    <x v="20"/>
    <x v="6"/>
    <n v="3223"/>
    <n v="726"/>
    <n v="3949"/>
    <s v="NA"/>
    <s v="NA"/>
    <n v="57.252860738223397"/>
    <n v="79.568791176284606"/>
    <n v="157.24945280760301"/>
    <m/>
    <n v="876.91543856082899"/>
    <n v="284.98932818375903"/>
    <n v="21.6198800691127"/>
    <n v="235.85323711759301"/>
    <n v="141.51194227055601"/>
    <n v="-2143.8454035623399"/>
    <n v="5804"/>
    <s v="RSA"/>
  </r>
  <r>
    <x v="20"/>
    <x v="7"/>
    <n v="374"/>
    <n v="0"/>
    <n v="374"/>
    <s v="NA"/>
    <s v="NA"/>
    <n v="87.384273029622094"/>
    <n v="196.882019591914"/>
    <n v="286.55905808716199"/>
    <m/>
    <n v="105.377027027027"/>
    <n v="47.508108108108097"/>
    <n v="-49.277027027027003"/>
    <n v="2.0216216216216201"/>
    <m/>
    <n v="-984.51854704210302"/>
    <n v="1050"/>
    <s v="RSA"/>
  </r>
  <r>
    <x v="20"/>
    <x v="8"/>
    <n v="7897"/>
    <n v="0"/>
    <n v="7897"/>
    <s v="NA"/>
    <s v="NA"/>
    <n v="1858.39804441619"/>
    <n v="1861.4143059448199"/>
    <n v="1263.90917835559"/>
    <m/>
    <n v="6447.1041257367397"/>
    <n v="1773.6561886051099"/>
    <n v="43.909626719057002"/>
    <m/>
    <m/>
    <n v="-15671.4692735431"/>
    <n v="21145"/>
    <s v="RSA"/>
  </r>
  <r>
    <x v="20"/>
    <x v="9"/>
    <n v="114002"/>
    <n v="11"/>
    <n v="114013"/>
    <s v="NA"/>
    <s v="NA"/>
    <n v="5029.0167832758098"/>
    <n v="338374.54988419299"/>
    <n v="84580.677030424005"/>
    <m/>
    <n v="48857.967140081397"/>
    <m/>
    <m/>
    <n v="11.040932651895901"/>
    <m/>
    <n v="-421436.916874944"/>
    <n v="590866"/>
    <s v="RSA"/>
  </r>
  <r>
    <x v="20"/>
    <x v="10"/>
    <n v="22594"/>
    <n v="835"/>
    <n v="23429"/>
    <s v="NA"/>
    <s v="NA"/>
    <n v="276.51656035036399"/>
    <n v="4766.5402396816799"/>
    <n v="3932.1237010096802"/>
    <m/>
    <n v="12166.030678528599"/>
    <m/>
    <m/>
    <n v="543.991668431829"/>
    <m/>
    <n v="-14997.907975525201"/>
    <n v="45114"/>
    <s v="RSA"/>
  </r>
  <r>
    <x v="20"/>
    <x v="11"/>
    <n v="822"/>
    <n v="2"/>
    <n v="824"/>
    <s v="NA"/>
    <s v="NA"/>
    <n v="0"/>
    <n v="532.65354853932695"/>
    <n v="1043.1635631475201"/>
    <n v="631.39874999999995"/>
    <n v="147.703125"/>
    <n v="14.385"/>
    <m/>
    <n v="0.25687500000000002"/>
    <m/>
    <n v="-3168.545104452"/>
    <n v="3194"/>
    <s v="RSA"/>
  </r>
  <r>
    <x v="20"/>
    <x v="12"/>
    <n v="16456"/>
    <n v="0"/>
    <n v="16456"/>
    <s v="NA"/>
    <s v="NA"/>
    <n v="7.1646298346305803"/>
    <n v="10559.9301565679"/>
    <n v="10370.5329880176"/>
    <m/>
    <n v="1906.8754829484999"/>
    <n v="704.87809923640896"/>
    <n v="388.23364059505298"/>
    <m/>
    <m/>
    <n v="-22796.726570362"/>
    <n v="40394"/>
    <s v="RSA"/>
  </r>
  <r>
    <x v="20"/>
    <x v="13"/>
    <n v="552134"/>
    <n v="0"/>
    <n v="552134"/>
    <s v="NA"/>
    <s v="NA"/>
    <n v="0"/>
    <n v="464161.62781443202"/>
    <m/>
    <m/>
    <n v="61348.394898649902"/>
    <m/>
    <m/>
    <m/>
    <m/>
    <n v="-307051.61818301002"/>
    <n v="1077644"/>
    <s v="RSA"/>
  </r>
  <r>
    <x v="20"/>
    <x v="14"/>
    <n v="5164"/>
    <n v="463"/>
    <n v="5627"/>
    <s v="NA"/>
    <s v="NA"/>
    <n v="0.680236129251933"/>
    <n v="342.98158208969897"/>
    <n v="476.041649375178"/>
    <m/>
    <n v="1393.97098122797"/>
    <n v="411.460611525535"/>
    <n v="184.14132305926699"/>
    <n v="197.264038035905"/>
    <n v="38.098204770882901"/>
    <n v="-2165.8123374045399"/>
    <n v="8672"/>
    <s v="RSA"/>
  </r>
  <r>
    <x v="20"/>
    <x v="15"/>
    <n v="1350"/>
    <n v="0"/>
    <n v="1350"/>
    <s v="NA"/>
    <s v="NA"/>
    <n v="0"/>
    <n v="935.26005357859901"/>
    <n v="1000.2019160325"/>
    <m/>
    <m/>
    <m/>
    <m/>
    <m/>
    <m/>
    <n v="-1381.0275585331799"/>
    <n v="4666"/>
    <s v="DBE"/>
  </r>
  <r>
    <x v="20"/>
    <x v="16"/>
    <n v="9979"/>
    <n v="0"/>
    <n v="9979"/>
    <s v="NA"/>
    <s v="NA"/>
    <n v="5257.6594318189"/>
    <n v="1648.0899919155399"/>
    <n v="2561.06406060366"/>
    <m/>
    <m/>
    <m/>
    <m/>
    <m/>
    <m/>
    <n v="-11313.378309557"/>
    <n v="30759"/>
    <s v="DBE"/>
  </r>
  <r>
    <x v="20"/>
    <x v="17"/>
    <n v="107941"/>
    <n v="0"/>
    <n v="107941"/>
    <s v="NA"/>
    <s v="NA"/>
    <n v="1527.42118671201"/>
    <n v="123882.99568333699"/>
    <n v="27515.019114910701"/>
    <m/>
    <m/>
    <m/>
    <m/>
    <m/>
    <m/>
    <n v="-69897.081814327496"/>
    <n v="330764"/>
    <s v="DBE"/>
  </r>
  <r>
    <x v="20"/>
    <x v="18"/>
    <n v="3590"/>
    <n v="869"/>
    <n v="4459"/>
    <s v="NA"/>
    <s v="NA"/>
    <n v="12.5914882405366"/>
    <n v="1004.65376343072"/>
    <n v="1755.89452382018"/>
    <m/>
    <m/>
    <m/>
    <m/>
    <m/>
    <m/>
    <n v="-5581.3492850396497"/>
    <n v="12813"/>
    <s v="DBE"/>
  </r>
  <r>
    <x v="20"/>
    <x v="19"/>
    <n v="1323"/>
    <n v="0"/>
    <n v="1323"/>
    <s v="NA"/>
    <s v="NA"/>
    <n v="99.995053870924295"/>
    <n v="9536.6318134072208"/>
    <n v="2564.5949987070699"/>
    <m/>
    <m/>
    <m/>
    <m/>
    <m/>
    <m/>
    <n v="-7348.8632538376896"/>
    <n v="20873"/>
    <s v="DBE"/>
  </r>
  <r>
    <x v="20"/>
    <x v="20"/>
    <n v="31345"/>
    <n v="0"/>
    <n v="31345"/>
    <s v="NA"/>
    <s v="NA"/>
    <n v="1392.90282623233"/>
    <n v="47465.594051434397"/>
    <n v="10804.6172672502"/>
    <m/>
    <m/>
    <m/>
    <m/>
    <m/>
    <m/>
    <n v="-4756.5407709932797"/>
    <n v="95765"/>
    <s v="DBE"/>
  </r>
  <r>
    <x v="20"/>
    <x v="21"/>
    <n v="113408"/>
    <n v="32"/>
    <n v="113440"/>
    <s v="NA"/>
    <s v="NA"/>
    <n v="10.322347254484599"/>
    <n v="57957.308379690003"/>
    <n v="16560.294657285001"/>
    <m/>
    <m/>
    <m/>
    <m/>
    <m/>
    <m/>
    <n v="-21746.770554273498"/>
    <n v="209715"/>
    <s v="DBE"/>
  </r>
  <r>
    <x v="20"/>
    <x v="22"/>
    <n v="6892"/>
    <n v="182"/>
    <n v="7074"/>
    <s v="NA"/>
    <s v="NA"/>
    <n v="21.178363065269899"/>
    <n v="1248.7483180541999"/>
    <n v="1345.9994297749299"/>
    <m/>
    <m/>
    <m/>
    <m/>
    <m/>
    <m/>
    <n v="-11278.428144019599"/>
    <n v="20968"/>
    <s v="DBE"/>
  </r>
  <r>
    <x v="20"/>
    <x v="23"/>
    <n v="25465"/>
    <n v="0"/>
    <n v="25465"/>
    <s v="NA"/>
    <s v="NA"/>
    <n v="19.2846081912191"/>
    <n v="11908.202203946101"/>
    <n v="4442.6924972179304"/>
    <m/>
    <m/>
    <m/>
    <m/>
    <m/>
    <m/>
    <n v="7598.19383632279"/>
    <n v="41835"/>
    <s v="DBE"/>
  </r>
  <r>
    <x v="20"/>
    <x v="24"/>
    <n v="18895"/>
    <n v="0"/>
    <n v="18895"/>
    <s v="NA"/>
    <s v="NA"/>
    <n v="1.1125193555820101"/>
    <n v="6286.12006868771"/>
    <n v="12784.694257519001"/>
    <m/>
    <m/>
    <m/>
    <m/>
    <m/>
    <m/>
    <n v="-43957.953837030902"/>
    <n v="81925"/>
    <s v="DBE"/>
  </r>
  <r>
    <x v="20"/>
    <x v="25"/>
    <n v="34048"/>
    <n v="11"/>
    <n v="34059"/>
    <s v="NA"/>
    <s v="NA"/>
    <n v="144.36451581381999"/>
    <n v="41009.867996097397"/>
    <n v="9637.0119671043994"/>
    <m/>
    <m/>
    <m/>
    <m/>
    <m/>
    <m/>
    <n v="-53831.506252131301"/>
    <n v="138682"/>
    <s v="DBE"/>
  </r>
  <r>
    <x v="20"/>
    <x v="26"/>
    <n v="2254"/>
    <n v="0"/>
    <n v="2254"/>
    <s v="NA"/>
    <s v="NA"/>
    <n v="185.62736253782001"/>
    <n v="2816.62266193919"/>
    <n v="261.783187105666"/>
    <m/>
    <m/>
    <m/>
    <m/>
    <m/>
    <m/>
    <n v="-1206.7442131837099"/>
    <n v="6725"/>
    <s v="DBE"/>
  </r>
  <r>
    <x v="20"/>
    <x v="27"/>
    <n v="21654"/>
    <n v="0"/>
    <n v="21654"/>
    <s v="NA"/>
    <s v="NA"/>
    <n v="0.77899876317054595"/>
    <n v="1982.8574087391601"/>
    <n v="2240.8312667350701"/>
    <m/>
    <m/>
    <m/>
    <m/>
    <m/>
    <m/>
    <n v="11876.779483447001"/>
    <n v="25878"/>
    <s v="DBE"/>
  </r>
  <r>
    <x v="20"/>
    <x v="28"/>
    <n v="48746"/>
    <n v="0"/>
    <n v="48746"/>
    <s v="NA"/>
    <s v="NA"/>
    <n v="1.95183313740188E-11"/>
    <n v="22075.066334104202"/>
    <n v="19491.490506395799"/>
    <m/>
    <m/>
    <m/>
    <m/>
    <m/>
    <m/>
    <n v="25754.745108352799"/>
    <n v="90313"/>
    <s v="DBE"/>
  </r>
  <r>
    <x v="20"/>
    <x v="29"/>
    <n v="64038"/>
    <n v="0"/>
    <n v="64038"/>
    <s v="NA"/>
    <s v="NA"/>
    <n v="281.36387686380402"/>
    <n v="137734.48721866001"/>
    <n v="18836.3626890415"/>
    <m/>
    <m/>
    <m/>
    <m/>
    <m/>
    <m/>
    <n v="-32187.148532104198"/>
    <n v="253077"/>
    <s v="DBE"/>
  </r>
  <r>
    <x v="20"/>
    <x v="30"/>
    <n v="10119"/>
    <n v="87"/>
    <n v="10206"/>
    <s v="NA"/>
    <s v="NA"/>
    <n v="61.656653096931301"/>
    <n v="10268.1361370674"/>
    <n v="784.64782776661798"/>
    <m/>
    <m/>
    <m/>
    <m/>
    <m/>
    <m/>
    <n v="-2095.5725079086101"/>
    <n v="23416"/>
    <s v="DBE"/>
  </r>
  <r>
    <x v="20"/>
    <x v="31"/>
    <n v="5742"/>
    <n v="23"/>
    <n v="5765"/>
    <s v="NA"/>
    <s v="NA"/>
    <n v="91.682929855611405"/>
    <n v="24413.661398207802"/>
    <n v="14192.7363528394"/>
    <m/>
    <m/>
    <m/>
    <m/>
    <m/>
    <m/>
    <n v="-1866.58978219391"/>
    <n v="46330"/>
    <s v="DBE"/>
  </r>
  <r>
    <x v="20"/>
    <x v="32"/>
    <n v="128253"/>
    <n v="0"/>
    <n v="128253"/>
    <s v="NA"/>
    <s v="NA"/>
    <n v="13.212415647896901"/>
    <n v="283009.78695067001"/>
    <n v="16193.1121405881"/>
    <m/>
    <m/>
    <m/>
    <m/>
    <m/>
    <m/>
    <n v="-103343.499189647"/>
    <n v="530813"/>
    <s v="DBE"/>
  </r>
  <r>
    <x v="20"/>
    <x v="33"/>
    <n v="272041"/>
    <n v="116"/>
    <n v="272157"/>
    <s v="NA"/>
    <s v="NA"/>
    <n v="1571.3505690587201"/>
    <n v="494237.19690097403"/>
    <n v="50693.755303477898"/>
    <m/>
    <m/>
    <m/>
    <m/>
    <m/>
    <m/>
    <n v="28526.321566054699"/>
    <n v="818659"/>
    <s v="DBE"/>
  </r>
  <r>
    <x v="20"/>
    <x v="34"/>
    <n v="5507"/>
    <n v="185"/>
    <n v="5692"/>
    <s v="NA"/>
    <s v="NA"/>
    <n v="0.77874593916897905"/>
    <n v="518.70553970853598"/>
    <n v="829.34709855695405"/>
    <m/>
    <m/>
    <m/>
    <m/>
    <m/>
    <m/>
    <n v="6425.3609545681902"/>
    <n v="7041"/>
    <s v="DBE"/>
  </r>
  <r>
    <x v="20"/>
    <x v="35"/>
    <n v="16781"/>
    <n v="233"/>
    <n v="17014"/>
    <s v="NA"/>
    <s v="NA"/>
    <n v="0"/>
    <n v="13959.8030689959"/>
    <n v="2537.69702084149"/>
    <m/>
    <m/>
    <m/>
    <m/>
    <m/>
    <m/>
    <n v="8007.3767526792199"/>
    <n v="33512"/>
    <s v="DBE"/>
  </r>
  <r>
    <x v="20"/>
    <x v="36"/>
    <n v="84315"/>
    <n v="94"/>
    <n v="84409"/>
    <s v="NA"/>
    <s v="NA"/>
    <n v="0"/>
    <n v="155622.70202699999"/>
    <n v="31307.852579852599"/>
    <m/>
    <m/>
    <m/>
    <m/>
    <m/>
    <m/>
    <n v="999.92599531712801"/>
    <n v="271340"/>
    <s v="DBE"/>
  </r>
  <r>
    <x v="20"/>
    <x v="37"/>
    <n v="126166"/>
    <n v="2331"/>
    <n v="128497"/>
    <s v="NA"/>
    <s v="NA"/>
    <n v="0"/>
    <n v="354860.36986590101"/>
    <n v="31900.8575131445"/>
    <m/>
    <m/>
    <m/>
    <m/>
    <m/>
    <m/>
    <n v="6531.3210454180398"/>
    <n v="515258"/>
    <s v="DBE"/>
  </r>
  <r>
    <x v="20"/>
    <x v="38"/>
    <n v="5620"/>
    <n v="815"/>
    <n v="6435"/>
    <s v="NA"/>
    <s v="NA"/>
    <n v="2.5490495812554101"/>
    <n v="33058.6880850179"/>
    <n v="1220.0050616184401"/>
    <m/>
    <m/>
    <m/>
    <m/>
    <m/>
    <m/>
    <n v="-193.73107867886199"/>
    <n v="40910"/>
    <s v="DBE"/>
  </r>
  <r>
    <x v="20"/>
    <x v="39"/>
    <n v="17172"/>
    <n v="0"/>
    <n v="17172"/>
    <s v="NA"/>
    <s v="NA"/>
    <n v="0"/>
    <n v="68107.894618286606"/>
    <n v="4308.15036223471"/>
    <m/>
    <m/>
    <m/>
    <m/>
    <m/>
    <m/>
    <n v="-1004.46844630608"/>
    <n v="90593"/>
    <s v="DBE"/>
  </r>
  <r>
    <x v="20"/>
    <x v="40"/>
    <n v="29831"/>
    <n v="7"/>
    <n v="29838"/>
    <s v="NA"/>
    <s v="NA"/>
    <n v="187.219712046128"/>
    <n v="61420.270907599901"/>
    <n v="7792.7499169264802"/>
    <m/>
    <m/>
    <m/>
    <m/>
    <m/>
    <m/>
    <n v="1983.2040824101"/>
    <n v="99238"/>
    <s v="DBE"/>
  </r>
  <r>
    <x v="20"/>
    <x v="41"/>
    <n v="63271"/>
    <n v="35"/>
    <n v="63306"/>
    <s v="NA"/>
    <s v="NA"/>
    <m/>
    <n v="201984.254312623"/>
    <n v="19946.983980089099"/>
    <m/>
    <m/>
    <m/>
    <m/>
    <m/>
    <m/>
    <n v="-1605.32110914892"/>
    <n v="286843"/>
    <s v="DBE"/>
  </r>
  <r>
    <x v="20"/>
    <x v="42"/>
    <n v="11359"/>
    <n v="170"/>
    <n v="11529"/>
    <s v="NA"/>
    <s v="NA"/>
    <m/>
    <n v="40799.174080639801"/>
    <n v="1251.53112118385"/>
    <m/>
    <m/>
    <m/>
    <m/>
    <m/>
    <m/>
    <n v="-1089.1513015174401"/>
    <n v="54669"/>
    <s v="DBE"/>
  </r>
  <r>
    <x v="20"/>
    <x v="43"/>
    <n v="8309"/>
    <n v="81"/>
    <n v="8390"/>
    <s v="NA"/>
    <s v="NA"/>
    <m/>
    <n v="13677.949348542101"/>
    <n v="1666.9195838588801"/>
    <m/>
    <m/>
    <m/>
    <m/>
    <m/>
    <m/>
    <n v="-14780.171763627401"/>
    <n v="38515"/>
    <s v="DBE"/>
  </r>
  <r>
    <x v="20"/>
    <x v="44"/>
    <n v="49306"/>
    <n v="15"/>
    <n v="49321"/>
    <s v="NA"/>
    <s v="NA"/>
    <m/>
    <n v="120369.989197533"/>
    <n v="9039.3214268599204"/>
    <m/>
    <m/>
    <m/>
    <m/>
    <m/>
    <m/>
    <n v="-23488.928401000099"/>
    <n v="202219"/>
    <s v="DBE"/>
  </r>
  <r>
    <x v="20"/>
    <x v="45"/>
    <n v="62808"/>
    <n v="121"/>
    <n v="62929"/>
    <s v="NA"/>
    <s v="NA"/>
    <m/>
    <n v="174059.56960325901"/>
    <n v="11033.3701803477"/>
    <m/>
    <m/>
    <m/>
    <m/>
    <m/>
    <m/>
    <n v="16838.175462436498"/>
    <n v="248022"/>
    <s v="DBE"/>
  </r>
  <r>
    <x v="20"/>
    <x v="46"/>
    <n v="5709"/>
    <n v="202"/>
    <n v="5911"/>
    <s v="NA"/>
    <s v="NA"/>
    <m/>
    <n v="21078.6887231623"/>
    <n v="716.20496558593402"/>
    <m/>
    <m/>
    <m/>
    <m/>
    <m/>
    <m/>
    <n v="3686.6777194648198"/>
    <n v="27706"/>
    <s v="DBE"/>
  </r>
  <r>
    <x v="20"/>
    <x v="47"/>
    <n v="8306"/>
    <n v="183"/>
    <n v="8489"/>
    <s v="NA"/>
    <s v="NA"/>
    <m/>
    <n v="48247.632672111999"/>
    <n v="1525.4445740956801"/>
    <m/>
    <m/>
    <m/>
    <m/>
    <m/>
    <m/>
    <m/>
    <n v="58262"/>
    <s v="NA"/>
  </r>
  <r>
    <x v="20"/>
    <x v="48"/>
    <n v="36828"/>
    <n v="196"/>
    <n v="37024"/>
    <s v="NA"/>
    <s v="NA"/>
    <m/>
    <n v="91613.978502734302"/>
    <n v="5780.03808496291"/>
    <m/>
    <m/>
    <m/>
    <m/>
    <m/>
    <m/>
    <m/>
    <n v="134418"/>
    <s v="RSA"/>
  </r>
  <r>
    <x v="20"/>
    <x v="49"/>
    <n v="44588"/>
    <n v="601"/>
    <n v="45189"/>
    <s v="NA"/>
    <s v="NA"/>
    <m/>
    <n v="172296"/>
    <n v="7494"/>
    <m/>
    <m/>
    <m/>
    <m/>
    <m/>
    <m/>
    <m/>
    <n v="224979"/>
    <s v="NA"/>
  </r>
  <r>
    <x v="20"/>
    <x v="50"/>
    <n v="2704"/>
    <n v="152"/>
    <n v="2856"/>
    <s v="NA"/>
    <s v="NA"/>
    <m/>
    <n v="12196.026508545499"/>
    <n v="182"/>
    <m/>
    <m/>
    <m/>
    <m/>
    <m/>
    <m/>
    <m/>
    <n v="15234"/>
    <s v="NA"/>
  </r>
  <r>
    <x v="20"/>
    <x v="51"/>
    <n v="2802"/>
    <n v="87"/>
    <n v="2889"/>
    <s v="NA"/>
    <s v="NA"/>
    <m/>
    <n v="21412.353266505401"/>
    <n v="2024"/>
    <m/>
    <m/>
    <m/>
    <m/>
    <m/>
    <m/>
    <m/>
    <n v="26325"/>
    <s v="NA"/>
  </r>
  <r>
    <x v="20"/>
    <x v="52"/>
    <n v="19028"/>
    <n v="0"/>
    <n v="19028"/>
    <s v="NA"/>
    <s v="NA"/>
    <m/>
    <n v="197191.37691500501"/>
    <n v="1940"/>
    <m/>
    <m/>
    <m/>
    <m/>
    <m/>
    <m/>
    <m/>
    <n v="218159"/>
    <s v="NA"/>
  </r>
  <r>
    <x v="20"/>
    <x v="53"/>
    <n v="11971"/>
    <n v="20"/>
    <n v="11991"/>
    <s v="NA"/>
    <s v="NA"/>
    <m/>
    <n v="122808"/>
    <n v="2628"/>
    <m/>
    <m/>
    <m/>
    <m/>
    <m/>
    <m/>
    <m/>
    <n v="137427"/>
    <s v="NA"/>
  </r>
  <r>
    <x v="20"/>
    <x v="54"/>
    <n v="7176"/>
    <n v="151"/>
    <n v="7327"/>
    <s v="NA"/>
    <s v="NA"/>
    <m/>
    <n v="28186.754526888999"/>
    <n v="356"/>
    <m/>
    <m/>
    <m/>
    <m/>
    <m/>
    <m/>
    <m/>
    <n v="35870"/>
    <s v="NA"/>
  </r>
  <r>
    <x v="20"/>
    <x v="55"/>
    <n v="3838"/>
    <n v="119"/>
    <n v="3957"/>
    <s v="NA"/>
    <s v="NA"/>
    <m/>
    <n v="15194.666821058499"/>
    <n v="306.24834680382003"/>
    <m/>
    <m/>
    <m/>
    <m/>
    <m/>
    <m/>
    <m/>
    <n v="19458"/>
    <s v="NA"/>
  </r>
  <r>
    <x v="20"/>
    <x v="56"/>
    <n v="13361"/>
    <n v="0"/>
    <n v="13361"/>
    <s v="NA"/>
    <s v="NA"/>
    <m/>
    <n v="101971.471904227"/>
    <n v="760.77224092779704"/>
    <m/>
    <m/>
    <m/>
    <m/>
    <m/>
    <m/>
    <m/>
    <n v="116093"/>
    <s v="NA"/>
  </r>
  <r>
    <x v="20"/>
    <x v="57"/>
    <n v="28698"/>
    <n v="56"/>
    <n v="28754"/>
    <s v="NA"/>
    <s v="NA"/>
    <m/>
    <n v="146327.94276823199"/>
    <n v="1925.7515897713399"/>
    <m/>
    <m/>
    <m/>
    <m/>
    <m/>
    <m/>
    <m/>
    <n v="177008"/>
    <s v="NA"/>
  </r>
  <r>
    <x v="20"/>
    <x v="58"/>
    <n v="6089"/>
    <n v="865"/>
    <n v="6954"/>
    <s v="NA"/>
    <s v="NA"/>
    <m/>
    <n v="21507.080334423801"/>
    <n v="1902"/>
    <m/>
    <m/>
    <m/>
    <m/>
    <m/>
    <m/>
    <m/>
    <n v="30363"/>
    <s v="NA"/>
  </r>
  <r>
    <x v="20"/>
    <x v="59"/>
    <n v="2745"/>
    <n v="39"/>
    <n v="2784"/>
    <s v="NA"/>
    <s v="NA"/>
    <m/>
    <n v="5563.56805518705"/>
    <n v="791.10214911116998"/>
    <m/>
    <m/>
    <m/>
    <m/>
    <m/>
    <m/>
    <m/>
    <n v="9139"/>
    <s v="RSA"/>
  </r>
  <r>
    <x v="20"/>
    <x v="60"/>
    <n v="71654"/>
    <n v="36"/>
    <n v="71690"/>
    <s v="NA"/>
    <s v="NA"/>
    <m/>
    <n v="96291.881955872901"/>
    <n v="7780.6976095506398"/>
    <m/>
    <m/>
    <m/>
    <m/>
    <m/>
    <m/>
    <m/>
    <n v="175763"/>
    <s v="NA"/>
  </r>
  <r>
    <x v="20"/>
    <x v="61"/>
    <n v="57836"/>
    <n v="268"/>
    <n v="58104"/>
    <s v="NA"/>
    <s v="NA"/>
    <m/>
    <n v="140005.02635361801"/>
    <n v="3035.65459648162"/>
    <m/>
    <m/>
    <m/>
    <m/>
    <m/>
    <m/>
    <m/>
    <n v="201145"/>
    <s v="NA"/>
  </r>
  <r>
    <x v="20"/>
    <x v="62"/>
    <n v="3622"/>
    <n v="2200"/>
    <n v="5822"/>
    <s v="NA"/>
    <s v="NA"/>
    <m/>
    <n v="11204"/>
    <n v="913"/>
    <m/>
    <m/>
    <m/>
    <m/>
    <m/>
    <m/>
    <m/>
    <n v="17939"/>
    <s v="NA"/>
  </r>
  <r>
    <x v="20"/>
    <x v="63"/>
    <n v="2901"/>
    <n v="146"/>
    <n v="3047"/>
    <s v="NA"/>
    <s v="NA"/>
    <m/>
    <n v="8212.9339576145903"/>
    <n v="506.83218334154799"/>
    <m/>
    <m/>
    <m/>
    <m/>
    <m/>
    <m/>
    <m/>
    <n v="11767"/>
    <s v="RSA"/>
  </r>
  <r>
    <x v="20"/>
    <x v="64"/>
    <n v="52310"/>
    <n v="15"/>
    <n v="52325"/>
    <s v="NA"/>
    <s v="NA"/>
    <m/>
    <n v="245760"/>
    <n v="3244"/>
    <m/>
    <m/>
    <m/>
    <m/>
    <m/>
    <m/>
    <m/>
    <n v="301329"/>
    <s v="NA"/>
  </r>
  <r>
    <x v="20"/>
    <x v="65"/>
    <n v="78371"/>
    <n v="207"/>
    <n v="78578"/>
    <s v="NA"/>
    <s v="NA"/>
    <m/>
    <n v="349307.71257530502"/>
    <n v="1448.9969371740999"/>
    <m/>
    <m/>
    <m/>
    <m/>
    <m/>
    <m/>
    <m/>
    <n v="429335"/>
    <s v="NA"/>
  </r>
  <r>
    <x v="20"/>
    <x v="66"/>
    <n v="10870"/>
    <n v="3425"/>
    <n v="14295"/>
    <s v="NA"/>
    <s v="NA"/>
    <m/>
    <n v="46378"/>
    <n v="280"/>
    <m/>
    <m/>
    <m/>
    <m/>
    <m/>
    <m/>
    <m/>
    <n v="60953"/>
    <s v="NA"/>
  </r>
  <r>
    <x v="20"/>
    <x v="67"/>
    <n v="2490"/>
    <n v="72"/>
    <n v="2562"/>
    <s v="NA"/>
    <s v="NA"/>
    <m/>
    <n v="8150.2802641232602"/>
    <n v="569.54218635363202"/>
    <m/>
    <m/>
    <m/>
    <m/>
    <m/>
    <m/>
    <m/>
    <n v="11282"/>
    <s v="NA"/>
  </r>
  <r>
    <x v="20"/>
    <x v="68"/>
    <n v="8971"/>
    <n v="40"/>
    <n v="9011"/>
    <s v="NA"/>
    <s v="NA"/>
    <m/>
    <n v="53543.637663489302"/>
    <n v="1801.80048769674"/>
    <m/>
    <m/>
    <m/>
    <m/>
    <m/>
    <m/>
    <m/>
    <n v="64356"/>
    <s v="RSA"/>
  </r>
  <r>
    <x v="20"/>
    <x v="69"/>
    <n v="24774"/>
    <n v="102"/>
    <n v="24876"/>
    <s v="NA"/>
    <s v="NA"/>
    <m/>
    <n v="139257.43098184199"/>
    <n v="630.59440784187598"/>
    <m/>
    <m/>
    <m/>
    <m/>
    <m/>
    <m/>
    <m/>
    <n v="164764"/>
    <s v="NA"/>
  </r>
  <r>
    <x v="20"/>
    <x v="70"/>
    <n v="5692"/>
    <n v="255"/>
    <n v="5947"/>
    <s v="NA"/>
    <s v="NA"/>
    <m/>
    <n v="18554"/>
    <n v="391"/>
    <m/>
    <m/>
    <m/>
    <m/>
    <m/>
    <m/>
    <m/>
    <n v="24892"/>
    <s v="NA"/>
  </r>
  <r>
    <x v="20"/>
    <x v="71"/>
    <n v="5963"/>
    <n v="465"/>
    <n v="6428"/>
    <s v="NA"/>
    <s v="NA"/>
    <m/>
    <n v="21811.1179426544"/>
    <n v="1153.3538279633401"/>
    <m/>
    <m/>
    <m/>
    <m/>
    <m/>
    <m/>
    <m/>
    <n v="29392"/>
    <s v="NA"/>
  </r>
  <r>
    <x v="21"/>
    <x v="0"/>
    <n v="107430"/>
    <n v="150"/>
    <n v="107580"/>
    <s v="NA"/>
    <s v="NA"/>
    <n v="945.77139238175801"/>
    <n v="1556.2021633535901"/>
    <n v="1134.92075980202"/>
    <m/>
    <n v="46041"/>
    <m/>
    <n v="948"/>
    <n v="64"/>
    <m/>
    <n v="23438.4369644818"/>
    <n v="158270"/>
    <s v="RSA"/>
  </r>
  <r>
    <x v="21"/>
    <x v="1"/>
    <n v="125931"/>
    <n v="0"/>
    <n v="125931"/>
    <s v="NA"/>
    <s v="NA"/>
    <n v="0"/>
    <n v="23112.425385759499"/>
    <n v="9641.9735225614095"/>
    <m/>
    <n v="54434.176722624201"/>
    <n v="1081.0962047247799"/>
    <n v="9805.5425768537407"/>
    <m/>
    <m/>
    <n v="16566.054442072498"/>
    <n v="224006"/>
    <s v="RSA"/>
  </r>
  <r>
    <x v="21"/>
    <x v="2"/>
    <n v="117701"/>
    <n v="8"/>
    <n v="117709"/>
    <s v="NA"/>
    <s v="NA"/>
    <n v="1024.2239889033799"/>
    <n v="596.03633126502996"/>
    <n v="993.79325839912303"/>
    <m/>
    <n v="13103.8965887839"/>
    <n v="233.07325948429801"/>
    <n v="3152.4652404607"/>
    <n v="0.996039570445718"/>
    <m/>
    <n v="81557.776292535505"/>
    <n v="136813"/>
    <s v="RSA"/>
  </r>
  <r>
    <x v="21"/>
    <x v="3"/>
    <n v="44371"/>
    <n v="40"/>
    <n v="44411"/>
    <s v="NA"/>
    <s v="NA"/>
    <n v="807.98956796120001"/>
    <n v="420.31882899802002"/>
    <n v="1531.2662019203699"/>
    <m/>
    <n v="7830"/>
    <m/>
    <n v="2862"/>
    <n v="7"/>
    <m/>
    <n v="26056.915931572901"/>
    <n v="57870"/>
    <s v="RSA"/>
  </r>
  <r>
    <x v="21"/>
    <x v="4"/>
    <n v="46103"/>
    <n v="38"/>
    <n v="46141"/>
    <s v="NA"/>
    <s v="NA"/>
    <n v="4260.5152600700003"/>
    <n v="783.33521852927004"/>
    <n v="1245.0611465806101"/>
    <m/>
    <n v="30735"/>
    <m/>
    <n v="2612"/>
    <n v="25"/>
    <m/>
    <n v="7087.0275082759699"/>
    <n v="85802"/>
    <s v="RSA"/>
  </r>
  <r>
    <x v="21"/>
    <x v="5"/>
    <n v="177199"/>
    <n v="53"/>
    <n v="177252"/>
    <s v="NA"/>
    <s v="NA"/>
    <n v="2069.979387803"/>
    <n v="126100.72813735899"/>
    <n v="18925.0885174207"/>
    <m/>
    <n v="44300"/>
    <m/>
    <n v="30039"/>
    <n v="13"/>
    <m/>
    <n v="101990.5068557"/>
    <n v="398700"/>
    <s v="RSA"/>
  </r>
  <r>
    <x v="21"/>
    <x v="6"/>
    <n v="90998"/>
    <n v="393"/>
    <n v="91391"/>
    <s v="NA"/>
    <s v="NA"/>
    <n v="39.791833760999999"/>
    <n v="1625.1939074352899"/>
    <n v="2475.8266959215098"/>
    <n v="900"/>
    <n v="16058"/>
    <m/>
    <n v="3075"/>
    <n v="69"/>
    <m/>
    <n v="44170.734832937298"/>
    <n v="115634"/>
    <s v="RSA"/>
  </r>
  <r>
    <x v="21"/>
    <x v="7"/>
    <n v="30119"/>
    <n v="188"/>
    <n v="30307"/>
    <s v="NA"/>
    <s v="NA"/>
    <n v="3051.1126983270401"/>
    <n v="5085.07839651414"/>
    <n v="6546.6405256757598"/>
    <m/>
    <n v="7529.9999668027804"/>
    <m/>
    <n v="2146.71490223417"/>
    <n v="46.9937589217541"/>
    <m/>
    <n v="-3463.4346331020902"/>
    <n v="54714"/>
    <s v="RSA"/>
  </r>
  <r>
    <x v="21"/>
    <x v="8"/>
    <n v="101255"/>
    <n v="50"/>
    <n v="101305"/>
    <s v="NA"/>
    <s v="NA"/>
    <n v="10378.9226858192"/>
    <n v="14157.1264791746"/>
    <n v="7882.6842222158803"/>
    <n v="1760.9652073550899"/>
    <n v="33751.999615278401"/>
    <m/>
    <n v="2451.1676794381101"/>
    <n v="16.980379197411501"/>
    <m/>
    <n v="473.44898937457799"/>
    <n v="171705"/>
    <s v="RSA"/>
  </r>
  <r>
    <x v="21"/>
    <x v="9"/>
    <n v="506157"/>
    <n v="0"/>
    <n v="506157"/>
    <s v="NA"/>
    <s v="NA"/>
    <n v="23914.599057372001"/>
    <n v="709087.52917251003"/>
    <n v="91899.529018242902"/>
    <m/>
    <n v="168719"/>
    <m/>
    <n v="47238.808039749703"/>
    <m/>
    <m/>
    <n v="67201.655345415493"/>
    <n v="1547016"/>
    <s v="RSA"/>
  </r>
  <r>
    <x v="21"/>
    <x v="10"/>
    <n v="97757"/>
    <n v="12291"/>
    <n v="110048"/>
    <s v="NA"/>
    <s v="NA"/>
    <n v="1814.1331056142899"/>
    <n v="21120.983538199001"/>
    <n v="8717.7159041975501"/>
    <m/>
    <n v="32585.333779421399"/>
    <m/>
    <n v="3293.58640487087"/>
    <n v="4097.5091022392899"/>
    <m/>
    <n v="62060.035793202303"/>
    <n v="181677"/>
    <s v="RSA"/>
  </r>
  <r>
    <x v="21"/>
    <x v="11"/>
    <n v="137992"/>
    <n v="0"/>
    <n v="137992"/>
    <s v="NA"/>
    <s v="NA"/>
    <n v="0"/>
    <n v="46904.343794095599"/>
    <n v="60458.088248128297"/>
    <m/>
    <n v="24352"/>
    <m/>
    <n v="16161"/>
    <m/>
    <m/>
    <n v="11376.7900312618"/>
    <n v="285867"/>
    <s v="RSA"/>
  </r>
  <r>
    <x v="21"/>
    <x v="12"/>
    <n v="85174"/>
    <n v="454"/>
    <n v="85628"/>
    <s v="NA"/>
    <s v="NA"/>
    <n v="1240.5220945982101"/>
    <n v="37471.332259812902"/>
    <n v="18048.6847713846"/>
    <m/>
    <n v="9463.5563614243601"/>
    <m/>
    <n v="43733.826002526803"/>
    <n v="49.818679518974299"/>
    <m/>
    <n v="53999.732691188598"/>
    <n v="195636"/>
    <s v="RSA"/>
  </r>
  <r>
    <x v="21"/>
    <x v="13"/>
    <n v="202783"/>
    <n v="20"/>
    <n v="202803"/>
    <s v="NA"/>
    <s v="NA"/>
    <n v="0"/>
    <n v="76498.360728152795"/>
    <m/>
    <m/>
    <n v="22531.775118142599"/>
    <m/>
    <n v="63888.142524484603"/>
    <n v="1.9840421888911699"/>
    <m/>
    <n v="36359.7541954751"/>
    <n v="365723"/>
    <s v="RSA"/>
  </r>
  <r>
    <x v="21"/>
    <x v="14"/>
    <n v="27541"/>
    <n v="86"/>
    <n v="27627"/>
    <s v="NA"/>
    <s v="NA"/>
    <n v="0.96500092685556005"/>
    <n v="1320.22713987933"/>
    <n v="2999.0901617438799"/>
    <m/>
    <n v="6885.0022667578196"/>
    <m/>
    <n v="1500.27251466197"/>
    <n v="21.800525312129"/>
    <m/>
    <n v="8553.5304611853298"/>
    <n v="40354"/>
    <s v="RSA"/>
  </r>
  <r>
    <x v="21"/>
    <x v="15"/>
    <n v="159737"/>
    <n v="12"/>
    <n v="159749"/>
    <s v="NA"/>
    <s v="NA"/>
    <n v="33.005245255755803"/>
    <n v="30470.474308979701"/>
    <n v="39914.3052709521"/>
    <m/>
    <m/>
    <m/>
    <m/>
    <m/>
    <m/>
    <n v="73523.652580510607"/>
    <n v="230167"/>
    <s v="DBE"/>
  </r>
  <r>
    <x v="21"/>
    <x v="16"/>
    <n v="41328"/>
    <n v="153"/>
    <n v="41481"/>
    <s v="NA"/>
    <s v="NA"/>
    <n v="2206.6799723376198"/>
    <n v="3716.0821189333101"/>
    <n v="10715.986175431701"/>
    <m/>
    <m/>
    <m/>
    <m/>
    <m/>
    <m/>
    <n v="20797.0268921155"/>
    <n v="58120"/>
    <s v="DBE"/>
  </r>
  <r>
    <x v="21"/>
    <x v="17"/>
    <n v="147189"/>
    <n v="5"/>
    <n v="147194"/>
    <s v="NA"/>
    <s v="NA"/>
    <n v="1291.8199691192899"/>
    <n v="110864.645349219"/>
    <n v="27988.586489346999"/>
    <m/>
    <m/>
    <m/>
    <m/>
    <m/>
    <m/>
    <n v="43857.964144265701"/>
    <n v="287339"/>
    <s v="DBE"/>
  </r>
  <r>
    <x v="21"/>
    <x v="18"/>
    <n v="175299"/>
    <n v="47"/>
    <n v="175346"/>
    <s v="NA"/>
    <s v="NA"/>
    <n v="1248.0600775002399"/>
    <n v="29996.3232120662"/>
    <n v="14469.564074764099"/>
    <m/>
    <m/>
    <m/>
    <m/>
    <m/>
    <m/>
    <n v="115414.081401712"/>
    <n v="221060"/>
    <s v="DBE"/>
  </r>
  <r>
    <x v="21"/>
    <x v="19"/>
    <n v="86738"/>
    <n v="0"/>
    <n v="86738"/>
    <s v="NA"/>
    <s v="NA"/>
    <n v="13441.5965094192"/>
    <n v="329431.13393400301"/>
    <n v="68091.863324053396"/>
    <m/>
    <m/>
    <m/>
    <m/>
    <m/>
    <m/>
    <n v="-145793.45178656199"/>
    <n v="643496"/>
    <s v="DBE"/>
  </r>
  <r>
    <x v="21"/>
    <x v="20"/>
    <n v="78093"/>
    <n v="0"/>
    <n v="78093"/>
    <s v="NA"/>
    <s v="NA"/>
    <n v="3598.95646059213"/>
    <n v="119555.369462787"/>
    <n v="36554.479356055301"/>
    <m/>
    <m/>
    <m/>
    <m/>
    <m/>
    <m/>
    <n v="-6979.1745228902601"/>
    <n v="244781"/>
    <s v="DBE"/>
  </r>
  <r>
    <x v="21"/>
    <x v="21"/>
    <n v="322711"/>
    <n v="0"/>
    <n v="322711"/>
    <s v="NA"/>
    <s v="NA"/>
    <n v="68.758128993465405"/>
    <n v="317019.54698664398"/>
    <n v="106383.000131432"/>
    <m/>
    <m/>
    <m/>
    <m/>
    <m/>
    <m/>
    <n v="-334462.15789911099"/>
    <n v="1080644"/>
    <s v="DBE"/>
  </r>
  <r>
    <x v="21"/>
    <x v="22"/>
    <n v="151409"/>
    <n v="73"/>
    <n v="151482"/>
    <s v="NA"/>
    <s v="NA"/>
    <n v="1553.6417423088899"/>
    <n v="65914.922203332302"/>
    <n v="37235.4875137583"/>
    <m/>
    <m/>
    <m/>
    <m/>
    <m/>
    <m/>
    <n v="-21874.140923982301"/>
    <n v="278060"/>
    <s v="DBE"/>
  </r>
  <r>
    <x v="21"/>
    <x v="23"/>
    <n v="371604"/>
    <n v="0"/>
    <n v="371604"/>
    <s v="NA"/>
    <s v="NA"/>
    <n v="396.88464884199499"/>
    <n v="244808.68523114501"/>
    <n v="52935.484830256399"/>
    <m/>
    <m/>
    <m/>
    <m/>
    <m/>
    <m/>
    <n v="115991.570880232"/>
    <n v="669745"/>
    <s v="DBE"/>
  </r>
  <r>
    <x v="21"/>
    <x v="24"/>
    <n v="138137"/>
    <n v="14"/>
    <n v="138151"/>
    <s v="NA"/>
    <s v="NA"/>
    <n v="101.82459001900899"/>
    <n v="20347.3387242758"/>
    <n v="29040.502882684301"/>
    <m/>
    <m/>
    <m/>
    <m/>
    <m/>
    <m/>
    <n v="-40393.253268021101"/>
    <n v="228034"/>
    <s v="DBE"/>
  </r>
  <r>
    <x v="21"/>
    <x v="25"/>
    <n v="185641"/>
    <n v="56"/>
    <n v="185697"/>
    <s v="NA"/>
    <s v="NA"/>
    <n v="8979.0732159827603"/>
    <n v="179719.01908930301"/>
    <n v="74676.581578101905"/>
    <m/>
    <m/>
    <m/>
    <m/>
    <m/>
    <m/>
    <n v="-341325.737961479"/>
    <n v="790397"/>
    <s v="DBE"/>
  </r>
  <r>
    <x v="21"/>
    <x v="26"/>
    <n v="55357"/>
    <n v="53"/>
    <n v="55410"/>
    <s v="NA"/>
    <s v="NA"/>
    <n v="2741.8869481798802"/>
    <n v="131138.574385621"/>
    <n v="7390.5435699763802"/>
    <m/>
    <m/>
    <m/>
    <m/>
    <m/>
    <m/>
    <n v="-3838.9714055309901"/>
    <n v="200520"/>
    <s v="DBE"/>
  </r>
  <r>
    <x v="21"/>
    <x v="27"/>
    <n v="332207"/>
    <n v="0"/>
    <n v="332207"/>
    <s v="NA"/>
    <s v="NA"/>
    <n v="3499.5866618678401"/>
    <n v="334716.56876662001"/>
    <n v="130003.000884247"/>
    <m/>
    <m/>
    <m/>
    <m/>
    <m/>
    <m/>
    <n v="-36520.613287116197"/>
    <n v="836947"/>
    <s v="DBE"/>
  </r>
  <r>
    <x v="21"/>
    <x v="28"/>
    <n v="122676"/>
    <n v="104"/>
    <n v="122780"/>
    <s v="NA"/>
    <s v="NA"/>
    <n v="35.867099473575898"/>
    <n v="146452.46732056199"/>
    <n v="118602.43170863199"/>
    <m/>
    <m/>
    <m/>
    <m/>
    <m/>
    <m/>
    <n v="-61189.201171389999"/>
    <n v="449060"/>
    <s v="DBE"/>
  </r>
  <r>
    <x v="21"/>
    <x v="29"/>
    <n v="136709"/>
    <n v="138"/>
    <n v="136847"/>
    <s v="NA"/>
    <s v="NA"/>
    <n v="2509.0852452006602"/>
    <n v="861846.56921601901"/>
    <n v="51751.437472443999"/>
    <m/>
    <m/>
    <m/>
    <m/>
    <m/>
    <m/>
    <n v="-167772.79967619301"/>
    <n v="1220727"/>
    <s v="DBE"/>
  </r>
  <r>
    <x v="21"/>
    <x v="30"/>
    <n v="91071"/>
    <n v="372"/>
    <n v="91443"/>
    <s v="NA"/>
    <s v="NA"/>
    <n v="194.34109638569399"/>
    <n v="463596.93773816503"/>
    <n v="16517"/>
    <m/>
    <m/>
    <m/>
    <m/>
    <m/>
    <m/>
    <n v="12637.070562733799"/>
    <n v="571751"/>
    <s v="DBE"/>
  </r>
  <r>
    <x v="21"/>
    <x v="31"/>
    <n v="97979"/>
    <n v="6"/>
    <n v="97985"/>
    <s v="NA"/>
    <s v="NA"/>
    <n v="6461.8125831187599"/>
    <n v="458868.049074571"/>
    <n v="32014.567189031801"/>
    <m/>
    <m/>
    <m/>
    <m/>
    <m/>
    <m/>
    <n v="-26309.6567633493"/>
    <n v="621639"/>
    <s v="DBE"/>
  </r>
  <r>
    <x v="21"/>
    <x v="32"/>
    <n v="94884"/>
    <n v="47"/>
    <n v="94931"/>
    <s v="NA"/>
    <s v="NA"/>
    <n v="1609.4043947566299"/>
    <n v="327358.73414796701"/>
    <n v="20679.516400108401"/>
    <m/>
    <m/>
    <m/>
    <m/>
    <m/>
    <m/>
    <n v="-12156.659618952101"/>
    <n v="456735"/>
    <s v="DBE"/>
  </r>
  <r>
    <x v="21"/>
    <x v="33"/>
    <n v="93920"/>
    <n v="8"/>
    <n v="93928"/>
    <s v="NA"/>
    <s v="NA"/>
    <n v="4636.9531860930601"/>
    <n v="335052.638769429"/>
    <n v="30283.512112197201"/>
    <m/>
    <m/>
    <m/>
    <m/>
    <m/>
    <m/>
    <n v="-524.93966269362102"/>
    <n v="464426"/>
    <s v="DBE"/>
  </r>
  <r>
    <x v="21"/>
    <x v="34"/>
    <n v="43179"/>
    <n v="10"/>
    <n v="43189"/>
    <s v="NA"/>
    <s v="NA"/>
    <n v="1796.6479999999999"/>
    <n v="224370.24642961301"/>
    <n v="16584"/>
    <m/>
    <m/>
    <m/>
    <m/>
    <m/>
    <m/>
    <n v="-15389.676444073701"/>
    <n v="301330"/>
    <s v="DBE"/>
  </r>
  <r>
    <x v="21"/>
    <x v="35"/>
    <n v="367702"/>
    <n v="49"/>
    <n v="367751"/>
    <s v="NA"/>
    <s v="NA"/>
    <n v="0"/>
    <n v="396290.25755572401"/>
    <n v="139525.09864685501"/>
    <m/>
    <m/>
    <m/>
    <m/>
    <m/>
    <m/>
    <n v="66016.845724266095"/>
    <n v="903566"/>
    <s v="DBE"/>
  </r>
  <r>
    <x v="21"/>
    <x v="36"/>
    <n v="211085"/>
    <n v="26"/>
    <n v="211111"/>
    <s v="NA"/>
    <s v="NA"/>
    <n v="366.65447937949801"/>
    <n v="850301.83606590598"/>
    <n v="86091"/>
    <m/>
    <m/>
    <m/>
    <m/>
    <m/>
    <m/>
    <n v="1739.9379918387899"/>
    <n v="1147870"/>
    <s v="DBE"/>
  </r>
  <r>
    <x v="21"/>
    <x v="37"/>
    <n v="77177"/>
    <n v="201"/>
    <n v="77378"/>
    <s v="NA"/>
    <s v="NA"/>
    <n v="0"/>
    <n v="236105.58197123799"/>
    <n v="52773.379136905103"/>
    <m/>
    <m/>
    <m/>
    <m/>
    <m/>
    <m/>
    <n v="-22934.375648366899"/>
    <n v="389191"/>
    <s v="DBE"/>
  </r>
  <r>
    <x v="21"/>
    <x v="38"/>
    <n v="42099"/>
    <n v="197"/>
    <n v="42296"/>
    <s v="NA"/>
    <s v="NA"/>
    <n v="60.466257594442098"/>
    <n v="426382.782053156"/>
    <n v="19640.0004601447"/>
    <m/>
    <m/>
    <m/>
    <m/>
    <m/>
    <m/>
    <n v="-10737.8951140927"/>
    <n v="499117"/>
    <s v="DBE"/>
  </r>
  <r>
    <x v="21"/>
    <x v="39"/>
    <n v="60957"/>
    <n v="16"/>
    <n v="60973"/>
    <s v="NA"/>
    <s v="NA"/>
    <n v="0"/>
    <n v="585006.40728358203"/>
    <n v="40324.740084267301"/>
    <m/>
    <m/>
    <m/>
    <m/>
    <m/>
    <m/>
    <n v="-82645.200198372302"/>
    <n v="768949"/>
    <s v="DBE"/>
  </r>
  <r>
    <x v="21"/>
    <x v="40"/>
    <n v="121692"/>
    <n v="47"/>
    <n v="121739"/>
    <s v="NA"/>
    <s v="NA"/>
    <n v="5418.3796012081502"/>
    <n v="303104.50022445701"/>
    <n v="55076.6587235525"/>
    <m/>
    <m/>
    <m/>
    <m/>
    <m/>
    <m/>
    <n v="36219.654687460199"/>
    <n v="485339"/>
    <s v="DBE"/>
  </r>
  <r>
    <x v="21"/>
    <x v="41"/>
    <n v="69420"/>
    <n v="14"/>
    <n v="69434"/>
    <s v="NA"/>
    <s v="NA"/>
    <m/>
    <n v="327093.17792176601"/>
    <n v="41199.70362226"/>
    <m/>
    <m/>
    <m/>
    <m/>
    <m/>
    <m/>
    <n v="-43435.284267561699"/>
    <n v="481162"/>
    <s v="DBE"/>
  </r>
  <r>
    <x v="21"/>
    <x v="42"/>
    <n v="21826"/>
    <n v="195"/>
    <n v="22021"/>
    <s v="NA"/>
    <s v="NA"/>
    <m/>
    <n v="208193.743233096"/>
    <n v="14887.784580334601"/>
    <m/>
    <m/>
    <m/>
    <m/>
    <m/>
    <m/>
    <n v="-46463.319475351098"/>
    <n v="291566"/>
    <s v="DBE"/>
  </r>
  <r>
    <x v="21"/>
    <x v="43"/>
    <n v="72050"/>
    <n v="23"/>
    <n v="72073"/>
    <s v="NA"/>
    <s v="NA"/>
    <m/>
    <n v="173986.606932861"/>
    <n v="30525.328764341099"/>
    <m/>
    <m/>
    <m/>
    <m/>
    <m/>
    <m/>
    <n v="-19094.3601492462"/>
    <n v="295679"/>
    <s v="DBE"/>
  </r>
  <r>
    <x v="21"/>
    <x v="44"/>
    <n v="290042"/>
    <n v="74"/>
    <n v="290116"/>
    <s v="NA"/>
    <s v="NA"/>
    <m/>
    <n v="1509377.8994233401"/>
    <n v="46962.981212618201"/>
    <m/>
    <m/>
    <m/>
    <m/>
    <m/>
    <m/>
    <n v="106137.971144657"/>
    <n v="1846457"/>
    <s v="DBE"/>
  </r>
  <r>
    <x v="21"/>
    <x v="45"/>
    <n v="58898"/>
    <n v="1523"/>
    <n v="60421"/>
    <s v="NA"/>
    <s v="NA"/>
    <m/>
    <n v="217344.13659674901"/>
    <n v="22674.983802329301"/>
    <m/>
    <m/>
    <m/>
    <m/>
    <m/>
    <m/>
    <n v="-12703.3770244606"/>
    <n v="313143"/>
    <s v="DBE"/>
  </r>
  <r>
    <x v="21"/>
    <x v="46"/>
    <n v="23047"/>
    <n v="405"/>
    <n v="23452"/>
    <s v="NA"/>
    <s v="NA"/>
    <m/>
    <n v="91821.655728933794"/>
    <n v="6902.0518555480003"/>
    <m/>
    <m/>
    <m/>
    <m/>
    <m/>
    <m/>
    <n v="17532.282186873901"/>
    <n v="122176"/>
    <s v="DBE"/>
  </r>
  <r>
    <x v="21"/>
    <x v="47"/>
    <n v="150734"/>
    <n v="7"/>
    <n v="150741"/>
    <s v="NA"/>
    <s v="NA"/>
    <m/>
    <n v="517382.03225421399"/>
    <n v="43011"/>
    <m/>
    <m/>
    <m/>
    <m/>
    <m/>
    <m/>
    <m/>
    <n v="711134"/>
    <s v="NA"/>
  </r>
  <r>
    <x v="21"/>
    <x v="48"/>
    <n v="175941"/>
    <n v="138"/>
    <n v="176079"/>
    <s v="NA"/>
    <s v="NA"/>
    <m/>
    <n v="290027"/>
    <n v="46999"/>
    <m/>
    <m/>
    <m/>
    <m/>
    <m/>
    <m/>
    <m/>
    <n v="513105"/>
    <s v="RSA"/>
  </r>
  <r>
    <x v="21"/>
    <x v="49"/>
    <n v="41275"/>
    <n v="198"/>
    <n v="41473"/>
    <s v="NA"/>
    <s v="NA"/>
    <m/>
    <n v="188270.92079566"/>
    <n v="16933.183411693801"/>
    <m/>
    <m/>
    <m/>
    <m/>
    <m/>
    <m/>
    <m/>
    <n v="246677"/>
    <s v="NA"/>
  </r>
  <r>
    <x v="21"/>
    <x v="50"/>
    <n v="30404"/>
    <n v="351"/>
    <n v="30755"/>
    <s v="NA"/>
    <s v="NA"/>
    <m/>
    <n v="201646"/>
    <n v="8335"/>
    <m/>
    <m/>
    <m/>
    <m/>
    <m/>
    <m/>
    <m/>
    <n v="240736"/>
    <s v="NA"/>
  </r>
  <r>
    <x v="21"/>
    <x v="51"/>
    <n v="36700"/>
    <n v="71"/>
    <n v="36771"/>
    <s v="NA"/>
    <s v="NA"/>
    <m/>
    <n v="98640.999999999898"/>
    <n v="8969"/>
    <m/>
    <m/>
    <m/>
    <m/>
    <m/>
    <m/>
    <m/>
    <n v="144381"/>
    <s v="NA"/>
  </r>
  <r>
    <x v="21"/>
    <x v="52"/>
    <n v="39691"/>
    <n v="35"/>
    <n v="39726"/>
    <s v="NA"/>
    <s v="NA"/>
    <m/>
    <n v="504875"/>
    <n v="10127"/>
    <m/>
    <m/>
    <m/>
    <m/>
    <m/>
    <m/>
    <m/>
    <n v="554728"/>
    <s v="NA"/>
  </r>
  <r>
    <x v="21"/>
    <x v="53"/>
    <n v="45797"/>
    <n v="79"/>
    <n v="45876"/>
    <s v="NA"/>
    <s v="NA"/>
    <m/>
    <n v="287624"/>
    <n v="15476"/>
    <m/>
    <m/>
    <m/>
    <m/>
    <m/>
    <m/>
    <m/>
    <n v="348976"/>
    <s v="NA"/>
  </r>
  <r>
    <x v="21"/>
    <x v="54"/>
    <n v="49211"/>
    <n v="130"/>
    <n v="49341"/>
    <s v="NA"/>
    <s v="NA"/>
    <m/>
    <n v="179113"/>
    <n v="10448"/>
    <m/>
    <m/>
    <m/>
    <m/>
    <m/>
    <m/>
    <m/>
    <n v="238902"/>
    <s v="NA"/>
  </r>
  <r>
    <x v="21"/>
    <x v="55"/>
    <n v="30368"/>
    <n v="52"/>
    <n v="30420"/>
    <s v="NA"/>
    <s v="NA"/>
    <m/>
    <n v="139737.159836737"/>
    <n v="14482"/>
    <m/>
    <m/>
    <m/>
    <m/>
    <m/>
    <m/>
    <m/>
    <n v="184639"/>
    <s v="NA"/>
  </r>
  <r>
    <x v="21"/>
    <x v="56"/>
    <n v="91480"/>
    <n v="45"/>
    <n v="91525"/>
    <s v="NA"/>
    <s v="NA"/>
    <m/>
    <n v="613119.21271710994"/>
    <n v="14831.462617875201"/>
    <m/>
    <m/>
    <m/>
    <m/>
    <m/>
    <m/>
    <m/>
    <n v="719476"/>
    <s v="NA"/>
  </r>
  <r>
    <x v="21"/>
    <x v="57"/>
    <n v="101529"/>
    <n v="155"/>
    <n v="101684"/>
    <s v="NA"/>
    <s v="NA"/>
    <m/>
    <n v="464527.15829637402"/>
    <n v="16839.1719851704"/>
    <m/>
    <m/>
    <m/>
    <m/>
    <m/>
    <m/>
    <m/>
    <n v="583050"/>
    <s v="NA"/>
  </r>
  <r>
    <x v="21"/>
    <x v="58"/>
    <n v="39385"/>
    <n v="33"/>
    <n v="39418"/>
    <s v="NA"/>
    <s v="NA"/>
    <m/>
    <n v="110256.89790124699"/>
    <n v="8523.6479265943399"/>
    <m/>
    <m/>
    <m/>
    <m/>
    <m/>
    <m/>
    <m/>
    <n v="158199"/>
    <s v="NA"/>
  </r>
  <r>
    <x v="21"/>
    <x v="59"/>
    <n v="30890"/>
    <n v="157"/>
    <n v="31047"/>
    <s v="NA"/>
    <s v="NA"/>
    <m/>
    <n v="118495.269190798"/>
    <n v="13943.322983354699"/>
    <m/>
    <m/>
    <m/>
    <m/>
    <m/>
    <m/>
    <m/>
    <n v="163486"/>
    <s v="RSA"/>
  </r>
  <r>
    <x v="21"/>
    <x v="60"/>
    <n v="138794"/>
    <n v="11"/>
    <n v="138805"/>
    <s v="NA"/>
    <s v="NA"/>
    <m/>
    <n v="368274.84216633602"/>
    <n v="21812.654592468902"/>
    <m/>
    <m/>
    <m/>
    <m/>
    <m/>
    <m/>
    <m/>
    <n v="528892"/>
    <s v="NA"/>
  </r>
  <r>
    <x v="21"/>
    <x v="61"/>
    <n v="124485"/>
    <n v="10"/>
    <n v="124495"/>
    <s v="NA"/>
    <s v="NA"/>
    <m/>
    <n v="187434.59973347699"/>
    <n v="19056.978654057701"/>
    <m/>
    <m/>
    <m/>
    <m/>
    <m/>
    <m/>
    <m/>
    <n v="330987"/>
    <s v="NA"/>
  </r>
  <r>
    <x v="21"/>
    <x v="62"/>
    <n v="46863"/>
    <n v="378"/>
    <n v="47241"/>
    <s v="NA"/>
    <s v="NA"/>
    <m/>
    <n v="95411.128495156896"/>
    <n v="7995.2902694832001"/>
    <m/>
    <m/>
    <m/>
    <m/>
    <m/>
    <m/>
    <m/>
    <n v="150647"/>
    <s v="NA"/>
  </r>
  <r>
    <x v="21"/>
    <x v="63"/>
    <n v="38880"/>
    <n v="4"/>
    <n v="38884"/>
    <s v="NA"/>
    <s v="NA"/>
    <m/>
    <n v="183312.98687072899"/>
    <n v="8374.2958052875401"/>
    <m/>
    <m/>
    <m/>
    <m/>
    <m/>
    <m/>
    <m/>
    <n v="230571"/>
    <s v="RSA"/>
  </r>
  <r>
    <x v="21"/>
    <x v="64"/>
    <n v="79305"/>
    <n v="50"/>
    <n v="79355"/>
    <s v="NA"/>
    <s v="NA"/>
    <m/>
    <n v="521654.48504023999"/>
    <n v="8112.1499868168303"/>
    <m/>
    <m/>
    <m/>
    <m/>
    <m/>
    <m/>
    <m/>
    <n v="609122"/>
    <s v="NA"/>
  </r>
  <r>
    <x v="21"/>
    <x v="65"/>
    <n v="112251"/>
    <n v="22"/>
    <n v="112273"/>
    <s v="NA"/>
    <s v="NA"/>
    <m/>
    <n v="1033888.07784601"/>
    <n v="9541.2642178515307"/>
    <m/>
    <m/>
    <m/>
    <m/>
    <m/>
    <m/>
    <m/>
    <n v="1155702"/>
    <s v="NA"/>
  </r>
  <r>
    <x v="21"/>
    <x v="66"/>
    <n v="38522"/>
    <n v="399"/>
    <n v="38921"/>
    <s v="NA"/>
    <s v="NA"/>
    <m/>
    <n v="108298.783711813"/>
    <n v="4185.0847202702398"/>
    <m/>
    <m/>
    <m/>
    <m/>
    <m/>
    <m/>
    <m/>
    <n v="151405"/>
    <s v="NA"/>
  </r>
  <r>
    <x v="21"/>
    <x v="67"/>
    <n v="38438"/>
    <n v="21"/>
    <n v="38459"/>
    <s v="NA"/>
    <s v="NA"/>
    <m/>
    <n v="140047.57780868499"/>
    <n v="6527.7084943079399"/>
    <m/>
    <m/>
    <m/>
    <m/>
    <m/>
    <m/>
    <m/>
    <n v="185034"/>
    <s v="NA"/>
  </r>
  <r>
    <x v="21"/>
    <x v="68"/>
    <n v="51739"/>
    <n v="7"/>
    <n v="51746"/>
    <s v="NA"/>
    <s v="NA"/>
    <m/>
    <n v="297806.93150262302"/>
    <n v="13073.2093875347"/>
    <m/>
    <m/>
    <m/>
    <m/>
    <m/>
    <m/>
    <m/>
    <n v="362626"/>
    <s v="RSA"/>
  </r>
  <r>
    <x v="21"/>
    <x v="69"/>
    <n v="141859"/>
    <n v="23"/>
    <n v="141882"/>
    <s v="NA"/>
    <s v="NA"/>
    <m/>
    <n v="730771.22569051897"/>
    <n v="17387.553700909"/>
    <m/>
    <m/>
    <m/>
    <m/>
    <m/>
    <m/>
    <m/>
    <n v="890041"/>
    <s v="NA"/>
  </r>
  <r>
    <x v="21"/>
    <x v="70"/>
    <n v="42134"/>
    <n v="1554"/>
    <n v="43688"/>
    <s v="NA"/>
    <s v="NA"/>
    <m/>
    <n v="134329.62132823901"/>
    <n v="4502.4410238596602"/>
    <m/>
    <m/>
    <m/>
    <m/>
    <m/>
    <m/>
    <m/>
    <n v="182520"/>
    <s v="NA"/>
  </r>
  <r>
    <x v="21"/>
    <x v="71"/>
    <n v="40384"/>
    <n v="82"/>
    <n v="40466"/>
    <s v="NA"/>
    <s v="NA"/>
    <m/>
    <n v="142487.12404819301"/>
    <n v="7044.0092530120401"/>
    <m/>
    <m/>
    <m/>
    <m/>
    <m/>
    <m/>
    <m/>
    <n v="189997"/>
    <s v="NA"/>
  </r>
  <r>
    <x v="22"/>
    <x v="0"/>
    <n v="1992"/>
    <n v="0"/>
    <n v="1992"/>
    <n v="44"/>
    <s v="NA"/>
    <n v="0"/>
    <n v="41.7997602576974"/>
    <n v="161.80994610810899"/>
    <m/>
    <n v="1096"/>
    <m/>
    <m/>
    <m/>
    <m/>
    <n v="-3110.1509489118898"/>
    <n v="3336"/>
    <s v="RSA"/>
  </r>
  <r>
    <x v="22"/>
    <x v="1"/>
    <n v="1913"/>
    <n v="0"/>
    <n v="1913"/>
    <s v="NA"/>
    <s v="NA"/>
    <n v="0"/>
    <n v="340.676703083593"/>
    <n v="955.94423158559198"/>
    <m/>
    <n v="478"/>
    <m/>
    <m/>
    <m/>
    <m/>
    <n v="-305.69837023240399"/>
    <n v="3688"/>
    <s v="RSA"/>
  </r>
  <r>
    <x v="22"/>
    <x v="2"/>
    <n v="1327"/>
    <n v="0"/>
    <n v="1327"/>
    <s v="NA"/>
    <s v="NA"/>
    <n v="0"/>
    <n v="20.141187682536302"/>
    <n v="102.44329448577101"/>
    <m/>
    <n v="442"/>
    <m/>
    <m/>
    <m/>
    <m/>
    <n v="647.51552116737003"/>
    <n v="1892"/>
    <s v="RSA"/>
  </r>
  <r>
    <x v="22"/>
    <x v="3"/>
    <n v="60"/>
    <n v="0"/>
    <n v="60"/>
    <s v="NA"/>
    <s v="NA"/>
    <n v="0"/>
    <n v="10.1582441529508"/>
    <n v="119.847256402716"/>
    <m/>
    <n v="15"/>
    <m/>
    <m/>
    <m/>
    <m/>
    <n v="-1034.83312769129"/>
    <n v="205"/>
    <s v="RSA"/>
  </r>
  <r>
    <x v="22"/>
    <x v="4"/>
    <m/>
    <m/>
    <m/>
    <m/>
    <m/>
    <n v="0"/>
    <n v="11.2342746747661"/>
    <n v="30.205185937412999"/>
    <m/>
    <n v="250"/>
    <n v="166.666666666667"/>
    <m/>
    <m/>
    <m/>
    <n v="-420.44801856986498"/>
    <n v="458"/>
    <s v="RSA"/>
  </r>
  <r>
    <x v="22"/>
    <x v="5"/>
    <n v="70"/>
    <n v="0"/>
    <n v="70"/>
    <s v="NA"/>
    <s v="NA"/>
    <n v="0"/>
    <n v="381.51015765137902"/>
    <n v="555.06741705588695"/>
    <m/>
    <n v="23"/>
    <m/>
    <n v="-824"/>
    <m/>
    <m/>
    <n v="-2030.45670798324"/>
    <n v="206"/>
    <s v="RSA"/>
  </r>
  <r>
    <x v="22"/>
    <x v="6"/>
    <n v="20"/>
    <n v="0"/>
    <n v="20"/>
    <s v="NA"/>
    <s v="NA"/>
    <n v="0"/>
    <n v="1.11138886581492"/>
    <n v="16.093793886243802"/>
    <m/>
    <n v="5"/>
    <n v="10"/>
    <n v="-13"/>
    <m/>
    <m/>
    <n v="-526.23453347080999"/>
    <n v="39"/>
    <s v="RSA"/>
  </r>
  <r>
    <x v="22"/>
    <x v="7"/>
    <n v="164"/>
    <n v="0"/>
    <n v="164"/>
    <s v="NA"/>
    <s v="NA"/>
    <n v="0"/>
    <n v="40.873320009803898"/>
    <n v="772.31002487002797"/>
    <m/>
    <n v="41"/>
    <m/>
    <n v="-696"/>
    <m/>
    <m/>
    <n v="-933.89519200654195"/>
    <n v="322"/>
    <s v="RSA"/>
  </r>
  <r>
    <x v="22"/>
    <x v="8"/>
    <n v="980"/>
    <n v="0"/>
    <n v="980"/>
    <s v="NA"/>
    <s v="NA"/>
    <n v="0"/>
    <n v="1165.8777238704499"/>
    <n v="1919.31691572157"/>
    <n v="229"/>
    <n v="368"/>
    <n v="490"/>
    <n v="-2551"/>
    <m/>
    <m/>
    <n v="-12190.4784417016"/>
    <n v="2601"/>
    <s v="RSA"/>
  </r>
  <r>
    <x v="22"/>
    <x v="9"/>
    <n v="114"/>
    <n v="0"/>
    <n v="114"/>
    <s v="NA"/>
    <s v="NA"/>
    <n v="0"/>
    <n v="34.334261540735802"/>
    <n v="93.163435449371093"/>
    <m/>
    <n v="56"/>
    <n v="53"/>
    <m/>
    <m/>
    <m/>
    <n v="-255.957983936999"/>
    <n v="350"/>
    <s v="RSA"/>
  </r>
  <r>
    <x v="22"/>
    <x v="10"/>
    <n v="201"/>
    <n v="12"/>
    <n v="213"/>
    <s v="NA"/>
    <s v="NA"/>
    <n v="0"/>
    <n v="110.173251550263"/>
    <n v="341.40519944961801"/>
    <m/>
    <n v="67"/>
    <m/>
    <m/>
    <n v="4"/>
    <m/>
    <n v="-398.97311359852898"/>
    <n v="736"/>
    <s v="RSA"/>
  </r>
  <r>
    <x v="22"/>
    <x v="11"/>
    <n v="100"/>
    <n v="0"/>
    <n v="100"/>
    <s v="NA"/>
    <s v="NA"/>
    <n v="0.19178004578152"/>
    <n v="155.099117557656"/>
    <n v="448.57551943664498"/>
    <n v="-86"/>
    <n v="72"/>
    <m/>
    <m/>
    <m/>
    <m/>
    <n v="-401.45564049778898"/>
    <n v="690"/>
    <s v="RSA"/>
  </r>
  <r>
    <x v="22"/>
    <x v="12"/>
    <n v="964"/>
    <n v="0"/>
    <n v="964"/>
    <s v="NA"/>
    <s v="NA"/>
    <n v="0.20265884040500001"/>
    <n v="557.58913122868205"/>
    <n v="459.72809531560398"/>
    <m/>
    <n v="482"/>
    <m/>
    <m/>
    <m/>
    <m/>
    <n v="177.713310610131"/>
    <n v="2464"/>
    <s v="RSA"/>
  </r>
  <r>
    <x v="22"/>
    <x v="13"/>
    <n v="1117"/>
    <n v="0"/>
    <n v="1117"/>
    <s v="NA"/>
    <s v="NA"/>
    <n v="0"/>
    <n v="1571.25310880952"/>
    <m/>
    <m/>
    <n v="237"/>
    <m/>
    <n v="-1798"/>
    <m/>
    <m/>
    <n v="-4773.8342108179904"/>
    <n v="1127"/>
    <s v="RSA"/>
  </r>
  <r>
    <x v="22"/>
    <x v="14"/>
    <n v="40"/>
    <n v="0"/>
    <n v="40"/>
    <s v="NA"/>
    <s v="NA"/>
    <n v="0"/>
    <n v="57.398517736489303"/>
    <n v="131.89701652806801"/>
    <m/>
    <n v="40"/>
    <m/>
    <n v="-178"/>
    <m/>
    <m/>
    <n v="-490.91608568706903"/>
    <n v="91"/>
    <s v="RSA"/>
  </r>
  <r>
    <x v="22"/>
    <x v="15"/>
    <n v="60"/>
    <n v="0"/>
    <n v="60"/>
    <s v="NA"/>
    <s v="NA"/>
    <n v="2.6910644294800001E-2"/>
    <n v="471.58840692217598"/>
    <n v="758.887406444421"/>
    <m/>
    <m/>
    <m/>
    <m/>
    <m/>
    <m/>
    <n v="-1612.5302430854299"/>
    <n v="2903"/>
    <s v="DBE"/>
  </r>
  <r>
    <x v="22"/>
    <x v="16"/>
    <n v="233"/>
    <n v="0"/>
    <n v="233"/>
    <s v="NA"/>
    <s v="NA"/>
    <n v="0"/>
    <n v="14.975039803452001"/>
    <n v="141.992941767432"/>
    <m/>
    <m/>
    <m/>
    <m/>
    <m/>
    <m/>
    <n v="-886.75253634256796"/>
    <n v="1277"/>
    <s v="DBE"/>
  </r>
  <r>
    <x v="22"/>
    <x v="17"/>
    <n v="2140"/>
    <n v="0"/>
    <n v="2140"/>
    <s v="NA"/>
    <s v="NA"/>
    <n v="3.3060840941727898"/>
    <n v="1498.2715520691099"/>
    <n v="532.08045772532103"/>
    <m/>
    <m/>
    <m/>
    <m/>
    <m/>
    <m/>
    <n v="-155.94166599847799"/>
    <n v="4330"/>
    <s v="DBE"/>
  </r>
  <r>
    <x v="22"/>
    <x v="18"/>
    <n v="520"/>
    <n v="0"/>
    <n v="520"/>
    <s v="NA"/>
    <s v="NA"/>
    <n v="1.822470401308"/>
    <n v="548.39091719409601"/>
    <n v="288.955939548625"/>
    <m/>
    <m/>
    <m/>
    <m/>
    <m/>
    <m/>
    <n v="227.12522418184599"/>
    <n v="1359"/>
    <s v="DBE"/>
  </r>
  <r>
    <x v="22"/>
    <x v="19"/>
    <n v="320"/>
    <n v="0"/>
    <n v="320"/>
    <s v="NA"/>
    <s v="NA"/>
    <n v="86.850561464285704"/>
    <n v="4260.3529258658"/>
    <n v="2335.1959785076401"/>
    <m/>
    <m/>
    <m/>
    <m/>
    <m/>
    <m/>
    <n v="-5364.5104721287498"/>
    <n v="12367"/>
    <s v="DBE"/>
  </r>
  <r>
    <x v="22"/>
    <x v="20"/>
    <n v="380"/>
    <n v="0"/>
    <n v="380"/>
    <s v="NA"/>
    <s v="NA"/>
    <n v="58.072192940449298"/>
    <n v="2157.4378340665498"/>
    <n v="822.24221021625794"/>
    <m/>
    <m/>
    <m/>
    <m/>
    <m/>
    <m/>
    <n v="-824.12832127954198"/>
    <n v="4242"/>
    <s v="DBE"/>
  </r>
  <r>
    <x v="22"/>
    <x v="21"/>
    <n v="1300"/>
    <n v="0"/>
    <n v="1300"/>
    <s v="NA"/>
    <s v="NA"/>
    <n v="0.102093932547541"/>
    <n v="862.20528415972001"/>
    <n v="80.354590383850393"/>
    <m/>
    <m/>
    <m/>
    <m/>
    <m/>
    <m/>
    <n v="-1429.48142586986"/>
    <n v="3672"/>
    <s v="DBE"/>
  </r>
  <r>
    <x v="22"/>
    <x v="22"/>
    <n v="1000"/>
    <n v="0"/>
    <n v="1000"/>
    <s v="NA"/>
    <s v="NA"/>
    <n v="7.2618541719563598"/>
    <n v="187.43355762124801"/>
    <n v="94.881292432948399"/>
    <m/>
    <m/>
    <m/>
    <m/>
    <m/>
    <m/>
    <n v="270.86593380705199"/>
    <n v="1290"/>
    <s v="DBE"/>
  </r>
  <r>
    <x v="22"/>
    <x v="23"/>
    <n v="3000"/>
    <n v="0"/>
    <n v="3000"/>
    <s v="NA"/>
    <s v="NA"/>
    <n v="2.96436815556129"/>
    <n v="2300.9027185551699"/>
    <n v="615.16713873803099"/>
    <m/>
    <m/>
    <m/>
    <m/>
    <m/>
    <m/>
    <n v="1010.03232808142"/>
    <n v="5919"/>
    <s v="DBE"/>
  </r>
  <r>
    <x v="22"/>
    <x v="24"/>
    <n v="1160"/>
    <n v="0"/>
    <n v="1160"/>
    <s v="NA"/>
    <s v="NA"/>
    <n v="0.93111608020899905"/>
    <n v="123.74957441139701"/>
    <n v="114.06772065241699"/>
    <m/>
    <m/>
    <m/>
    <m/>
    <m/>
    <m/>
    <n v="17.646192755662"/>
    <n v="1399"/>
    <s v="DBE"/>
  </r>
  <r>
    <x v="22"/>
    <x v="25"/>
    <n v="400"/>
    <n v="0"/>
    <n v="400"/>
    <s v="NA"/>
    <s v="NA"/>
    <n v="17.6702076344076"/>
    <n v="231.77557606221799"/>
    <n v="73.307653763795699"/>
    <m/>
    <m/>
    <m/>
    <m/>
    <m/>
    <m/>
    <n v="-129.16343247611701"/>
    <n v="852"/>
    <s v="DBE"/>
  </r>
  <r>
    <x v="22"/>
    <x v="26"/>
    <n v="325"/>
    <n v="0"/>
    <n v="325"/>
    <s v="NA"/>
    <s v="NA"/>
    <n v="20.346996764560298"/>
    <n v="1048.3998123727999"/>
    <n v="32.5670548775296"/>
    <m/>
    <m/>
    <m/>
    <m/>
    <m/>
    <m/>
    <n v="11.139320499948701"/>
    <n v="1426"/>
    <s v="DBE"/>
  </r>
  <r>
    <x v="22"/>
    <x v="27"/>
    <n v="1470"/>
    <n v="0"/>
    <n v="1470"/>
    <s v="NA"/>
    <s v="NA"/>
    <n v="16.883937215794301"/>
    <n v="1026.48314261879"/>
    <n v="371.16341787940098"/>
    <m/>
    <m/>
    <m/>
    <m/>
    <m/>
    <m/>
    <n v="632.77602502053901"/>
    <n v="2885"/>
    <s v="DBE"/>
  </r>
  <r>
    <x v="22"/>
    <x v="28"/>
    <n v="1840"/>
    <n v="0"/>
    <n v="1840"/>
    <s v="NA"/>
    <s v="NA"/>
    <n v="7.81600599172328"/>
    <n v="1441.8183599164199"/>
    <n v="1064.3318521348101"/>
    <m/>
    <m/>
    <m/>
    <m/>
    <m/>
    <m/>
    <n v="537.81322267864198"/>
    <n v="4354"/>
    <s v="DBE"/>
  </r>
  <r>
    <x v="22"/>
    <x v="29"/>
    <n v="270"/>
    <n v="0"/>
    <n v="270"/>
    <s v="NA"/>
    <s v="NA"/>
    <n v="15.267152540870301"/>
    <n v="1035.8486913051499"/>
    <n v="123.074598405828"/>
    <m/>
    <m/>
    <m/>
    <m/>
    <m/>
    <m/>
    <n v="-96.583895670364299"/>
    <n v="1541"/>
    <s v="DBE"/>
  </r>
  <r>
    <x v="22"/>
    <x v="31"/>
    <n v="970"/>
    <n v="0"/>
    <n v="970"/>
    <s v="NA"/>
    <s v="NA"/>
    <n v="162.202095556112"/>
    <n v="12685.190511782301"/>
    <n v="2347.7658965058499"/>
    <m/>
    <m/>
    <m/>
    <m/>
    <m/>
    <m/>
    <n v="-1643.1669853647099"/>
    <n v="17808"/>
    <s v="DBE"/>
  </r>
  <r>
    <x v="22"/>
    <x v="34"/>
    <n v="65"/>
    <n v="0"/>
    <n v="65"/>
    <s v="NA"/>
    <s v="NA"/>
    <n v="2.1353729056322202"/>
    <n v="459.580298178249"/>
    <n v="21.3697289701615"/>
    <m/>
    <m/>
    <m/>
    <m/>
    <m/>
    <m/>
    <n v="-22.5473541820799"/>
    <n v="571"/>
    <s v="DBE"/>
  </r>
  <r>
    <x v="22"/>
    <x v="35"/>
    <n v="11138"/>
    <n v="0"/>
    <n v="11138"/>
    <s v="NA"/>
    <s v="NA"/>
    <n v="0"/>
    <n v="14013.5101445787"/>
    <n v="4086.6227161192701"/>
    <m/>
    <m/>
    <m/>
    <m/>
    <m/>
    <m/>
    <n v="620.53777379581004"/>
    <n v="29238"/>
    <s v="DBE"/>
  </r>
  <r>
    <x v="22"/>
    <x v="36"/>
    <n v="3571"/>
    <n v="21"/>
    <n v="3592"/>
    <s v="NA"/>
    <s v="NA"/>
    <n v="4.7124462439409198"/>
    <n v="14646.699496569099"/>
    <n v="1217.2835255990501"/>
    <m/>
    <m/>
    <m/>
    <m/>
    <m/>
    <m/>
    <n v="-787.11134270578998"/>
    <n v="20248"/>
    <s v="DBE"/>
  </r>
  <r>
    <x v="22"/>
    <x v="38"/>
    <n v="0"/>
    <n v="0"/>
    <n v="0"/>
    <s v="NA"/>
    <s v="NA"/>
    <m/>
    <m/>
    <m/>
    <m/>
    <m/>
    <m/>
    <m/>
    <m/>
    <m/>
    <n v="0"/>
    <n v="0"/>
    <s v="DBE"/>
  </r>
  <r>
    <x v="22"/>
    <x v="39"/>
    <n v="2771"/>
    <n v="0"/>
    <n v="2771"/>
    <s v="NA"/>
    <s v="NA"/>
    <n v="0"/>
    <n v="9017.2637829868108"/>
    <n v="1143.1451119496201"/>
    <m/>
    <m/>
    <m/>
    <m/>
    <m/>
    <m/>
    <n v="1358.72719964678"/>
    <n v="12931"/>
    <s v="DBE"/>
  </r>
  <r>
    <x v="22"/>
    <x v="40"/>
    <n v="1630"/>
    <n v="0"/>
    <n v="1630"/>
    <s v="NA"/>
    <s v="NA"/>
    <n v="169.59822548944101"/>
    <n v="1982.88454520142"/>
    <n v="750.79753007009401"/>
    <m/>
    <m/>
    <m/>
    <m/>
    <m/>
    <m/>
    <n v="1309.1106244432001"/>
    <n v="4533"/>
    <s v="DBE"/>
  </r>
  <r>
    <x v="22"/>
    <x v="43"/>
    <n v="679"/>
    <n v="0"/>
    <n v="679"/>
    <s v="NA"/>
    <s v="NA"/>
    <m/>
    <n v="1466.62940948035"/>
    <n v="134.80534515533"/>
    <m/>
    <m/>
    <m/>
    <m/>
    <m/>
    <m/>
    <n v="2.86861685194719"/>
    <n v="2280"/>
    <s v="DBE"/>
  </r>
  <r>
    <x v="22"/>
    <x v="44"/>
    <n v="0"/>
    <n v="0"/>
    <n v="0"/>
    <s v="NA"/>
    <s v="NA"/>
    <m/>
    <m/>
    <m/>
    <m/>
    <m/>
    <m/>
    <m/>
    <m/>
    <m/>
    <n v="0"/>
    <n v="0"/>
    <s v="DBE"/>
  </r>
  <r>
    <x v="22"/>
    <x v="46"/>
    <n v="0"/>
    <n v="0"/>
    <n v="0"/>
    <s v="NA"/>
    <s v="NA"/>
    <m/>
    <m/>
    <m/>
    <m/>
    <m/>
    <m/>
    <m/>
    <m/>
    <m/>
    <n v="0"/>
    <n v="0"/>
    <s v="DBE"/>
  </r>
  <r>
    <x v="22"/>
    <x v="47"/>
    <n v="630"/>
    <n v="4"/>
    <n v="634"/>
    <s v="NA"/>
    <s v="NA"/>
    <m/>
    <n v="2466"/>
    <n v="54"/>
    <m/>
    <m/>
    <m/>
    <m/>
    <m/>
    <m/>
    <m/>
    <n v="3154"/>
    <s v="NA"/>
  </r>
  <r>
    <x v="22"/>
    <x v="48"/>
    <n v="4394"/>
    <n v="0"/>
    <n v="4394"/>
    <s v="NA"/>
    <s v="NA"/>
    <m/>
    <n v="10991"/>
    <n v="1354"/>
    <m/>
    <m/>
    <m/>
    <m/>
    <m/>
    <m/>
    <m/>
    <n v="16739"/>
    <s v="RSA"/>
  </r>
  <r>
    <x v="22"/>
    <x v="49"/>
    <n v="0"/>
    <n v="0"/>
    <n v="0"/>
    <s v="NA"/>
    <s v="NA"/>
    <m/>
    <m/>
    <m/>
    <m/>
    <m/>
    <m/>
    <m/>
    <m/>
    <m/>
    <m/>
    <n v="0"/>
    <s v="NA"/>
  </r>
  <r>
    <x v="22"/>
    <x v="50"/>
    <n v="0"/>
    <n v="0"/>
    <n v="0"/>
    <s v="NA"/>
    <s v="NA"/>
    <m/>
    <m/>
    <m/>
    <m/>
    <m/>
    <m/>
    <m/>
    <m/>
    <m/>
    <m/>
    <n v="0"/>
    <s v="NA"/>
  </r>
  <r>
    <x v="22"/>
    <x v="51"/>
    <n v="2285"/>
    <n v="2"/>
    <n v="2287"/>
    <s v="NA"/>
    <s v="NA"/>
    <m/>
    <n v="18250"/>
    <n v="1401"/>
    <m/>
    <m/>
    <m/>
    <m/>
    <m/>
    <m/>
    <m/>
    <n v="21938"/>
    <s v="NA"/>
  </r>
  <r>
    <x v="22"/>
    <x v="52"/>
    <n v="10500"/>
    <n v="0"/>
    <n v="10500"/>
    <s v="NA"/>
    <s v="NA"/>
    <m/>
    <n v="62210"/>
    <n v="2675"/>
    <m/>
    <m/>
    <m/>
    <m/>
    <m/>
    <m/>
    <m/>
    <n v="75385"/>
    <s v="NA"/>
  </r>
  <r>
    <x v="22"/>
    <x v="53"/>
    <n v="0"/>
    <n v="0"/>
    <n v="0"/>
    <s v="NA"/>
    <s v="NA"/>
    <m/>
    <m/>
    <m/>
    <m/>
    <m/>
    <m/>
    <m/>
    <m/>
    <m/>
    <m/>
    <n v="0"/>
    <s v="NA"/>
  </r>
  <r>
    <x v="22"/>
    <x v="54"/>
    <n v="0"/>
    <n v="0"/>
    <n v="0"/>
    <s v="NA"/>
    <s v="NA"/>
    <m/>
    <m/>
    <m/>
    <m/>
    <m/>
    <m/>
    <m/>
    <m/>
    <m/>
    <m/>
    <n v="0"/>
    <s v="NA"/>
  </r>
  <r>
    <x v="22"/>
    <x v="55"/>
    <n v="0"/>
    <n v="0"/>
    <n v="0"/>
    <s v="NA"/>
    <s v="NA"/>
    <m/>
    <m/>
    <m/>
    <m/>
    <m/>
    <m/>
    <m/>
    <m/>
    <m/>
    <m/>
    <n v="0"/>
    <s v="NA"/>
  </r>
  <r>
    <x v="22"/>
    <x v="56"/>
    <n v="5700"/>
    <n v="0"/>
    <n v="5700"/>
    <s v="NA"/>
    <s v="NA"/>
    <m/>
    <n v="30989.607429039701"/>
    <n v="758"/>
    <m/>
    <m/>
    <m/>
    <m/>
    <m/>
    <m/>
    <m/>
    <n v="37448"/>
    <s v="NA"/>
  </r>
  <r>
    <x v="22"/>
    <x v="57"/>
    <n v="353"/>
    <n v="0"/>
    <n v="353"/>
    <s v="NA"/>
    <s v="NA"/>
    <m/>
    <n v="1394.5557311299401"/>
    <n v="95"/>
    <m/>
    <m/>
    <m/>
    <m/>
    <m/>
    <m/>
    <m/>
    <n v="1843"/>
    <s v="NA"/>
  </r>
  <r>
    <x v="22"/>
    <x v="58"/>
    <n v="0"/>
    <n v="0"/>
    <n v="0"/>
    <s v="NA"/>
    <s v="NA"/>
    <m/>
    <m/>
    <m/>
    <m/>
    <m/>
    <m/>
    <m/>
    <m/>
    <m/>
    <m/>
    <n v="0"/>
    <s v="NA"/>
  </r>
  <r>
    <x v="22"/>
    <x v="59"/>
    <n v="433"/>
    <n v="0"/>
    <n v="433"/>
    <s v="NA"/>
    <s v="NA"/>
    <m/>
    <n v="2138.5962279383898"/>
    <n v="167"/>
    <m/>
    <m/>
    <m/>
    <m/>
    <m/>
    <m/>
    <m/>
    <n v="2739"/>
    <s v="RSA"/>
  </r>
  <r>
    <x v="22"/>
    <x v="60"/>
    <n v="31634"/>
    <n v="33"/>
    <n v="31667"/>
    <s v="NA"/>
    <s v="NA"/>
    <m/>
    <n v="35232.390143253098"/>
    <n v="3612"/>
    <m/>
    <m/>
    <m/>
    <m/>
    <m/>
    <m/>
    <m/>
    <n v="70511"/>
    <s v="NA"/>
  </r>
  <r>
    <x v="22"/>
    <x v="61"/>
    <n v="649"/>
    <n v="8"/>
    <n v="657"/>
    <s v="NA"/>
    <s v="NA"/>
    <m/>
    <n v="2165.1989347794802"/>
    <n v="161"/>
    <m/>
    <m/>
    <m/>
    <m/>
    <m/>
    <m/>
    <m/>
    <n v="2983"/>
    <s v="NA"/>
  </r>
  <r>
    <x v="22"/>
    <x v="62"/>
    <n v="80"/>
    <n v="0"/>
    <n v="80"/>
    <s v="NA"/>
    <s v="NA"/>
    <m/>
    <n v="196"/>
    <n v="17"/>
    <m/>
    <m/>
    <m/>
    <m/>
    <m/>
    <m/>
    <m/>
    <n v="293"/>
    <s v="NA"/>
  </r>
  <r>
    <x v="22"/>
    <x v="63"/>
    <n v="2726"/>
    <n v="0"/>
    <n v="2726"/>
    <s v="NA"/>
    <s v="NA"/>
    <m/>
    <n v="10771"/>
    <n v="341"/>
    <m/>
    <m/>
    <m/>
    <m/>
    <m/>
    <m/>
    <m/>
    <n v="13838"/>
    <s v="RSA"/>
  </r>
  <r>
    <x v="22"/>
    <x v="64"/>
    <n v="16320"/>
    <n v="90"/>
    <n v="16410"/>
    <s v="NA"/>
    <s v="NA"/>
    <m/>
    <n v="35283"/>
    <n v="1141"/>
    <m/>
    <m/>
    <m/>
    <m/>
    <m/>
    <m/>
    <m/>
    <n v="52834"/>
    <s v="NA"/>
  </r>
  <r>
    <x v="22"/>
    <x v="65"/>
    <n v="7513"/>
    <n v="25"/>
    <n v="7538"/>
    <s v="NA"/>
    <s v="NA"/>
    <m/>
    <n v="34155.006949294402"/>
    <n v="715.02557755204998"/>
    <m/>
    <m/>
    <m/>
    <m/>
    <m/>
    <m/>
    <m/>
    <n v="42408"/>
    <s v="NA"/>
  </r>
  <r>
    <x v="22"/>
    <x v="66"/>
    <n v="3647"/>
    <n v="20"/>
    <n v="3667"/>
    <s v="NA"/>
    <s v="NA"/>
    <m/>
    <n v="8235.9999999999909"/>
    <n v="395"/>
    <m/>
    <m/>
    <m/>
    <m/>
    <m/>
    <m/>
    <m/>
    <n v="12298"/>
    <s v="NA"/>
  </r>
  <r>
    <x v="22"/>
    <x v="67"/>
    <n v="1994"/>
    <n v="1"/>
    <n v="1995"/>
    <s v="NA"/>
    <s v="NA"/>
    <m/>
    <n v="3316"/>
    <n v="112"/>
    <m/>
    <m/>
    <m/>
    <m/>
    <m/>
    <m/>
    <m/>
    <n v="5423"/>
    <s v="NA"/>
  </r>
  <r>
    <x v="22"/>
    <x v="68"/>
    <n v="4400"/>
    <n v="0"/>
    <n v="4400"/>
    <s v="NA"/>
    <s v="NA"/>
    <m/>
    <n v="19280"/>
    <n v="913"/>
    <m/>
    <m/>
    <m/>
    <m/>
    <m/>
    <m/>
    <m/>
    <n v="24593"/>
    <s v="RSA"/>
  </r>
  <r>
    <x v="22"/>
    <x v="69"/>
    <n v="3500"/>
    <n v="0"/>
    <n v="3500"/>
    <s v="NA"/>
    <s v="NA"/>
    <m/>
    <n v="17936.874136217099"/>
    <n v="857.28487258443795"/>
    <m/>
    <m/>
    <m/>
    <m/>
    <m/>
    <m/>
    <m/>
    <n v="22294"/>
    <s v="NA"/>
  </r>
  <r>
    <x v="22"/>
    <x v="70"/>
    <n v="4422"/>
    <n v="0"/>
    <n v="4422"/>
    <s v="NA"/>
    <s v="NA"/>
    <m/>
    <n v="12899"/>
    <n v="411"/>
    <m/>
    <m/>
    <m/>
    <m/>
    <m/>
    <m/>
    <m/>
    <n v="17732"/>
    <s v="NA"/>
  </r>
  <r>
    <x v="22"/>
    <x v="71"/>
    <n v="3647"/>
    <n v="0"/>
    <n v="3647"/>
    <s v="NA"/>
    <s v="NA"/>
    <m/>
    <n v="8866.0000000000091"/>
    <n v="384"/>
    <m/>
    <m/>
    <m/>
    <m/>
    <m/>
    <m/>
    <m/>
    <n v="12897"/>
    <s v="NA"/>
  </r>
  <r>
    <x v="23"/>
    <x v="0"/>
    <n v="2141"/>
    <n v="3"/>
    <n v="2144"/>
    <s v="NA"/>
    <s v="NA"/>
    <n v="2.0790014347704899E-2"/>
    <n v="56.419194676511701"/>
    <n v="20.0420740979534"/>
    <m/>
    <n v="1153"/>
    <m/>
    <m/>
    <n v="2"/>
    <m/>
    <n v="-2210.32416420961"/>
    <n v="3375"/>
    <s v="RSA"/>
  </r>
  <r>
    <x v="23"/>
    <x v="1"/>
    <n v="5319"/>
    <n v="0"/>
    <n v="5319"/>
    <s v="NA"/>
    <s v="NA"/>
    <n v="0"/>
    <n v="556.93568603818505"/>
    <n v="446.35589278742498"/>
    <m/>
    <n v="1773"/>
    <m/>
    <m/>
    <m/>
    <m/>
    <n v="-1320.5555768905299"/>
    <n v="8095"/>
    <s v="RSA"/>
  </r>
  <r>
    <x v="23"/>
    <x v="2"/>
    <n v="891"/>
    <n v="0"/>
    <n v="891"/>
    <s v="NA"/>
    <s v="NA"/>
    <n v="0"/>
    <n v="13.0106239310633"/>
    <n v="6.14516808690286"/>
    <m/>
    <n v="297"/>
    <m/>
    <m/>
    <m/>
    <m/>
    <n v="-386.70395807837599"/>
    <n v="1207"/>
    <s v="RSA"/>
  </r>
  <r>
    <x v="23"/>
    <x v="3"/>
    <n v="981"/>
    <n v="0"/>
    <n v="981"/>
    <s v="NA"/>
    <s v="NA"/>
    <n v="20.933250251899999"/>
    <n v="25.969352879770302"/>
    <n v="27.2723014982991"/>
    <m/>
    <n v="245"/>
    <m/>
    <m/>
    <m/>
    <m/>
    <n v="-1217.23953062906"/>
    <n v="1300"/>
    <s v="RSA"/>
  </r>
  <r>
    <x v="23"/>
    <x v="4"/>
    <n v="524"/>
    <n v="0"/>
    <n v="524"/>
    <s v="NA"/>
    <s v="NA"/>
    <n v="0"/>
    <n v="18.338053592435699"/>
    <n v="2.4934820588755899"/>
    <m/>
    <n v="131"/>
    <m/>
    <m/>
    <m/>
    <m/>
    <n v="-164.87013197590301"/>
    <n v="676"/>
    <s v="RSA"/>
  </r>
  <r>
    <x v="23"/>
    <x v="5"/>
    <n v="2430"/>
    <n v="0"/>
    <n v="2430"/>
    <s v="NA"/>
    <s v="NA"/>
    <n v="177.52867362000001"/>
    <n v="2193.4214440900701"/>
    <n v="505.93453884660897"/>
    <m/>
    <n v="1308"/>
    <m/>
    <n v="136"/>
    <m/>
    <m/>
    <n v="-1598.1998441451899"/>
    <n v="6751"/>
    <s v="RSA"/>
  </r>
  <r>
    <x v="23"/>
    <x v="6"/>
    <n v="667"/>
    <n v="11"/>
    <n v="678"/>
    <s v="NA"/>
    <s v="NA"/>
    <n v="0"/>
    <n v="18.365219509785501"/>
    <n v="89.080114822554506"/>
    <m/>
    <n v="118"/>
    <m/>
    <n v="-56"/>
    <n v="2"/>
    <m/>
    <n v="-2653.86471591501"/>
    <n v="849"/>
    <s v="RSA"/>
  </r>
  <r>
    <x v="23"/>
    <x v="7"/>
    <n v="1152"/>
    <n v="0"/>
    <n v="1152"/>
    <s v="NA"/>
    <s v="NA"/>
    <n v="0"/>
    <n v="178.10446182640499"/>
    <n v="593.98787743239802"/>
    <m/>
    <n v="288"/>
    <m/>
    <n v="266"/>
    <m/>
    <m/>
    <n v="-3129.69600640521"/>
    <n v="2478"/>
    <s v="RSA"/>
  </r>
  <r>
    <x v="23"/>
    <x v="8"/>
    <n v="1420"/>
    <n v="0"/>
    <n v="1420"/>
    <s v="NA"/>
    <s v="NA"/>
    <n v="0"/>
    <n v="412.628922928176"/>
    <n v="393.88444082350998"/>
    <m/>
    <n v="947"/>
    <m/>
    <n v="-110"/>
    <m/>
    <m/>
    <n v="-7744.7765616950901"/>
    <n v="3064"/>
    <s v="RSA"/>
  </r>
  <r>
    <x v="23"/>
    <x v="9"/>
    <n v="11451"/>
    <n v="16"/>
    <n v="11467"/>
    <s v="NA"/>
    <s v="NA"/>
    <n v="0"/>
    <n v="4553.9645229990401"/>
    <n v="3955.3964144689198"/>
    <m/>
    <n v="3817"/>
    <m/>
    <m/>
    <n v="5"/>
    <m/>
    <n v="-6636.5028166522798"/>
    <n v="23798"/>
    <s v="RSA"/>
  </r>
  <r>
    <x v="23"/>
    <x v="10"/>
    <n v="3471"/>
    <n v="42"/>
    <n v="3513"/>
    <s v="NA"/>
    <s v="NA"/>
    <n v="0"/>
    <n v="1349.8810672725101"/>
    <n v="1554.2946086197501"/>
    <m/>
    <n v="1157"/>
    <m/>
    <m/>
    <n v="14"/>
    <m/>
    <n v="-11536.6102074916"/>
    <n v="7588"/>
    <s v="RSA"/>
  </r>
  <r>
    <x v="23"/>
    <x v="11"/>
    <n v="1967"/>
    <n v="0"/>
    <n v="1967"/>
    <s v="NA"/>
    <s v="NA"/>
    <n v="0.34456837265066997"/>
    <n v="2288.6676574913799"/>
    <n v="3130.2158148650001"/>
    <n v="86"/>
    <n v="1424"/>
    <m/>
    <m/>
    <m/>
    <m/>
    <n v="-9723.2630925594804"/>
    <n v="8896"/>
    <s v="RSA"/>
  </r>
  <r>
    <x v="23"/>
    <x v="12"/>
    <n v="9988"/>
    <n v="0"/>
    <n v="9988"/>
    <s v="NA"/>
    <s v="NA"/>
    <n v="2.5413811722530002"/>
    <n v="5406.29547762735"/>
    <n v="5628.8207299285004"/>
    <m/>
    <n v="1098"/>
    <n v="-104"/>
    <n v="-1154"/>
    <m/>
    <m/>
    <n v="-8869.5048335791507"/>
    <n v="20866"/>
    <s v="RSA"/>
  </r>
  <r>
    <x v="23"/>
    <x v="13"/>
    <n v="10808"/>
    <n v="0"/>
    <n v="10808"/>
    <s v="NA"/>
    <s v="NA"/>
    <n v="0"/>
    <n v="5557.8822998193"/>
    <m/>
    <m/>
    <n v="1201"/>
    <m/>
    <m/>
    <m/>
    <m/>
    <n v="-13651.3482069723"/>
    <n v="17567"/>
    <s v="RSA"/>
  </r>
  <r>
    <x v="23"/>
    <x v="14"/>
    <n v="1170"/>
    <n v="0"/>
    <n v="1170"/>
    <s v="NA"/>
    <s v="NA"/>
    <n v="25.090349171994902"/>
    <n v="233.84300097965999"/>
    <n v="230.09793143190899"/>
    <m/>
    <n v="292"/>
    <m/>
    <n v="-318"/>
    <m/>
    <m/>
    <n v="-2499.5115753642399"/>
    <n v="1633"/>
    <s v="RSA"/>
  </r>
  <r>
    <x v="23"/>
    <x v="15"/>
    <n v="2270"/>
    <n v="0"/>
    <n v="2270"/>
    <s v="NA"/>
    <s v="NA"/>
    <n v="0.73422504789480003"/>
    <n v="1622.87952990034"/>
    <n v="2588.2592672722899"/>
    <m/>
    <m/>
    <m/>
    <m/>
    <m/>
    <m/>
    <n v="-5354.9272224134602"/>
    <n v="11837"/>
    <s v="DBE"/>
  </r>
  <r>
    <x v="23"/>
    <x v="16"/>
    <n v="11403"/>
    <n v="6"/>
    <n v="11409"/>
    <s v="NA"/>
    <s v="NA"/>
    <n v="0"/>
    <n v="1086.29420019433"/>
    <n v="1599.4399133746599"/>
    <m/>
    <m/>
    <m/>
    <m/>
    <m/>
    <m/>
    <n v="-6495.9394758363396"/>
    <n v="20591"/>
    <s v="DBE"/>
  </r>
  <r>
    <x v="23"/>
    <x v="17"/>
    <n v="11482"/>
    <n v="0"/>
    <n v="11482"/>
    <s v="NA"/>
    <s v="NA"/>
    <n v="1040.0839842533801"/>
    <n v="12019.9108292329"/>
    <n v="4773.1139573240598"/>
    <m/>
    <m/>
    <m/>
    <m/>
    <m/>
    <m/>
    <n v="-19873.6315829429"/>
    <n v="49189"/>
    <s v="DBE"/>
  </r>
  <r>
    <x v="23"/>
    <x v="18"/>
    <n v="4304"/>
    <n v="47"/>
    <n v="4351"/>
    <s v="NA"/>
    <s v="NA"/>
    <n v="2.5568998343099998"/>
    <n v="3979.0510358432598"/>
    <n v="4037.0192270827802"/>
    <m/>
    <m/>
    <m/>
    <m/>
    <m/>
    <m/>
    <n v="-15065.9999607467"/>
    <n v="27436"/>
    <s v="DBE"/>
  </r>
  <r>
    <x v="23"/>
    <x v="19"/>
    <n v="2763"/>
    <n v="0"/>
    <n v="2763"/>
    <s v="NA"/>
    <s v="NA"/>
    <n v="493.46429492592102"/>
    <n v="37093.827255316697"/>
    <n v="6867.7331822918904"/>
    <m/>
    <m/>
    <m/>
    <m/>
    <m/>
    <m/>
    <n v="-18524.6489784066"/>
    <n v="65743"/>
    <s v="DBE"/>
  </r>
  <r>
    <x v="23"/>
    <x v="20"/>
    <n v="9218"/>
    <n v="275"/>
    <n v="9493"/>
    <s v="NA"/>
    <s v="NA"/>
    <n v="736.72717549221795"/>
    <n v="16233.6445558306"/>
    <n v="7194.6038644760301"/>
    <m/>
    <m/>
    <m/>
    <m/>
    <m/>
    <m/>
    <n v="-20156.223430083399"/>
    <n v="53814"/>
    <s v="DBE"/>
  </r>
  <r>
    <x v="23"/>
    <x v="21"/>
    <n v="7331"/>
    <n v="0"/>
    <n v="7331"/>
    <s v="NA"/>
    <s v="NA"/>
    <n v="0.61138250289212104"/>
    <n v="3524.7235792769802"/>
    <n v="1070.50225850519"/>
    <m/>
    <m/>
    <m/>
    <m/>
    <m/>
    <m/>
    <n v="-2223.0996126550299"/>
    <n v="14150"/>
    <s v="DBE"/>
  </r>
  <r>
    <x v="23"/>
    <x v="22"/>
    <n v="5860"/>
    <n v="25"/>
    <n v="5885"/>
    <s v="NA"/>
    <s v="NA"/>
    <n v="16.640460650094099"/>
    <n v="1096.3739353805599"/>
    <n v="3789.1382167985998"/>
    <m/>
    <m/>
    <m/>
    <m/>
    <m/>
    <m/>
    <n v="-7752.8537844051098"/>
    <n v="18540"/>
    <s v="DBE"/>
  </r>
  <r>
    <x v="23"/>
    <x v="23"/>
    <n v="10465"/>
    <n v="14"/>
    <n v="10479"/>
    <s v="NA"/>
    <s v="NA"/>
    <n v="8.4536570484353906"/>
    <n v="4353.4794435126796"/>
    <n v="1825.7520904529999"/>
    <m/>
    <m/>
    <m/>
    <m/>
    <m/>
    <m/>
    <n v="3354.9613005657302"/>
    <n v="16667"/>
    <s v="DBE"/>
  </r>
  <r>
    <x v="23"/>
    <x v="24"/>
    <n v="5710"/>
    <n v="0"/>
    <n v="5710"/>
    <s v="NA"/>
    <s v="NA"/>
    <n v="0.28997095392865901"/>
    <n v="1752.55582505896"/>
    <n v="3863.4879179906602"/>
    <m/>
    <m/>
    <m/>
    <m/>
    <m/>
    <m/>
    <n v="-11660.361217198901"/>
    <n v="22987"/>
    <s v="DBE"/>
  </r>
  <r>
    <x v="23"/>
    <x v="25"/>
    <n v="8750"/>
    <n v="0"/>
    <n v="8750"/>
    <s v="NA"/>
    <s v="NA"/>
    <n v="7.5843438581146598"/>
    <n v="3543.0520125533499"/>
    <n v="1348.5661849258599"/>
    <m/>
    <m/>
    <m/>
    <m/>
    <m/>
    <m/>
    <n v="-14937.836815389401"/>
    <n v="28587"/>
    <s v="DBE"/>
  </r>
  <r>
    <x v="23"/>
    <x v="26"/>
    <n v="9110"/>
    <n v="0"/>
    <n v="9110"/>
    <s v="NA"/>
    <s v="NA"/>
    <n v="826.45770477502197"/>
    <n v="21393.519540902998"/>
    <n v="4323.9702124636297"/>
    <m/>
    <m/>
    <m/>
    <m/>
    <m/>
    <m/>
    <n v="-32774.290163992198"/>
    <n v="68428"/>
    <s v="DBE"/>
  </r>
  <r>
    <x v="23"/>
    <x v="27"/>
    <n v="32720"/>
    <n v="37"/>
    <n v="32757"/>
    <s v="NA"/>
    <s v="NA"/>
    <n v="1.4074309790817601"/>
    <n v="4427.0586559187204"/>
    <n v="3385.9794517212299"/>
    <m/>
    <m/>
    <m/>
    <m/>
    <m/>
    <m/>
    <n v="11793.688282531301"/>
    <n v="40571"/>
    <s v="DBE"/>
  </r>
  <r>
    <x v="23"/>
    <x v="28"/>
    <n v="11249"/>
    <n v="14"/>
    <n v="11263"/>
    <s v="NA"/>
    <s v="NA"/>
    <n v="1.1797783021010599E-15"/>
    <n v="2641.4678377048999"/>
    <n v="3393.6508365509999"/>
    <m/>
    <m/>
    <m/>
    <m/>
    <m/>
    <m/>
    <n v="3583.9436582243202"/>
    <n v="17298"/>
    <s v="DBE"/>
  </r>
  <r>
    <x v="23"/>
    <x v="29"/>
    <n v="5930"/>
    <n v="0"/>
    <n v="5930"/>
    <s v="NA"/>
    <s v="NA"/>
    <n v="2.3520461162769499"/>
    <n v="4136.7772557716498"/>
    <n v="4538.0513314789096"/>
    <m/>
    <m/>
    <m/>
    <m/>
    <m/>
    <m/>
    <n v="-9440.6446557670006"/>
    <n v="24048"/>
    <s v="DBE"/>
  </r>
  <r>
    <x v="23"/>
    <x v="30"/>
    <n v="7703"/>
    <n v="0"/>
    <n v="7703"/>
    <s v="NA"/>
    <s v="NA"/>
    <n v="156.597958327584"/>
    <n v="13852.559907831501"/>
    <n v="597.30627703194602"/>
    <m/>
    <m/>
    <m/>
    <m/>
    <m/>
    <m/>
    <n v="-9056.8511743699"/>
    <n v="31366"/>
    <s v="DBE"/>
  </r>
  <r>
    <x v="23"/>
    <x v="31"/>
    <n v="9357"/>
    <n v="35"/>
    <n v="9392"/>
    <s v="NA"/>
    <s v="NA"/>
    <n v="39.241721579527002"/>
    <n v="27328.812500065302"/>
    <n v="23252.5638842595"/>
    <m/>
    <m/>
    <m/>
    <m/>
    <m/>
    <m/>
    <n v="-14620.107546523701"/>
    <n v="74633"/>
    <s v="DBE"/>
  </r>
  <r>
    <x v="23"/>
    <x v="32"/>
    <n v="20554"/>
    <n v="0"/>
    <n v="20554"/>
    <s v="NA"/>
    <s v="NA"/>
    <n v="0"/>
    <n v="39614.459406223701"/>
    <n v="9535.2586168471698"/>
    <m/>
    <m/>
    <m/>
    <m/>
    <m/>
    <m/>
    <n v="-26504.982408949101"/>
    <n v="96209"/>
    <s v="DBE"/>
  </r>
  <r>
    <x v="23"/>
    <x v="33"/>
    <n v="11862"/>
    <n v="36"/>
    <n v="11898"/>
    <s v="NA"/>
    <s v="NA"/>
    <n v="5.8573862251635402"/>
    <n v="12994.917882713"/>
    <n v="17507.971728081298"/>
    <m/>
    <m/>
    <m/>
    <m/>
    <m/>
    <m/>
    <n v="-6212.3505257174802"/>
    <n v="48619"/>
    <s v="DBE"/>
  </r>
  <r>
    <x v="23"/>
    <x v="34"/>
    <n v="3988"/>
    <n v="49"/>
    <n v="4037"/>
    <s v="NA"/>
    <s v="NA"/>
    <n v="66.153178770253504"/>
    <n v="23311.426467019999"/>
    <n v="2217.2319862424802"/>
    <m/>
    <m/>
    <m/>
    <m/>
    <m/>
    <m/>
    <n v="-12638.1329234927"/>
    <n v="42270"/>
    <s v="DBE"/>
  </r>
  <r>
    <x v="23"/>
    <x v="35"/>
    <n v="27102"/>
    <n v="5"/>
    <n v="27107"/>
    <s v="NA"/>
    <s v="NA"/>
    <n v="0"/>
    <n v="20485.9346657682"/>
    <n v="2804.3593135203"/>
    <m/>
    <m/>
    <m/>
    <m/>
    <m/>
    <m/>
    <n v="5376.8781077276499"/>
    <n v="50397"/>
    <s v="DBE"/>
  </r>
  <r>
    <x v="23"/>
    <x v="36"/>
    <n v="16633"/>
    <n v="238"/>
    <n v="16871"/>
    <s v="NA"/>
    <s v="NA"/>
    <n v="0"/>
    <n v="8989.4788548791403"/>
    <n v="4844.5417547396301"/>
    <m/>
    <m/>
    <m/>
    <m/>
    <m/>
    <m/>
    <n v="-14947.153048427899"/>
    <n v="45652"/>
    <s v="DBE"/>
  </r>
  <r>
    <x v="23"/>
    <x v="37"/>
    <n v="6024"/>
    <n v="96"/>
    <n v="6120"/>
    <s v="NA"/>
    <s v="NA"/>
    <n v="0"/>
    <n v="1555.8475374561799"/>
    <n v="2230.17855266164"/>
    <m/>
    <m/>
    <m/>
    <m/>
    <m/>
    <m/>
    <n v="2950.4131701753399"/>
    <n v="9906"/>
    <s v="DBE"/>
  </r>
  <r>
    <x v="23"/>
    <x v="38"/>
    <n v="1598"/>
    <n v="22"/>
    <n v="1620"/>
    <s v="NA"/>
    <s v="NA"/>
    <n v="0"/>
    <n v="2202.5389180737102"/>
    <n v="346.89823638189802"/>
    <m/>
    <m/>
    <m/>
    <m/>
    <m/>
    <m/>
    <n v="928.00433409220204"/>
    <n v="4169"/>
    <s v="DBE"/>
  </r>
  <r>
    <x v="23"/>
    <x v="39"/>
    <n v="11021"/>
    <n v="0"/>
    <n v="11021"/>
    <s v="NA"/>
    <s v="NA"/>
    <n v="0"/>
    <n v="35347.397249011497"/>
    <n v="2764.9735116578599"/>
    <m/>
    <m/>
    <m/>
    <m/>
    <m/>
    <m/>
    <n v="-26336.300911153401"/>
    <n v="75470"/>
    <s v="DBE"/>
  </r>
  <r>
    <x v="23"/>
    <x v="40"/>
    <n v="4977"/>
    <n v="41"/>
    <n v="5018"/>
    <s v="NA"/>
    <s v="NA"/>
    <n v="0"/>
    <n v="3605.9231969704001"/>
    <n v="1300.14134077111"/>
    <m/>
    <m/>
    <m/>
    <m/>
    <m/>
    <m/>
    <n v="-7477.2582203013899"/>
    <n v="17401"/>
    <s v="DBE"/>
  </r>
  <r>
    <x v="23"/>
    <x v="41"/>
    <n v="1132"/>
    <n v="7"/>
    <n v="1139"/>
    <s v="NA"/>
    <s v="NA"/>
    <m/>
    <n v="4696.7526463826098"/>
    <n v="356.87733504229197"/>
    <m/>
    <m/>
    <m/>
    <m/>
    <m/>
    <m/>
    <n v="321.54249375857802"/>
    <n v="6193"/>
    <s v="DBE"/>
  </r>
  <r>
    <x v="23"/>
    <x v="42"/>
    <n v="2076"/>
    <n v="37"/>
    <n v="2113"/>
    <s v="NA"/>
    <s v="NA"/>
    <m/>
    <n v="7739.1030203069304"/>
    <n v="228.73304054737801"/>
    <m/>
    <m/>
    <m/>
    <m/>
    <m/>
    <m/>
    <n v="-1964.3765306290099"/>
    <n v="12045"/>
    <s v="DBE"/>
  </r>
  <r>
    <x v="23"/>
    <x v="43"/>
    <n v="8437"/>
    <n v="0"/>
    <n v="8437"/>
    <s v="NA"/>
    <s v="NA"/>
    <m/>
    <n v="11588.254131084501"/>
    <n v="1692.59845095888"/>
    <m/>
    <m/>
    <m/>
    <m/>
    <m/>
    <m/>
    <n v="-7507.8051355795196"/>
    <n v="29226"/>
    <s v="DBE"/>
  </r>
  <r>
    <x v="23"/>
    <x v="44"/>
    <n v="15507"/>
    <n v="83"/>
    <n v="15590"/>
    <s v="NA"/>
    <s v="NA"/>
    <m/>
    <n v="37905.164502838103"/>
    <n v="2842.9148048172001"/>
    <m/>
    <m/>
    <m/>
    <m/>
    <m/>
    <m/>
    <n v="-7433.9952861387601"/>
    <n v="63772"/>
    <s v="DBE"/>
  </r>
  <r>
    <x v="23"/>
    <x v="45"/>
    <n v="107"/>
    <n v="568"/>
    <n v="675"/>
    <s v="NA"/>
    <s v="NA"/>
    <m/>
    <n v="1020.44247806993"/>
    <n v="18.796500593828899"/>
    <m/>
    <m/>
    <m/>
    <m/>
    <m/>
    <m/>
    <n v="616.09103890439303"/>
    <n v="1714"/>
    <s v="DBE"/>
  </r>
  <r>
    <x v="23"/>
    <x v="46"/>
    <n v="355"/>
    <n v="0"/>
    <n v="355"/>
    <s v="NA"/>
    <s v="NA"/>
    <m/>
    <n v="4036.4342192208901"/>
    <n v="44.535428758627901"/>
    <m/>
    <m/>
    <m/>
    <m/>
    <m/>
    <m/>
    <n v="-1307.88492970935"/>
    <n v="5744"/>
    <s v="DBE"/>
  </r>
  <r>
    <x v="23"/>
    <x v="47"/>
    <n v="4090"/>
    <n v="0"/>
    <n v="4090"/>
    <s v="NA"/>
    <s v="NA"/>
    <m/>
    <n v="24228"/>
    <n v="872"/>
    <m/>
    <m/>
    <m/>
    <m/>
    <m/>
    <m/>
    <m/>
    <n v="29190"/>
    <s v="NA"/>
  </r>
  <r>
    <x v="23"/>
    <x v="48"/>
    <n v="4005"/>
    <n v="122"/>
    <n v="4127"/>
    <s v="NA"/>
    <s v="NA"/>
    <m/>
    <n v="10531"/>
    <n v="945"/>
    <m/>
    <m/>
    <m/>
    <m/>
    <m/>
    <m/>
    <m/>
    <n v="15603"/>
    <s v="RSA"/>
  </r>
  <r>
    <x v="23"/>
    <x v="49"/>
    <n v="140"/>
    <n v="103"/>
    <n v="243"/>
    <s v="NA"/>
    <s v="NA"/>
    <m/>
    <n v="698"/>
    <n v="62"/>
    <m/>
    <m/>
    <m/>
    <m/>
    <m/>
    <m/>
    <m/>
    <n v="1003"/>
    <s v="NA"/>
  </r>
  <r>
    <x v="23"/>
    <x v="50"/>
    <n v="201"/>
    <n v="4"/>
    <n v="205"/>
    <s v="NA"/>
    <s v="NA"/>
    <m/>
    <n v="846.00000000000102"/>
    <n v="7"/>
    <m/>
    <m/>
    <m/>
    <m/>
    <m/>
    <m/>
    <m/>
    <n v="1058"/>
    <s v="NA"/>
  </r>
  <r>
    <x v="23"/>
    <x v="51"/>
    <n v="1931"/>
    <n v="0"/>
    <n v="1931"/>
    <s v="NA"/>
    <s v="NA"/>
    <m/>
    <n v="11434"/>
    <n v="1481"/>
    <m/>
    <m/>
    <m/>
    <m/>
    <m/>
    <m/>
    <m/>
    <n v="14846"/>
    <s v="NA"/>
  </r>
  <r>
    <x v="23"/>
    <x v="52"/>
    <n v="1293"/>
    <n v="7"/>
    <n v="1300"/>
    <s v="NA"/>
    <s v="NA"/>
    <m/>
    <n v="13734"/>
    <n v="181"/>
    <m/>
    <m/>
    <m/>
    <m/>
    <m/>
    <m/>
    <m/>
    <n v="15215"/>
    <s v="NA"/>
  </r>
  <r>
    <x v="23"/>
    <x v="53"/>
    <n v="9"/>
    <n v="0"/>
    <n v="9"/>
    <s v="NA"/>
    <s v="NA"/>
    <m/>
    <n v="32.813377926421403"/>
    <n v="3"/>
    <m/>
    <m/>
    <m/>
    <m/>
    <m/>
    <m/>
    <m/>
    <n v="45"/>
    <s v="NA"/>
  </r>
  <r>
    <x v="23"/>
    <x v="54"/>
    <n v="52"/>
    <n v="0"/>
    <n v="52"/>
    <s v="NA"/>
    <s v="NA"/>
    <m/>
    <n v="197"/>
    <n v="6"/>
    <m/>
    <m/>
    <m/>
    <m/>
    <m/>
    <m/>
    <m/>
    <n v="255"/>
    <s v="NA"/>
  </r>
  <r>
    <x v="23"/>
    <x v="55"/>
    <n v="954"/>
    <n v="0"/>
    <n v="954"/>
    <s v="NA"/>
    <s v="NA"/>
    <m/>
    <n v="2570.3929575735301"/>
    <n v="131"/>
    <m/>
    <m/>
    <m/>
    <m/>
    <m/>
    <m/>
    <m/>
    <n v="3655"/>
    <s v="NA"/>
  </r>
  <r>
    <x v="23"/>
    <x v="56"/>
    <n v="916"/>
    <n v="4"/>
    <n v="920"/>
    <s v="NA"/>
    <s v="NA"/>
    <m/>
    <n v="4852.5169400582599"/>
    <n v="105.779549287138"/>
    <m/>
    <m/>
    <m/>
    <m/>
    <m/>
    <m/>
    <m/>
    <n v="5878"/>
    <s v="NA"/>
  </r>
  <r>
    <x v="23"/>
    <x v="57"/>
    <n v="0"/>
    <n v="0"/>
    <n v="0"/>
    <s v="NA"/>
    <s v="NA"/>
    <m/>
    <m/>
    <m/>
    <m/>
    <m/>
    <m/>
    <m/>
    <m/>
    <m/>
    <m/>
    <n v="0"/>
    <s v="NA"/>
  </r>
  <r>
    <x v="23"/>
    <x v="58"/>
    <n v="0"/>
    <n v="0"/>
    <n v="0"/>
    <s v="NA"/>
    <s v="NA"/>
    <m/>
    <m/>
    <m/>
    <m/>
    <m/>
    <m/>
    <m/>
    <m/>
    <m/>
    <m/>
    <n v="0"/>
    <s v="NA"/>
  </r>
  <r>
    <x v="23"/>
    <x v="59"/>
    <n v="146"/>
    <n v="0"/>
    <n v="146"/>
    <s v="NA"/>
    <s v="NA"/>
    <m/>
    <n v="420.180125760446"/>
    <n v="31.301784560322101"/>
    <m/>
    <m/>
    <m/>
    <m/>
    <m/>
    <m/>
    <m/>
    <n v="597"/>
    <s v="RSA"/>
  </r>
  <r>
    <x v="23"/>
    <x v="60"/>
    <n v="436"/>
    <n v="3"/>
    <n v="439"/>
    <s v="NA"/>
    <s v="NA"/>
    <m/>
    <n v="413.47020581317003"/>
    <n v="28.592599584670602"/>
    <m/>
    <m/>
    <m/>
    <m/>
    <m/>
    <m/>
    <m/>
    <n v="881"/>
    <s v="NA"/>
  </r>
  <r>
    <x v="23"/>
    <x v="61"/>
    <n v="0"/>
    <n v="0"/>
    <n v="0"/>
    <s v="NA"/>
    <s v="NA"/>
    <m/>
    <m/>
    <m/>
    <m/>
    <m/>
    <m/>
    <m/>
    <m/>
    <m/>
    <m/>
    <n v="0"/>
    <s v="NA"/>
  </r>
  <r>
    <x v="23"/>
    <x v="62"/>
    <n v="0"/>
    <n v="0"/>
    <n v="0"/>
    <s v="NA"/>
    <s v="NA"/>
    <m/>
    <m/>
    <m/>
    <m/>
    <m/>
    <m/>
    <m/>
    <m/>
    <m/>
    <m/>
    <n v="0"/>
    <s v="NA"/>
  </r>
  <r>
    <x v="23"/>
    <x v="63"/>
    <n v="0"/>
    <n v="0"/>
    <n v="0"/>
    <s v="NA"/>
    <s v="NA"/>
    <m/>
    <m/>
    <m/>
    <m/>
    <m/>
    <m/>
    <m/>
    <m/>
    <m/>
    <m/>
    <n v="0"/>
    <s v="RSA"/>
  </r>
  <r>
    <x v="23"/>
    <x v="64"/>
    <n v="27"/>
    <n v="0"/>
    <n v="27"/>
    <s v="NA"/>
    <s v="NA"/>
    <m/>
    <n v="1061"/>
    <m/>
    <m/>
    <m/>
    <m/>
    <m/>
    <m/>
    <m/>
    <m/>
    <n v="1088"/>
    <s v="NA"/>
  </r>
  <r>
    <x v="23"/>
    <x v="65"/>
    <n v="5"/>
    <n v="0"/>
    <n v="5"/>
    <s v="NA"/>
    <s v="NA"/>
    <m/>
    <n v="33.4158415841584"/>
    <n v="0.48090523338048102"/>
    <m/>
    <m/>
    <m/>
    <m/>
    <m/>
    <m/>
    <m/>
    <n v="39"/>
    <s v="NA"/>
  </r>
  <r>
    <x v="23"/>
    <x v="66"/>
    <n v="0"/>
    <n v="0"/>
    <n v="0"/>
    <s v="NA"/>
    <s v="NA"/>
    <m/>
    <m/>
    <m/>
    <m/>
    <m/>
    <m/>
    <m/>
    <m/>
    <m/>
    <m/>
    <n v="0"/>
    <s v="NA"/>
  </r>
  <r>
    <x v="23"/>
    <x v="67"/>
    <n v="0"/>
    <n v="0"/>
    <n v="0"/>
    <s v="NA"/>
    <s v="NA"/>
    <m/>
    <m/>
    <m/>
    <m/>
    <m/>
    <m/>
    <m/>
    <m/>
    <m/>
    <m/>
    <n v="0"/>
    <s v="NA"/>
  </r>
  <r>
    <x v="23"/>
    <x v="68"/>
    <n v="0"/>
    <n v="0"/>
    <n v="0"/>
    <s v="NA"/>
    <s v="NA"/>
    <m/>
    <m/>
    <m/>
    <m/>
    <m/>
    <m/>
    <m/>
    <m/>
    <m/>
    <m/>
    <n v="0"/>
    <s v="RSA"/>
  </r>
  <r>
    <x v="23"/>
    <x v="69"/>
    <n v="0"/>
    <n v="0"/>
    <n v="0"/>
    <s v="NA"/>
    <s v="NA"/>
    <m/>
    <m/>
    <m/>
    <m/>
    <m/>
    <m/>
    <m/>
    <m/>
    <m/>
    <m/>
    <n v="0"/>
    <s v="NA"/>
  </r>
  <r>
    <x v="23"/>
    <x v="70"/>
    <n v="0"/>
    <n v="0"/>
    <n v="0"/>
    <s v="NA"/>
    <s v="NA"/>
    <m/>
    <m/>
    <m/>
    <m/>
    <m/>
    <m/>
    <m/>
    <m/>
    <m/>
    <m/>
    <n v="0"/>
    <s v="NA"/>
  </r>
  <r>
    <x v="23"/>
    <x v="71"/>
    <n v="0"/>
    <n v="0"/>
    <n v="0"/>
    <s v="NA"/>
    <s v="NA"/>
    <m/>
    <m/>
    <m/>
    <m/>
    <m/>
    <m/>
    <m/>
    <m/>
    <m/>
    <m/>
    <n v="0"/>
    <s v="NA"/>
  </r>
  <r>
    <x v="24"/>
    <x v="0"/>
    <n v="21593"/>
    <n v="0"/>
    <n v="21593"/>
    <s v="NA"/>
    <s v="NA"/>
    <n v="0"/>
    <n v="503.51649124399199"/>
    <m/>
    <m/>
    <n v="4830"/>
    <n v="5775"/>
    <m/>
    <m/>
    <m/>
    <n v="-15303.789748601699"/>
    <n v="32702"/>
    <s v="RSA"/>
  </r>
  <r>
    <x v="24"/>
    <x v="1"/>
    <n v="29689"/>
    <n v="0"/>
    <n v="29689"/>
    <s v="NA"/>
    <s v="NA"/>
    <n v="0"/>
    <n v="1221.2095922600199"/>
    <m/>
    <m/>
    <n v="1972"/>
    <n v="7771"/>
    <m/>
    <m/>
    <m/>
    <n v="2460.7962258002099"/>
    <n v="40653"/>
    <s v="RSA"/>
  </r>
  <r>
    <x v="24"/>
    <x v="2"/>
    <n v="19441"/>
    <n v="0"/>
    <n v="19441"/>
    <s v="NA"/>
    <s v="NA"/>
    <n v="497.384808050662"/>
    <n v="294.70187903845198"/>
    <m/>
    <m/>
    <n v="1330"/>
    <n v="5832"/>
    <m/>
    <m/>
    <m/>
    <n v="1300.1635379730401"/>
    <n v="27395"/>
    <s v="RSA"/>
  </r>
  <r>
    <x v="24"/>
    <x v="3"/>
    <n v="6783"/>
    <n v="0"/>
    <n v="6783"/>
    <s v="NA"/>
    <s v="NA"/>
    <n v="0"/>
    <n v="165.477668088298"/>
    <m/>
    <m/>
    <n v="536"/>
    <n v="3392"/>
    <m/>
    <m/>
    <m/>
    <n v="-2027.17248532177"/>
    <n v="10876"/>
    <s v="RSA"/>
  </r>
  <r>
    <x v="24"/>
    <x v="4"/>
    <n v="3507"/>
    <n v="0"/>
    <n v="3507"/>
    <s v="NA"/>
    <s v="NA"/>
    <n v="211.95778265999999"/>
    <n v="66.095194898529002"/>
    <m/>
    <m/>
    <n v="507"/>
    <n v="1052"/>
    <m/>
    <m/>
    <m/>
    <n v="-2665.0242535269999"/>
    <n v="5344"/>
    <s v="RSA"/>
  </r>
  <r>
    <x v="24"/>
    <x v="5"/>
    <n v="13949"/>
    <n v="0"/>
    <n v="13949"/>
    <s v="NA"/>
    <s v="NA"/>
    <n v="0"/>
    <n v="7646.7024117006204"/>
    <m/>
    <m/>
    <n v="2015"/>
    <n v="4185"/>
    <m/>
    <m/>
    <m/>
    <n v="-9441.5215589917407"/>
    <n v="27796"/>
    <s v="RSA"/>
  </r>
  <r>
    <x v="24"/>
    <x v="6"/>
    <n v="34159"/>
    <n v="0"/>
    <n v="34159"/>
    <s v="NA"/>
    <s v="NA"/>
    <n v="448.64019285299997"/>
    <n v="820.13252493233006"/>
    <m/>
    <m/>
    <n v="2400"/>
    <n v="11441"/>
    <m/>
    <m/>
    <m/>
    <n v="-51702.219975509601"/>
    <n v="49269"/>
    <s v="RSA"/>
  </r>
  <r>
    <x v="24"/>
    <x v="7"/>
    <n v="58241"/>
    <n v="0"/>
    <n v="58241"/>
    <s v="NA"/>
    <s v="NA"/>
    <n v="625.89057025809996"/>
    <n v="4053.1635534757602"/>
    <m/>
    <m/>
    <n v="3710"/>
    <n v="12241"/>
    <m/>
    <m/>
    <m/>
    <n v="555.44632073799801"/>
    <n v="78871"/>
    <s v="RSA"/>
  </r>
  <r>
    <x v="24"/>
    <x v="8"/>
    <n v="38478"/>
    <n v="0"/>
    <n v="38478"/>
    <s v="NA"/>
    <s v="NA"/>
    <n v="0"/>
    <n v="6093.3621275496698"/>
    <m/>
    <m/>
    <n v="4872"/>
    <n v="5368"/>
    <m/>
    <m/>
    <m/>
    <n v="-52806.4077628901"/>
    <n v="54811"/>
    <s v="RSA"/>
  </r>
  <r>
    <x v="24"/>
    <x v="9"/>
    <n v="36496"/>
    <n v="11"/>
    <n v="36507"/>
    <s v="NA"/>
    <s v="NA"/>
    <n v="0"/>
    <n v="19575.386871268998"/>
    <m/>
    <m/>
    <n v="4823"/>
    <n v="6909"/>
    <m/>
    <n v="1"/>
    <n v="2"/>
    <n v="-13078.348717242699"/>
    <n v="67817"/>
    <s v="RSA"/>
  </r>
  <r>
    <x v="24"/>
    <x v="10"/>
    <n v="59247"/>
    <n v="32"/>
    <n v="59279"/>
    <s v="NA"/>
    <s v="NA"/>
    <n v="0"/>
    <n v="6871.8510429773096"/>
    <m/>
    <m/>
    <m/>
    <n v="11076"/>
    <m/>
    <m/>
    <n v="6"/>
    <n v="-137278.24429123499"/>
    <n v="77233"/>
    <s v="RSA"/>
  </r>
  <r>
    <x v="24"/>
    <x v="11"/>
    <n v="78038"/>
    <n v="0"/>
    <n v="78038"/>
    <s v="NA"/>
    <s v="NA"/>
    <n v="1.918594014218"/>
    <n v="6131.9724580231896"/>
    <m/>
    <m/>
    <m/>
    <m/>
    <m/>
    <m/>
    <m/>
    <n v="-28990.239215275"/>
    <n v="84172"/>
    <s v="RSA"/>
  </r>
  <r>
    <x v="24"/>
    <x v="12"/>
    <n v="55997"/>
    <n v="9"/>
    <n v="56006"/>
    <s v="NA"/>
    <s v="NA"/>
    <n v="1.7409834494379499"/>
    <n v="9780.6479454423807"/>
    <m/>
    <m/>
    <m/>
    <m/>
    <m/>
    <m/>
    <m/>
    <n v="32368.174571660398"/>
    <n v="65788"/>
    <s v="RSA"/>
  </r>
  <r>
    <x v="24"/>
    <x v="13"/>
    <n v="16818"/>
    <n v="0"/>
    <n v="16818"/>
    <s v="NA"/>
    <s v="NA"/>
    <n v="0"/>
    <n v="2287.7911052894601"/>
    <m/>
    <m/>
    <m/>
    <m/>
    <m/>
    <m/>
    <m/>
    <n v="-16500.737293600399"/>
    <n v="19106"/>
    <s v="RSA"/>
  </r>
  <r>
    <x v="24"/>
    <x v="14"/>
    <n v="31034"/>
    <n v="8"/>
    <n v="31042"/>
    <s v="NA"/>
    <s v="NA"/>
    <n v="2.1348696070172402"/>
    <n v="1565.22508655096"/>
    <m/>
    <m/>
    <m/>
    <m/>
    <m/>
    <m/>
    <m/>
    <n v="1523.7748099573901"/>
    <n v="32609"/>
    <s v="RSA"/>
  </r>
  <r>
    <x v="24"/>
    <x v="15"/>
    <n v="16921"/>
    <n v="0"/>
    <n v="16921"/>
    <s v="NA"/>
    <s v="NA"/>
    <n v="1.03229999999"/>
    <n v="2844.178682066"/>
    <m/>
    <m/>
    <m/>
    <m/>
    <m/>
    <m/>
    <m/>
    <n v="494.35882539253402"/>
    <n v="19766"/>
    <s v="DBE"/>
  </r>
  <r>
    <x v="24"/>
    <x v="16"/>
    <n v="41829"/>
    <n v="9"/>
    <n v="41838"/>
    <s v="NA"/>
    <s v="NA"/>
    <n v="3406.2713079199998"/>
    <n v="2357.2165874359998"/>
    <m/>
    <m/>
    <m/>
    <m/>
    <m/>
    <m/>
    <m/>
    <n v="18711.846234744098"/>
    <n v="47601"/>
    <s v="DBE"/>
  </r>
  <r>
    <x v="24"/>
    <x v="17"/>
    <n v="38816"/>
    <n v="0"/>
    <n v="38816"/>
    <s v="NA"/>
    <s v="NA"/>
    <n v="450.27737648361301"/>
    <n v="20203.763915132698"/>
    <m/>
    <m/>
    <m/>
    <m/>
    <m/>
    <m/>
    <m/>
    <n v="-59937.020371644998"/>
    <n v="119407"/>
    <s v="DBE"/>
  </r>
  <r>
    <x v="24"/>
    <x v="18"/>
    <n v="62047"/>
    <n v="15"/>
    <n v="62062"/>
    <s v="NA"/>
    <s v="NA"/>
    <n v="6270.3477376729998"/>
    <n v="11970.558791649701"/>
    <m/>
    <m/>
    <m/>
    <m/>
    <m/>
    <m/>
    <m/>
    <n v="-24098.448546512202"/>
    <n v="104401"/>
    <s v="DBE"/>
  </r>
  <r>
    <x v="24"/>
    <x v="19"/>
    <n v="60942"/>
    <n v="0"/>
    <n v="60942"/>
    <s v="NA"/>
    <s v="NA"/>
    <n v="587.08523824653298"/>
    <n v="94475.049435976107"/>
    <m/>
    <m/>
    <m/>
    <m/>
    <m/>
    <m/>
    <m/>
    <n v="-87837.933771374999"/>
    <n v="243842"/>
    <s v="DBE"/>
  </r>
  <r>
    <x v="24"/>
    <x v="20"/>
    <n v="78229"/>
    <n v="15"/>
    <n v="78244"/>
    <s v="NA"/>
    <s v="NA"/>
    <n v="1672.68982281733"/>
    <n v="42285.205179215904"/>
    <m/>
    <m/>
    <m/>
    <m/>
    <m/>
    <m/>
    <m/>
    <n v="2616.60380510202"/>
    <n v="122202"/>
    <s v="DBE"/>
  </r>
  <r>
    <x v="24"/>
    <x v="21"/>
    <n v="90280"/>
    <n v="0"/>
    <n v="90280"/>
    <s v="NA"/>
    <s v="NA"/>
    <n v="4.5467865941270702"/>
    <n v="28625.535987772801"/>
    <m/>
    <m/>
    <m/>
    <m/>
    <m/>
    <m/>
    <m/>
    <n v="1.3795975100947501E-3"/>
    <n v="118910"/>
    <s v="DBE"/>
  </r>
  <r>
    <x v="24"/>
    <x v="22"/>
    <n v="131481"/>
    <n v="19"/>
    <n v="131500"/>
    <s v="NA"/>
    <s v="NA"/>
    <n v="211.68747814318499"/>
    <n v="9206.2676521213907"/>
    <m/>
    <m/>
    <m/>
    <m/>
    <m/>
    <m/>
    <m/>
    <n v="19"/>
    <n v="140918"/>
    <s v="DBE"/>
  </r>
  <r>
    <x v="24"/>
    <x v="23"/>
    <n v="42638"/>
    <n v="11"/>
    <n v="42649"/>
    <s v="NA"/>
    <s v="NA"/>
    <n v="19.612482759414299"/>
    <n v="11988.851565209699"/>
    <m/>
    <m/>
    <m/>
    <m/>
    <m/>
    <m/>
    <m/>
    <n v="11.4935312895468"/>
    <n v="54657"/>
    <s v="DBE"/>
  </r>
  <r>
    <x v="24"/>
    <x v="24"/>
    <n v="35961"/>
    <n v="16"/>
    <n v="35977"/>
    <s v="NA"/>
    <s v="NA"/>
    <n v="0.77918229253314797"/>
    <n v="2618.2745473168102"/>
    <m/>
    <m/>
    <m/>
    <m/>
    <m/>
    <m/>
    <m/>
    <n v="15.509020450597699"/>
    <n v="38596"/>
    <s v="DBE"/>
  </r>
  <r>
    <x v="24"/>
    <x v="25"/>
    <n v="76888"/>
    <n v="0"/>
    <n v="76888"/>
    <s v="NA"/>
    <s v="NA"/>
    <n v="107.912133059461"/>
    <n v="11505.983834951199"/>
    <m/>
    <m/>
    <m/>
    <m/>
    <m/>
    <m/>
    <m/>
    <n v="-5.8207660913467401E-11"/>
    <n v="88502"/>
    <s v="DBE"/>
  </r>
  <r>
    <x v="24"/>
    <x v="26"/>
    <n v="35798"/>
    <n v="32"/>
    <n v="35830"/>
    <s v="NA"/>
    <s v="NA"/>
    <n v="1287.21797312493"/>
    <n v="30718.429008944899"/>
    <m/>
    <m/>
    <m/>
    <m/>
    <m/>
    <m/>
    <m/>
    <n v="39.341383365426701"/>
    <n v="67836"/>
    <s v="DBE"/>
  </r>
  <r>
    <x v="24"/>
    <x v="27"/>
    <n v="50081"/>
    <n v="5"/>
    <n v="50086"/>
    <s v="NA"/>
    <s v="NA"/>
    <n v="1.55251018520512"/>
    <n v="7970.73006543273"/>
    <m/>
    <m/>
    <m/>
    <m/>
    <m/>
    <m/>
    <m/>
    <n v="14721"/>
    <n v="58058"/>
    <s v="DBE"/>
  </r>
  <r>
    <x v="24"/>
    <x v="28"/>
    <n v="5500"/>
    <n v="0"/>
    <n v="5500"/>
    <s v="NA"/>
    <s v="NA"/>
    <n v="1.2176688916055301E-14"/>
    <n v="1260.09930601058"/>
    <n v="356.73000899697399"/>
    <m/>
    <m/>
    <m/>
    <m/>
    <m/>
    <m/>
    <n v="356.73000899697502"/>
    <n v="7117"/>
    <s v="DBE"/>
  </r>
  <r>
    <x v="24"/>
    <x v="29"/>
    <n v="9500"/>
    <n v="1"/>
    <n v="9501"/>
    <s v="NA"/>
    <s v="NA"/>
    <n v="0.76812030336321002"/>
    <n v="2849.5289970296399"/>
    <m/>
    <m/>
    <m/>
    <m/>
    <m/>
    <m/>
    <m/>
    <n v="0.99999999999636202"/>
    <n v="12351"/>
    <s v="DBE"/>
  </r>
  <r>
    <x v="24"/>
    <x v="30"/>
    <n v="22835"/>
    <n v="15"/>
    <n v="22850"/>
    <s v="NA"/>
    <s v="NA"/>
    <n v="10.9628918054877"/>
    <n v="46609.208566546004"/>
    <m/>
    <m/>
    <m/>
    <m/>
    <m/>
    <m/>
    <m/>
    <n v="15.0000000000146"/>
    <n v="69470"/>
    <s v="DBE"/>
  </r>
  <r>
    <x v="24"/>
    <x v="31"/>
    <n v="9129"/>
    <n v="6"/>
    <n v="9135"/>
    <s v="NA"/>
    <s v="NA"/>
    <n v="8.6539170200416091"/>
    <n v="1594.51007349729"/>
    <m/>
    <m/>
    <m/>
    <m/>
    <m/>
    <m/>
    <m/>
    <n v="5.9999999999963602"/>
    <n v="10738"/>
    <s v="DBE"/>
  </r>
  <r>
    <x v="24"/>
    <x v="32"/>
    <n v="22500"/>
    <n v="0"/>
    <n v="22500"/>
    <s v="NA"/>
    <s v="NA"/>
    <n v="0"/>
    <n v="18348.577980500399"/>
    <m/>
    <m/>
    <m/>
    <m/>
    <m/>
    <m/>
    <m/>
    <n v="-1.45519152283669E-11"/>
    <n v="40849"/>
    <s v="DBE"/>
  </r>
  <r>
    <x v="24"/>
    <x v="33"/>
    <n v="12202"/>
    <n v="5"/>
    <n v="12207"/>
    <s v="NA"/>
    <s v="NA"/>
    <n v="0"/>
    <n v="12842.293963448499"/>
    <m/>
    <m/>
    <m/>
    <m/>
    <m/>
    <m/>
    <m/>
    <n v="5.0000000000036398"/>
    <n v="25049"/>
    <s v="DBE"/>
  </r>
  <r>
    <x v="24"/>
    <x v="34"/>
    <n v="16037"/>
    <n v="0"/>
    <n v="16037"/>
    <s v="NA"/>
    <s v="NA"/>
    <n v="111.202141185572"/>
    <n v="47148.290734974602"/>
    <m/>
    <m/>
    <m/>
    <m/>
    <m/>
    <m/>
    <m/>
    <n v="3.6379788070917101E-12"/>
    <n v="63296"/>
    <s v="DBE"/>
  </r>
  <r>
    <x v="24"/>
    <x v="35"/>
    <n v="37747"/>
    <n v="22"/>
    <n v="37769"/>
    <s v="NA"/>
    <s v="NA"/>
    <n v="0"/>
    <n v="31116.325866973399"/>
    <m/>
    <m/>
    <m/>
    <m/>
    <m/>
    <m/>
    <m/>
    <n v="22.000000000007301"/>
    <n v="68885"/>
    <s v="DBE"/>
  </r>
  <r>
    <x v="24"/>
    <x v="36"/>
    <n v="13637"/>
    <n v="25"/>
    <n v="13662"/>
    <s v="NA"/>
    <s v="NA"/>
    <n v="0"/>
    <n v="13798.776316891601"/>
    <m/>
    <m/>
    <m/>
    <m/>
    <m/>
    <m/>
    <m/>
    <n v="24.999999999990902"/>
    <n v="27461"/>
    <s v="DBE"/>
  </r>
  <r>
    <x v="24"/>
    <x v="37"/>
    <n v="29177"/>
    <n v="18"/>
    <n v="29195"/>
    <s v="NA"/>
    <s v="NA"/>
    <n v="0"/>
    <n v="6944.7719364418599"/>
    <m/>
    <m/>
    <m/>
    <m/>
    <m/>
    <m/>
    <m/>
    <n v="17.999999999992699"/>
    <n v="36140"/>
    <s v="DBE"/>
  </r>
  <r>
    <x v="24"/>
    <x v="38"/>
    <n v="3560"/>
    <n v="14"/>
    <n v="3574"/>
    <s v="NA"/>
    <s v="NA"/>
    <n v="0"/>
    <n v="2528.6689896776902"/>
    <m/>
    <m/>
    <m/>
    <m/>
    <m/>
    <m/>
    <m/>
    <n v="14.000000000000499"/>
    <n v="6103"/>
    <s v="DBE"/>
  </r>
  <r>
    <x v="24"/>
    <x v="39"/>
    <n v="15797"/>
    <n v="0"/>
    <n v="15797"/>
    <s v="NA"/>
    <s v="NA"/>
    <n v="0"/>
    <n v="30620.290081495099"/>
    <m/>
    <m/>
    <m/>
    <m/>
    <m/>
    <m/>
    <m/>
    <n v="0"/>
    <n v="46417"/>
    <s v="DBE"/>
  </r>
  <r>
    <x v="24"/>
    <x v="40"/>
    <n v="16852"/>
    <n v="6"/>
    <n v="16858"/>
    <s v="NA"/>
    <s v="NA"/>
    <n v="0"/>
    <n v="11336.646792179799"/>
    <m/>
    <m/>
    <m/>
    <m/>
    <m/>
    <m/>
    <m/>
    <n v="5.9999999999963602"/>
    <n v="28195"/>
    <s v="DBE"/>
  </r>
  <r>
    <x v="24"/>
    <x v="41"/>
    <n v="8708"/>
    <n v="17"/>
    <n v="8725"/>
    <s v="NA"/>
    <s v="NA"/>
    <m/>
    <n v="34921.917268819503"/>
    <m/>
    <m/>
    <m/>
    <m/>
    <m/>
    <m/>
    <m/>
    <n v="17.000000000009098"/>
    <n v="43647"/>
    <s v="DBE"/>
  </r>
  <r>
    <x v="24"/>
    <x v="42"/>
    <n v="25327"/>
    <n v="0"/>
    <n v="25327"/>
    <s v="NA"/>
    <s v="NA"/>
    <m/>
    <n v="97795.522518696394"/>
    <m/>
    <m/>
    <m/>
    <m/>
    <m/>
    <m/>
    <m/>
    <n v="3.6379788070917101E-12"/>
    <n v="123123"/>
    <s v="DBE"/>
  </r>
  <r>
    <x v="24"/>
    <x v="43"/>
    <n v="17101"/>
    <n v="34"/>
    <n v="17135"/>
    <s v="NA"/>
    <s v="NA"/>
    <m/>
    <n v="18936.569803381899"/>
    <m/>
    <m/>
    <m/>
    <m/>
    <m/>
    <m/>
    <m/>
    <n v="33.999999999992703"/>
    <n v="36072"/>
    <s v="DBE"/>
  </r>
  <r>
    <x v="24"/>
    <x v="44"/>
    <n v="37542"/>
    <n v="16"/>
    <n v="37558"/>
    <s v="NA"/>
    <s v="NA"/>
    <m/>
    <n v="88247.8401083723"/>
    <m/>
    <m/>
    <m/>
    <m/>
    <m/>
    <m/>
    <m/>
    <n v="16.0000000000291"/>
    <n v="125806"/>
    <s v="DBE"/>
  </r>
  <r>
    <x v="24"/>
    <x v="45"/>
    <n v="24786"/>
    <n v="49"/>
    <n v="24835"/>
    <s v="NA"/>
    <s v="NA"/>
    <m/>
    <n v="56811.419844082397"/>
    <m/>
    <m/>
    <m/>
    <m/>
    <m/>
    <m/>
    <m/>
    <n v="49.000000000007297"/>
    <n v="81646"/>
    <s v="DBE"/>
  </r>
  <r>
    <x v="24"/>
    <x v="46"/>
    <n v="13852"/>
    <n v="35"/>
    <n v="13887"/>
    <s v="NA"/>
    <s v="NA"/>
    <m/>
    <n v="43660.500976985801"/>
    <m/>
    <m/>
    <m/>
    <m/>
    <m/>
    <m/>
    <m/>
    <n v="34.999999999996398"/>
    <n v="57548"/>
    <s v="DBE"/>
  </r>
  <r>
    <x v="24"/>
    <x v="47"/>
    <n v="36525"/>
    <n v="5"/>
    <n v="36530"/>
    <s v="NA"/>
    <s v="NA"/>
    <m/>
    <n v="167573"/>
    <m/>
    <m/>
    <m/>
    <m/>
    <m/>
    <m/>
    <m/>
    <m/>
    <n v="204103"/>
    <s v="NA"/>
  </r>
  <r>
    <x v="24"/>
    <x v="48"/>
    <n v="39920"/>
    <n v="22"/>
    <n v="39942"/>
    <s v="NA"/>
    <s v="NA"/>
    <m/>
    <n v="84820"/>
    <n v="3"/>
    <m/>
    <m/>
    <m/>
    <m/>
    <m/>
    <m/>
    <m/>
    <n v="124765"/>
    <s v="RSA"/>
  </r>
  <r>
    <x v="24"/>
    <x v="49"/>
    <n v="20581"/>
    <n v="211"/>
    <n v="20792"/>
    <s v="NA"/>
    <s v="NA"/>
    <m/>
    <n v="53346"/>
    <m/>
    <m/>
    <m/>
    <m/>
    <m/>
    <m/>
    <m/>
    <m/>
    <n v="74138"/>
    <s v="NA"/>
  </r>
  <r>
    <x v="24"/>
    <x v="50"/>
    <n v="11895"/>
    <n v="33"/>
    <n v="11928"/>
    <s v="NA"/>
    <s v="NA"/>
    <m/>
    <n v="64696.999999999898"/>
    <m/>
    <m/>
    <m/>
    <m/>
    <m/>
    <m/>
    <m/>
    <m/>
    <n v="76625"/>
    <s v="NA"/>
  </r>
  <r>
    <x v="24"/>
    <x v="51"/>
    <n v="13412"/>
    <n v="0"/>
    <n v="13412"/>
    <s v="NA"/>
    <s v="NA"/>
    <m/>
    <n v="68429"/>
    <m/>
    <m/>
    <m/>
    <m/>
    <m/>
    <m/>
    <m/>
    <m/>
    <n v="81841"/>
    <s v="NA"/>
  </r>
  <r>
    <x v="24"/>
    <x v="52"/>
    <n v="15452"/>
    <n v="17"/>
    <n v="15469"/>
    <s v="NA"/>
    <s v="NA"/>
    <m/>
    <n v="61766"/>
    <m/>
    <m/>
    <m/>
    <m/>
    <m/>
    <m/>
    <m/>
    <m/>
    <n v="77235"/>
    <s v="NA"/>
  </r>
  <r>
    <x v="24"/>
    <x v="53"/>
    <n v="6642"/>
    <n v="15"/>
    <n v="6657"/>
    <s v="NA"/>
    <s v="NA"/>
    <m/>
    <n v="42157"/>
    <m/>
    <m/>
    <m/>
    <m/>
    <m/>
    <m/>
    <m/>
    <m/>
    <n v="48814"/>
    <s v="NA"/>
  </r>
  <r>
    <x v="24"/>
    <x v="54"/>
    <n v="25073"/>
    <n v="11"/>
    <n v="25084"/>
    <s v="NA"/>
    <s v="NA"/>
    <m/>
    <n v="133758"/>
    <m/>
    <m/>
    <m/>
    <m/>
    <m/>
    <m/>
    <m/>
    <m/>
    <n v="158842"/>
    <s v="NA"/>
  </r>
  <r>
    <x v="24"/>
    <x v="55"/>
    <n v="16988"/>
    <n v="0"/>
    <n v="16988"/>
    <s v="NA"/>
    <s v="NA"/>
    <m/>
    <n v="85299.956669005507"/>
    <m/>
    <m/>
    <m/>
    <m/>
    <m/>
    <m/>
    <m/>
    <m/>
    <n v="102288"/>
    <s v="NA"/>
  </r>
  <r>
    <x v="24"/>
    <x v="56"/>
    <n v="10282"/>
    <n v="18"/>
    <n v="10300"/>
    <s v="NA"/>
    <s v="NA"/>
    <m/>
    <n v="112197"/>
    <m/>
    <m/>
    <m/>
    <m/>
    <m/>
    <m/>
    <m/>
    <m/>
    <n v="122497"/>
    <s v="NA"/>
  </r>
  <r>
    <x v="24"/>
    <x v="57"/>
    <n v="20842"/>
    <n v="25"/>
    <n v="20867"/>
    <s v="NA"/>
    <s v="NA"/>
    <m/>
    <n v="79330"/>
    <m/>
    <m/>
    <m/>
    <m/>
    <m/>
    <m/>
    <m/>
    <m/>
    <n v="100197"/>
    <s v="NA"/>
  </r>
  <r>
    <x v="24"/>
    <x v="58"/>
    <n v="6966"/>
    <n v="15"/>
    <n v="6981"/>
    <s v="NA"/>
    <s v="NA"/>
    <m/>
    <n v="47299"/>
    <m/>
    <m/>
    <m/>
    <m/>
    <m/>
    <m/>
    <m/>
    <m/>
    <n v="54280"/>
    <s v="NA"/>
  </r>
  <r>
    <x v="24"/>
    <x v="59"/>
    <n v="13756"/>
    <n v="48"/>
    <n v="13804"/>
    <s v="NA"/>
    <s v="NA"/>
    <m/>
    <n v="32653"/>
    <m/>
    <m/>
    <m/>
    <m/>
    <m/>
    <m/>
    <m/>
    <m/>
    <n v="46457"/>
    <s v="RSA"/>
  </r>
  <r>
    <x v="24"/>
    <x v="60"/>
    <n v="12680"/>
    <n v="0"/>
    <n v="12680"/>
    <s v="NA"/>
    <s v="NA"/>
    <m/>
    <n v="12277"/>
    <m/>
    <m/>
    <m/>
    <m/>
    <m/>
    <m/>
    <m/>
    <m/>
    <n v="24957"/>
    <s v="NA"/>
  </r>
  <r>
    <x v="24"/>
    <x v="61"/>
    <n v="16580"/>
    <n v="5"/>
    <n v="16585"/>
    <s v="NA"/>
    <s v="NA"/>
    <m/>
    <n v="23689"/>
    <m/>
    <m/>
    <m/>
    <m/>
    <m/>
    <m/>
    <m/>
    <m/>
    <n v="40274"/>
    <s v="NA"/>
  </r>
  <r>
    <x v="24"/>
    <x v="62"/>
    <n v="11158"/>
    <n v="4"/>
    <n v="11162"/>
    <s v="NA"/>
    <s v="NA"/>
    <m/>
    <n v="30008"/>
    <m/>
    <m/>
    <m/>
    <m/>
    <m/>
    <m/>
    <m/>
    <m/>
    <n v="41170"/>
    <s v="NA"/>
  </r>
  <r>
    <x v="24"/>
    <x v="63"/>
    <n v="24510"/>
    <n v="0"/>
    <n v="24510"/>
    <s v="NA"/>
    <s v="NA"/>
    <m/>
    <n v="83044"/>
    <m/>
    <m/>
    <m/>
    <m/>
    <m/>
    <m/>
    <m/>
    <m/>
    <n v="107554"/>
    <s v="RSA"/>
  </r>
  <r>
    <x v="24"/>
    <x v="64"/>
    <n v="15731"/>
    <n v="9"/>
    <n v="15740"/>
    <s v="NA"/>
    <s v="NA"/>
    <m/>
    <n v="69783"/>
    <m/>
    <m/>
    <m/>
    <m/>
    <m/>
    <m/>
    <m/>
    <m/>
    <n v="85523"/>
    <s v="NA"/>
  </r>
  <r>
    <x v="24"/>
    <x v="65"/>
    <n v="10381"/>
    <n v="4"/>
    <n v="10385"/>
    <s v="NA"/>
    <s v="NA"/>
    <m/>
    <n v="41001"/>
    <m/>
    <m/>
    <m/>
    <m/>
    <m/>
    <m/>
    <m/>
    <m/>
    <n v="51386"/>
    <s v="NA"/>
  </r>
  <r>
    <x v="24"/>
    <x v="66"/>
    <n v="12335"/>
    <n v="3"/>
    <n v="12338"/>
    <s v="NA"/>
    <s v="NA"/>
    <m/>
    <n v="27555"/>
    <m/>
    <m/>
    <m/>
    <m/>
    <m/>
    <m/>
    <m/>
    <m/>
    <n v="39893"/>
    <s v="NA"/>
  </r>
  <r>
    <x v="24"/>
    <x v="67"/>
    <n v="32094"/>
    <n v="0"/>
    <n v="32094"/>
    <s v="NA"/>
    <s v="NA"/>
    <m/>
    <n v="81627"/>
    <m/>
    <m/>
    <m/>
    <m/>
    <m/>
    <m/>
    <m/>
    <m/>
    <n v="113721"/>
    <s v="NA"/>
  </r>
  <r>
    <x v="24"/>
    <x v="68"/>
    <n v="17950"/>
    <n v="0"/>
    <n v="17950"/>
    <s v="NA"/>
    <s v="NA"/>
    <m/>
    <n v="72468"/>
    <m/>
    <m/>
    <m/>
    <m/>
    <m/>
    <m/>
    <m/>
    <m/>
    <n v="90418"/>
    <s v="RSA"/>
  </r>
  <r>
    <x v="24"/>
    <x v="69"/>
    <n v="17624"/>
    <n v="0"/>
    <n v="17624"/>
    <s v="NA"/>
    <s v="NA"/>
    <m/>
    <n v="79204"/>
    <m/>
    <m/>
    <m/>
    <m/>
    <m/>
    <m/>
    <m/>
    <m/>
    <n v="96828"/>
    <s v="NA"/>
  </r>
  <r>
    <x v="24"/>
    <x v="70"/>
    <n v="18673"/>
    <n v="20"/>
    <n v="18693"/>
    <s v="NA"/>
    <s v="NA"/>
    <m/>
    <n v="77195.621120621698"/>
    <m/>
    <m/>
    <m/>
    <m/>
    <m/>
    <m/>
    <m/>
    <m/>
    <n v="95889"/>
    <s v="NA"/>
  </r>
  <r>
    <x v="24"/>
    <x v="71"/>
    <n v="48899"/>
    <n v="0"/>
    <n v="48899"/>
    <s v="NA"/>
    <s v="NA"/>
    <m/>
    <n v="156143"/>
    <m/>
    <m/>
    <m/>
    <m/>
    <m/>
    <m/>
    <m/>
    <m/>
    <n v="205042"/>
    <s v="NA"/>
  </r>
  <r>
    <x v="25"/>
    <x v="0"/>
    <n v="38466"/>
    <n v="27"/>
    <n v="38493"/>
    <s v="NA"/>
    <s v="NA"/>
    <n v="361.85666764801698"/>
    <n v="1735.02979224158"/>
    <n v="2.16705689178692"/>
    <m/>
    <n v="43158"/>
    <n v="4692"/>
    <m/>
    <n v="27"/>
    <m/>
    <n v="-53473.131261326198"/>
    <n v="88469"/>
    <s v="RSA"/>
  </r>
  <r>
    <x v="25"/>
    <x v="1"/>
    <n v="97133"/>
    <n v="7"/>
    <n v="97140"/>
    <s v="NA"/>
    <s v="NA"/>
    <n v="556.91572230711699"/>
    <n v="106815.73467644599"/>
    <n v="3831.4022094812499"/>
    <m/>
    <n v="111385"/>
    <n v="14232"/>
    <m/>
    <n v="8"/>
    <n v="1"/>
    <n v="-222138.733641892"/>
    <n v="333970"/>
    <s v="RSA"/>
  </r>
  <r>
    <x v="25"/>
    <x v="2"/>
    <n v="80395"/>
    <n v="54"/>
    <n v="80449"/>
    <s v="NA"/>
    <s v="NA"/>
    <n v="5337.0750306147402"/>
    <n v="1282.81745519941"/>
    <n v="9272.2425228131106"/>
    <m/>
    <n v="59763"/>
    <m/>
    <m/>
    <n v="36"/>
    <m/>
    <n v="-294420.79050660401"/>
    <n v="156140"/>
    <s v="RSA"/>
  </r>
  <r>
    <x v="25"/>
    <x v="3"/>
    <n v="84"/>
    <n v="23"/>
    <n v="107"/>
    <s v="NA"/>
    <s v="NA"/>
    <n v="0"/>
    <n v="17.191379320034201"/>
    <n v="6.4076540585483505E-4"/>
    <m/>
    <n v="252"/>
    <m/>
    <m/>
    <n v="69"/>
    <m/>
    <n v="-91.402231682133305"/>
    <n v="445"/>
    <s v="RSA"/>
  </r>
  <r>
    <x v="25"/>
    <x v="4"/>
    <n v="1806"/>
    <n v="17"/>
    <n v="1823"/>
    <s v="NA"/>
    <s v="NA"/>
    <n v="0"/>
    <n v="38.815819429039898"/>
    <n v="2.9060951568956302E-3"/>
    <m/>
    <n v="1806"/>
    <m/>
    <m/>
    <n v="17"/>
    <m/>
    <n v="-1142.0507295950699"/>
    <n v="3685"/>
    <s v="RSA"/>
  </r>
  <r>
    <x v="25"/>
    <x v="5"/>
    <n v="15095"/>
    <n v="0"/>
    <n v="15095"/>
    <s v="NA"/>
    <s v="NA"/>
    <n v="0"/>
    <n v="29822.575515012701"/>
    <n v="940.512382361052"/>
    <m/>
    <n v="5032"/>
    <m/>
    <n v="115"/>
    <m/>
    <m/>
    <n v="-22758.525422153401"/>
    <n v="51005"/>
    <s v="RSA"/>
  </r>
  <r>
    <x v="25"/>
    <x v="6"/>
    <n v="32779"/>
    <n v="102"/>
    <n v="32881"/>
    <s v="NA"/>
    <s v="NA"/>
    <n v="315.08988736719999"/>
    <n v="2952.7012989111399"/>
    <n v="330.22952036152998"/>
    <m/>
    <n v="26818"/>
    <m/>
    <n v="57"/>
    <n v="83"/>
    <m/>
    <n v="-68025.544303433693"/>
    <n v="63437"/>
    <s v="RSA"/>
  </r>
  <r>
    <x v="25"/>
    <x v="7"/>
    <n v="274"/>
    <n v="26"/>
    <n v="300"/>
    <s v="NA"/>
    <s v="NA"/>
    <n v="0"/>
    <n v="271.86949327689098"/>
    <n v="3.1173435166179"/>
    <m/>
    <n v="499"/>
    <m/>
    <m/>
    <n v="39"/>
    <m/>
    <n v="-665.062221202812"/>
    <n v="1113"/>
    <s v="RSA"/>
  </r>
  <r>
    <x v="25"/>
    <x v="8"/>
    <n v="3014"/>
    <n v="18"/>
    <n v="3032"/>
    <s v="NA"/>
    <s v="NA"/>
    <n v="1104.1109869439999"/>
    <n v="265.39169955839998"/>
    <n v="2.2582572883109"/>
    <m/>
    <n v="7033"/>
    <m/>
    <n v="2"/>
    <n v="42"/>
    <m/>
    <n v="-5153.7592694254899"/>
    <n v="11481"/>
    <s v="RSA"/>
  </r>
  <r>
    <x v="25"/>
    <x v="9"/>
    <n v="24646"/>
    <n v="0"/>
    <n v="24646"/>
    <s v="NA"/>
    <s v="NA"/>
    <n v="1221.448629688"/>
    <n v="101051.39496516999"/>
    <n v="3353.4501688712899"/>
    <m/>
    <n v="13603"/>
    <m/>
    <n v="-4378"/>
    <m/>
    <m/>
    <n v="-30712.242156924702"/>
    <n v="139497"/>
    <s v="RSA"/>
  </r>
  <r>
    <x v="25"/>
    <x v="10"/>
    <n v="35537"/>
    <n v="540"/>
    <n v="36077"/>
    <s v="NA"/>
    <s v="NA"/>
    <n v="915.18878747730002"/>
    <n v="5399.3169257974596"/>
    <n v="1342.4509331715999"/>
    <m/>
    <n v="207972"/>
    <m/>
    <n v="439"/>
    <n v="3060"/>
    <m/>
    <n v="-76124.787221420105"/>
    <n v="255205"/>
    <s v="RSA"/>
  </r>
  <r>
    <x v="25"/>
    <x v="11"/>
    <n v="918"/>
    <n v="6"/>
    <n v="924"/>
    <s v="NA"/>
    <s v="NA"/>
    <n v="1.3735893464516999"/>
    <n v="12992.659940216699"/>
    <n v="2591.0810062251198"/>
    <m/>
    <n v="14382"/>
    <m/>
    <n v="-415"/>
    <n v="94"/>
    <m/>
    <n v="-76385.590676764899"/>
    <n v="30570"/>
    <s v="RSA"/>
  </r>
  <r>
    <x v="25"/>
    <x v="12"/>
    <n v="72569"/>
    <n v="8"/>
    <n v="72577"/>
    <s v="NA"/>
    <s v="NA"/>
    <n v="1.461769927408"/>
    <n v="133086.73854374999"/>
    <n v="48643.913882496599"/>
    <m/>
    <n v="83678"/>
    <m/>
    <n v="-1482"/>
    <n v="6"/>
    <m/>
    <n v="-411154.06706326298"/>
    <n v="336511"/>
    <s v="RSA"/>
  </r>
  <r>
    <x v="25"/>
    <x v="13"/>
    <n v="59897"/>
    <n v="1366"/>
    <n v="61263"/>
    <s v="NA"/>
    <s v="NA"/>
    <n v="0"/>
    <n v="110780.34967500401"/>
    <m/>
    <m/>
    <n v="46947"/>
    <m/>
    <n v="-1274"/>
    <n v="911"/>
    <m/>
    <n v="-295929.86868141597"/>
    <n v="218627"/>
    <s v="RSA"/>
  </r>
  <r>
    <x v="25"/>
    <x v="14"/>
    <n v="35556"/>
    <n v="417"/>
    <n v="35973"/>
    <s v="NA"/>
    <s v="NA"/>
    <n v="1246.1986085501501"/>
    <n v="4985.8413964901001"/>
    <n v="185.11425157021901"/>
    <m/>
    <n v="75557"/>
    <m/>
    <n v="80"/>
    <n v="886"/>
    <m/>
    <n v="-67945.527907956901"/>
    <n v="118913"/>
    <s v="RSA"/>
  </r>
  <r>
    <x v="25"/>
    <x v="15"/>
    <n v="2756"/>
    <n v="57"/>
    <n v="2813"/>
    <s v="NA"/>
    <s v="NA"/>
    <n v="77.560991379955993"/>
    <n v="14987.202578340401"/>
    <n v="1916.97294626862"/>
    <m/>
    <m/>
    <m/>
    <m/>
    <m/>
    <m/>
    <n v="-110861.29200050799"/>
    <n v="130656"/>
    <s v="DBE"/>
  </r>
  <r>
    <x v="25"/>
    <x v="16"/>
    <n v="37300"/>
    <n v="92"/>
    <n v="37392"/>
    <s v="NA"/>
    <s v="NA"/>
    <n v="9114.2241041340003"/>
    <n v="9067.5225301986993"/>
    <n v="2305.5338105559999"/>
    <m/>
    <m/>
    <m/>
    <m/>
    <m/>
    <m/>
    <n v="-77532.007344564001"/>
    <n v="135411"/>
    <s v="DBE"/>
  </r>
  <r>
    <x v="25"/>
    <x v="17"/>
    <n v="39781"/>
    <n v="23"/>
    <n v="39804"/>
    <s v="NA"/>
    <s v="NA"/>
    <n v="239.06006274660001"/>
    <n v="64299.204820089901"/>
    <n v="9391.6220473265694"/>
    <m/>
    <m/>
    <m/>
    <m/>
    <m/>
    <m/>
    <n v="-162966.52142558599"/>
    <n v="276700"/>
    <s v="DBE"/>
  </r>
  <r>
    <x v="25"/>
    <x v="18"/>
    <n v="48516"/>
    <n v="321"/>
    <n v="48837"/>
    <s v="NA"/>
    <s v="NA"/>
    <n v="0"/>
    <n v="12143.0749852261"/>
    <n v="9058.4779897098997"/>
    <m/>
    <m/>
    <m/>
    <m/>
    <m/>
    <m/>
    <n v="-90817.572667518805"/>
    <n v="160856"/>
    <s v="DBE"/>
  </r>
  <r>
    <x v="25"/>
    <x v="19"/>
    <n v="25379"/>
    <n v="50"/>
    <n v="25429"/>
    <s v="NA"/>
    <s v="NA"/>
    <n v="4813.8651574819696"/>
    <n v="39153.3937341329"/>
    <n v="5431.6501162384002"/>
    <m/>
    <m/>
    <m/>
    <m/>
    <m/>
    <m/>
    <n v="-76629.861218710997"/>
    <n v="151458"/>
    <s v="DBE"/>
  </r>
  <r>
    <x v="25"/>
    <x v="20"/>
    <n v="49488"/>
    <n v="389"/>
    <n v="49877"/>
    <s v="NA"/>
    <s v="NA"/>
    <n v="3454.1636562298099"/>
    <n v="56607.219176112303"/>
    <n v="12572.470271396"/>
    <m/>
    <m/>
    <m/>
    <m/>
    <m/>
    <m/>
    <n v="-115674.065920596"/>
    <n v="238185"/>
    <s v="DBE"/>
  </r>
  <r>
    <x v="25"/>
    <x v="21"/>
    <n v="101033"/>
    <n v="18"/>
    <n v="101051"/>
    <s v="NA"/>
    <s v="NA"/>
    <n v="19.448525919284801"/>
    <n v="81509.858664319807"/>
    <n v="113539.17839723"/>
    <m/>
    <m/>
    <m/>
    <m/>
    <m/>
    <m/>
    <n v="-297124.37747192697"/>
    <n v="593244"/>
    <s v="DBE"/>
  </r>
  <r>
    <x v="25"/>
    <x v="22"/>
    <n v="19915"/>
    <n v="176"/>
    <n v="20091"/>
    <s v="NA"/>
    <s v="NA"/>
    <n v="1559.75319480945"/>
    <n v="26501.9067809482"/>
    <n v="4206.2387850799596"/>
    <m/>
    <m/>
    <m/>
    <m/>
    <m/>
    <m/>
    <n v="-171661.71010960001"/>
    <n v="224021"/>
    <s v="DBE"/>
  </r>
  <r>
    <x v="25"/>
    <x v="23"/>
    <n v="6613"/>
    <n v="10"/>
    <n v="6623"/>
    <s v="NA"/>
    <s v="NA"/>
    <n v="236.306064733798"/>
    <n v="216455.28719646001"/>
    <n v="3519.67124790654"/>
    <m/>
    <m/>
    <m/>
    <m/>
    <m/>
    <m/>
    <n v="-232526.470598799"/>
    <n v="459361"/>
    <s v="DBE"/>
  </r>
  <r>
    <x v="25"/>
    <x v="24"/>
    <n v="34634"/>
    <n v="204"/>
    <n v="34838"/>
    <s v="NA"/>
    <s v="NA"/>
    <n v="3482.4997818637398"/>
    <n v="18530.4092244983"/>
    <n v="6115.8165402050399"/>
    <m/>
    <m/>
    <m/>
    <m/>
    <m/>
    <m/>
    <n v="-180673.53475991701"/>
    <n v="243640"/>
    <s v="DBE"/>
  </r>
  <r>
    <x v="25"/>
    <x v="25"/>
    <n v="57091"/>
    <n v="68"/>
    <n v="57159"/>
    <s v="NA"/>
    <s v="NA"/>
    <n v="17796.344285508501"/>
    <n v="95094.346383211494"/>
    <n v="102555.31124993799"/>
    <m/>
    <m/>
    <m/>
    <m/>
    <m/>
    <m/>
    <n v="-547950.84801781399"/>
    <n v="820556"/>
    <s v="DBE"/>
  </r>
  <r>
    <x v="25"/>
    <x v="26"/>
    <n v="25504"/>
    <n v="19"/>
    <n v="25523"/>
    <s v="NA"/>
    <s v="NA"/>
    <n v="7612.9103027757801"/>
    <n v="385546.36343630397"/>
    <n v="10220.205305356099"/>
    <m/>
    <m/>
    <m/>
    <m/>
    <m/>
    <m/>
    <n v="-54639.189930295499"/>
    <n v="483542"/>
    <s v="DBE"/>
  </r>
  <r>
    <x v="25"/>
    <x v="27"/>
    <n v="72070"/>
    <n v="307"/>
    <n v="72377"/>
    <s v="NA"/>
    <s v="NA"/>
    <n v="16615.4879455427"/>
    <n v="255825.94894988899"/>
    <n v="97335.613010441695"/>
    <m/>
    <m/>
    <m/>
    <m/>
    <m/>
    <m/>
    <n v="-288303.62689965899"/>
    <n v="730458"/>
    <s v="DBE"/>
  </r>
  <r>
    <x v="25"/>
    <x v="28"/>
    <n v="33125"/>
    <n v="316"/>
    <n v="33441"/>
    <s v="NA"/>
    <s v="NA"/>
    <n v="669.59601998471203"/>
    <n v="39752.892211998602"/>
    <n v="4220.3631329309601"/>
    <m/>
    <m/>
    <m/>
    <m/>
    <m/>
    <m/>
    <n v="-30075.931119262299"/>
    <n v="108160"/>
    <s v="DBE"/>
  </r>
  <r>
    <x v="25"/>
    <x v="29"/>
    <n v="64956"/>
    <n v="70"/>
    <n v="65026"/>
    <s v="NA"/>
    <s v="NA"/>
    <n v="10361.446153315999"/>
    <n v="721885.08859862899"/>
    <n v="349.67400021562202"/>
    <m/>
    <m/>
    <m/>
    <m/>
    <m/>
    <m/>
    <n v="-8447.0340144109705"/>
    <n v="806069"/>
    <s v="DBE"/>
  </r>
  <r>
    <x v="25"/>
    <x v="30"/>
    <n v="84456"/>
    <n v="1695"/>
    <n v="86151"/>
    <s v="NA"/>
    <s v="NA"/>
    <n v="15017.3521477882"/>
    <n v="801371.48438727995"/>
    <m/>
    <m/>
    <m/>
    <m/>
    <m/>
    <m/>
    <m/>
    <n v="8552.9457111645297"/>
    <n v="902540"/>
    <s v="DBE"/>
  </r>
  <r>
    <x v="25"/>
    <x v="31"/>
    <n v="58686"/>
    <n v="1072"/>
    <n v="59758"/>
    <s v="NA"/>
    <s v="NA"/>
    <n v="10378.533750295899"/>
    <n v="300548.62796166103"/>
    <n v="34"/>
    <m/>
    <m/>
    <m/>
    <m/>
    <m/>
    <m/>
    <n v="-18248.234472491898"/>
    <n v="388967"/>
    <s v="DBE"/>
  </r>
  <r>
    <x v="25"/>
    <x v="32"/>
    <n v="38124"/>
    <n v="1092"/>
    <n v="39216"/>
    <s v="NA"/>
    <s v="NA"/>
    <n v="2186.1909692844501"/>
    <n v="95651.869495525098"/>
    <n v="565.88125458932097"/>
    <m/>
    <m/>
    <m/>
    <m/>
    <m/>
    <m/>
    <n v="-30864.567046162301"/>
    <n v="168485"/>
    <s v="DBE"/>
  </r>
  <r>
    <x v="25"/>
    <x v="33"/>
    <n v="16377"/>
    <n v="439"/>
    <n v="16816"/>
    <s v="NA"/>
    <s v="NA"/>
    <n v="1681.9685219150999"/>
    <n v="39807.123157391703"/>
    <m/>
    <m/>
    <m/>
    <m/>
    <m/>
    <m/>
    <m/>
    <n v="3437.3433698701201"/>
    <n v="58305"/>
    <s v="DBE"/>
  </r>
  <r>
    <x v="25"/>
    <x v="34"/>
    <n v="17167"/>
    <n v="32"/>
    <n v="17199"/>
    <s v="NA"/>
    <s v="NA"/>
    <n v="4340.3196446371503"/>
    <n v="78570.267639597994"/>
    <n v="5"/>
    <m/>
    <m/>
    <m/>
    <m/>
    <m/>
    <m/>
    <n v="-77599.039399485395"/>
    <n v="177714"/>
    <s v="DBE"/>
  </r>
  <r>
    <x v="25"/>
    <x v="35"/>
    <n v="49257"/>
    <n v="349"/>
    <n v="49606"/>
    <s v="NA"/>
    <s v="NA"/>
    <n v="0"/>
    <n v="541935.83378514601"/>
    <n v="1411"/>
    <m/>
    <m/>
    <m/>
    <m/>
    <m/>
    <m/>
    <n v="-130161.637746476"/>
    <n v="723114"/>
    <s v="DBE"/>
  </r>
  <r>
    <x v="25"/>
    <x v="36"/>
    <n v="59968"/>
    <n v="3216"/>
    <n v="63184"/>
    <s v="NA"/>
    <s v="NA"/>
    <n v="332.49955033573298"/>
    <n v="369906.837264626"/>
    <n v="1006"/>
    <m/>
    <m/>
    <m/>
    <m/>
    <m/>
    <m/>
    <n v="-15528.7047074812"/>
    <n v="449958"/>
    <s v="DBE"/>
  </r>
  <r>
    <x v="25"/>
    <x v="37"/>
    <n v="110738"/>
    <n v="858"/>
    <n v="111596"/>
    <s v="NA"/>
    <s v="NA"/>
    <n v="5760.1135538867702"/>
    <n v="1203913.8525535499"/>
    <n v="1789.38412818708"/>
    <m/>
    <m/>
    <m/>
    <m/>
    <m/>
    <m/>
    <n v="-271110.22465520102"/>
    <n v="1594170"/>
    <s v="DBE"/>
  </r>
  <r>
    <x v="25"/>
    <x v="38"/>
    <n v="37019"/>
    <n v="2441"/>
    <n v="39460"/>
    <s v="NA"/>
    <s v="NA"/>
    <n v="198.10482660409701"/>
    <n v="183187.56465195201"/>
    <n v="555.10984411163497"/>
    <m/>
    <m/>
    <m/>
    <m/>
    <m/>
    <m/>
    <n v="-15415.5039145828"/>
    <n v="238816"/>
    <s v="DBE"/>
  </r>
  <r>
    <x v="25"/>
    <x v="39"/>
    <n v="59602"/>
    <n v="768"/>
    <n v="60370"/>
    <s v="NA"/>
    <s v="NA"/>
    <n v="0"/>
    <n v="281636.85666506999"/>
    <n v="2478.7784095819602"/>
    <m/>
    <m/>
    <m/>
    <m/>
    <m/>
    <m/>
    <n v="5845.6684551574199"/>
    <n v="344486"/>
    <s v="DBE"/>
  </r>
  <r>
    <x v="25"/>
    <x v="40"/>
    <n v="39341"/>
    <n v="926"/>
    <n v="40267"/>
    <s v="NA"/>
    <s v="NA"/>
    <n v="8841.7320714730595"/>
    <n v="254374.445585671"/>
    <n v="1252.21130501165"/>
    <m/>
    <m/>
    <m/>
    <m/>
    <m/>
    <m/>
    <n v="9206.1840955966509"/>
    <n v="304735"/>
    <s v="DBE"/>
  </r>
  <r>
    <x v="25"/>
    <x v="41"/>
    <n v="294083"/>
    <n v="460"/>
    <n v="294543"/>
    <s v="NA"/>
    <s v="NA"/>
    <m/>
    <n v="895146.36815144005"/>
    <n v="3395.5134674124001"/>
    <m/>
    <m/>
    <m/>
    <m/>
    <m/>
    <m/>
    <n v="-134427.71820339499"/>
    <n v="1327513"/>
    <s v="DBE"/>
  </r>
  <r>
    <x v="25"/>
    <x v="42"/>
    <n v="42002"/>
    <n v="1791"/>
    <n v="43793"/>
    <s v="NA"/>
    <s v="NA"/>
    <m/>
    <n v="207027.84092531499"/>
    <n v="2617.9016500851199"/>
    <m/>
    <m/>
    <m/>
    <m/>
    <m/>
    <m/>
    <n v="-3799.1538745733001"/>
    <n v="257238"/>
    <s v="DBE"/>
  </r>
  <r>
    <x v="25"/>
    <x v="43"/>
    <n v="73830"/>
    <n v="1009"/>
    <n v="74839"/>
    <s v="NA"/>
    <s v="NA"/>
    <m/>
    <n v="179824.19902720299"/>
    <n v="3443.84060928078"/>
    <m/>
    <m/>
    <m/>
    <m/>
    <m/>
    <m/>
    <n v="-59817.717101956499"/>
    <n v="317925"/>
    <s v="DBE"/>
  </r>
  <r>
    <x v="25"/>
    <x v="44"/>
    <n v="45026"/>
    <n v="6377"/>
    <n v="51403"/>
    <s v="NA"/>
    <s v="NA"/>
    <m/>
    <n v="146883.32500319899"/>
    <n v="2842.4304991731801"/>
    <m/>
    <m/>
    <m/>
    <m/>
    <m/>
    <m/>
    <n v="-3469.5208085519998"/>
    <n v="204598"/>
    <s v="DBE"/>
  </r>
  <r>
    <x v="25"/>
    <x v="45"/>
    <n v="75171"/>
    <n v="1066"/>
    <n v="76237"/>
    <s v="NA"/>
    <s v="NA"/>
    <m/>
    <n v="194444.51762958101"/>
    <n v="2062.5286203116998"/>
    <m/>
    <m/>
    <m/>
    <m/>
    <m/>
    <m/>
    <n v="9821.7264144212204"/>
    <n v="272744"/>
    <s v="DBE"/>
  </r>
  <r>
    <x v="25"/>
    <x v="46"/>
    <n v="52627"/>
    <n v="2518"/>
    <n v="55145"/>
    <s v="NA"/>
    <s v="NA"/>
    <m/>
    <n v="220058.824702076"/>
    <n v="2354.5840828044202"/>
    <m/>
    <m/>
    <m/>
    <m/>
    <m/>
    <m/>
    <n v="-11280.1832544631"/>
    <n v="288839"/>
    <s v="DBE"/>
  </r>
  <r>
    <x v="25"/>
    <x v="47"/>
    <n v="49932"/>
    <n v="1146"/>
    <n v="51078"/>
    <s v="NA"/>
    <s v="NA"/>
    <m/>
    <n v="288354"/>
    <n v="1376"/>
    <m/>
    <m/>
    <m/>
    <m/>
    <m/>
    <m/>
    <m/>
    <n v="340808"/>
    <s v="NA"/>
  </r>
  <r>
    <x v="25"/>
    <x v="48"/>
    <n v="29736"/>
    <n v="2275"/>
    <n v="32011"/>
    <s v="NA"/>
    <s v="NA"/>
    <m/>
    <n v="118674"/>
    <n v="1012"/>
    <m/>
    <m/>
    <m/>
    <m/>
    <m/>
    <m/>
    <m/>
    <n v="151697"/>
    <s v="RSA"/>
  </r>
  <r>
    <x v="25"/>
    <x v="49"/>
    <n v="64093"/>
    <n v="2714"/>
    <n v="66807"/>
    <s v="NA"/>
    <s v="NA"/>
    <m/>
    <n v="352821"/>
    <n v="1305"/>
    <m/>
    <m/>
    <m/>
    <m/>
    <m/>
    <m/>
    <m/>
    <n v="420933"/>
    <s v="NA"/>
  </r>
  <r>
    <x v="25"/>
    <x v="50"/>
    <n v="48541"/>
    <n v="1632"/>
    <n v="50173"/>
    <s v="NA"/>
    <s v="NA"/>
    <m/>
    <n v="338613"/>
    <n v="820"/>
    <m/>
    <m/>
    <m/>
    <m/>
    <m/>
    <m/>
    <m/>
    <n v="389606"/>
    <s v="NA"/>
  </r>
  <r>
    <x v="25"/>
    <x v="51"/>
    <n v="25738"/>
    <n v="810"/>
    <n v="26548"/>
    <s v="NA"/>
    <s v="NA"/>
    <m/>
    <n v="127602"/>
    <n v="77"/>
    <m/>
    <m/>
    <m/>
    <m/>
    <m/>
    <m/>
    <m/>
    <n v="154227"/>
    <s v="NA"/>
  </r>
  <r>
    <x v="25"/>
    <x v="52"/>
    <n v="4990"/>
    <n v="633"/>
    <n v="5623"/>
    <s v="NA"/>
    <s v="NA"/>
    <m/>
    <n v="76271"/>
    <n v="309"/>
    <m/>
    <m/>
    <m/>
    <m/>
    <m/>
    <m/>
    <m/>
    <n v="82203"/>
    <s v="NA"/>
  </r>
  <r>
    <x v="25"/>
    <x v="53"/>
    <n v="10435"/>
    <n v="661"/>
    <n v="11096"/>
    <s v="NA"/>
    <s v="NA"/>
    <m/>
    <n v="83837"/>
    <n v="435"/>
    <m/>
    <m/>
    <m/>
    <m/>
    <m/>
    <m/>
    <m/>
    <n v="95368"/>
    <s v="NA"/>
  </r>
  <r>
    <x v="25"/>
    <x v="54"/>
    <n v="58727"/>
    <n v="219"/>
    <n v="58946"/>
    <s v="NA"/>
    <s v="NA"/>
    <m/>
    <n v="128583"/>
    <n v="1025"/>
    <m/>
    <m/>
    <m/>
    <m/>
    <m/>
    <m/>
    <m/>
    <n v="188554"/>
    <s v="NA"/>
  </r>
  <r>
    <x v="25"/>
    <x v="55"/>
    <n v="3799"/>
    <n v="717"/>
    <n v="4516"/>
    <s v="NA"/>
    <s v="NA"/>
    <m/>
    <n v="19277.623380370998"/>
    <n v="268"/>
    <m/>
    <m/>
    <m/>
    <m/>
    <m/>
    <m/>
    <m/>
    <n v="24062"/>
    <s v="NA"/>
  </r>
  <r>
    <x v="25"/>
    <x v="56"/>
    <n v="22581"/>
    <n v="36"/>
    <n v="22617"/>
    <s v="NA"/>
    <s v="NA"/>
    <m/>
    <n v="141888"/>
    <n v="239"/>
    <m/>
    <m/>
    <m/>
    <m/>
    <m/>
    <m/>
    <m/>
    <n v="164744"/>
    <s v="NA"/>
  </r>
  <r>
    <x v="25"/>
    <x v="57"/>
    <n v="19489"/>
    <n v="927"/>
    <n v="20416"/>
    <s v="NA"/>
    <s v="NA"/>
    <m/>
    <n v="37412.622587068901"/>
    <n v="723.99999999999898"/>
    <m/>
    <m/>
    <m/>
    <m/>
    <m/>
    <m/>
    <m/>
    <n v="58553"/>
    <s v="NA"/>
  </r>
  <r>
    <x v="25"/>
    <x v="58"/>
    <n v="17924"/>
    <n v="51"/>
    <n v="17975"/>
    <s v="NA"/>
    <s v="NA"/>
    <m/>
    <n v="29266.324471554599"/>
    <n v="785"/>
    <m/>
    <m/>
    <m/>
    <m/>
    <m/>
    <m/>
    <m/>
    <n v="48026"/>
    <s v="NA"/>
  </r>
  <r>
    <x v="25"/>
    <x v="59"/>
    <n v="1196"/>
    <n v="174"/>
    <n v="1370"/>
    <s v="NA"/>
    <s v="NA"/>
    <m/>
    <n v="2563.7882986913"/>
    <n v="90"/>
    <m/>
    <m/>
    <m/>
    <m/>
    <m/>
    <m/>
    <m/>
    <n v="4024"/>
    <s v="RSA"/>
  </r>
  <r>
    <x v="25"/>
    <x v="60"/>
    <n v="14469"/>
    <n v="0"/>
    <n v="14469"/>
    <s v="NA"/>
    <s v="NA"/>
    <m/>
    <n v="23566"/>
    <n v="582"/>
    <m/>
    <m/>
    <m/>
    <m/>
    <m/>
    <m/>
    <m/>
    <n v="38617"/>
    <s v="NA"/>
  </r>
  <r>
    <x v="25"/>
    <x v="61"/>
    <n v="15924"/>
    <n v="38"/>
    <n v="15962"/>
    <s v="NA"/>
    <s v="NA"/>
    <m/>
    <n v="15469.331401105899"/>
    <n v="738"/>
    <m/>
    <m/>
    <m/>
    <m/>
    <m/>
    <m/>
    <m/>
    <n v="32169"/>
    <s v="NA"/>
  </r>
  <r>
    <x v="25"/>
    <x v="62"/>
    <n v="4246"/>
    <n v="137"/>
    <n v="4383"/>
    <s v="NA"/>
    <s v="NA"/>
    <m/>
    <n v="2785"/>
    <n v="196"/>
    <m/>
    <m/>
    <m/>
    <m/>
    <m/>
    <m/>
    <m/>
    <n v="7364"/>
    <s v="NA"/>
  </r>
  <r>
    <x v="25"/>
    <x v="63"/>
    <n v="7033"/>
    <n v="9"/>
    <n v="7042"/>
    <s v="NA"/>
    <s v="NA"/>
    <m/>
    <n v="13649"/>
    <n v="118"/>
    <m/>
    <m/>
    <m/>
    <m/>
    <m/>
    <m/>
    <m/>
    <n v="20809"/>
    <s v="RSA"/>
  </r>
  <r>
    <x v="25"/>
    <x v="64"/>
    <n v="8363"/>
    <n v="16"/>
    <n v="8379"/>
    <s v="NA"/>
    <s v="NA"/>
    <m/>
    <n v="57172.309724031802"/>
    <n v="270.93059339097499"/>
    <m/>
    <m/>
    <m/>
    <m/>
    <m/>
    <m/>
    <m/>
    <n v="65822"/>
    <s v="NA"/>
  </r>
  <r>
    <x v="25"/>
    <x v="65"/>
    <n v="35939"/>
    <n v="260"/>
    <n v="36199"/>
    <s v="NA"/>
    <s v="NA"/>
    <m/>
    <n v="218190"/>
    <n v="38"/>
    <m/>
    <m/>
    <m/>
    <m/>
    <m/>
    <m/>
    <m/>
    <n v="254427"/>
    <s v="NA"/>
  </r>
  <r>
    <x v="25"/>
    <x v="66"/>
    <n v="20237"/>
    <n v="629"/>
    <n v="20866"/>
    <s v="NA"/>
    <s v="NA"/>
    <m/>
    <n v="148982.33888407401"/>
    <n v="80"/>
    <m/>
    <m/>
    <m/>
    <m/>
    <m/>
    <m/>
    <m/>
    <n v="169928"/>
    <s v="NA"/>
  </r>
  <r>
    <x v="25"/>
    <x v="67"/>
    <n v="8490"/>
    <n v="282"/>
    <n v="8772"/>
    <s v="NA"/>
    <s v="NA"/>
    <m/>
    <n v="15562"/>
    <n v="24"/>
    <m/>
    <m/>
    <m/>
    <m/>
    <m/>
    <m/>
    <m/>
    <n v="24358"/>
    <s v="NA"/>
  </r>
  <r>
    <x v="25"/>
    <x v="68"/>
    <n v="21636"/>
    <n v="36"/>
    <n v="21672"/>
    <s v="NA"/>
    <s v="NA"/>
    <m/>
    <n v="82658.000000000102"/>
    <n v="100"/>
    <m/>
    <m/>
    <m/>
    <m/>
    <m/>
    <m/>
    <m/>
    <n v="104430"/>
    <s v="RSA"/>
  </r>
  <r>
    <x v="25"/>
    <x v="69"/>
    <n v="28137"/>
    <n v="313"/>
    <n v="28450"/>
    <s v="NA"/>
    <s v="NA"/>
    <m/>
    <n v="152206.050933786"/>
    <n v="32"/>
    <m/>
    <m/>
    <m/>
    <m/>
    <m/>
    <m/>
    <m/>
    <n v="180688"/>
    <s v="NA"/>
  </r>
  <r>
    <x v="25"/>
    <x v="70"/>
    <n v="8789"/>
    <n v="606"/>
    <n v="9395"/>
    <s v="NA"/>
    <s v="NA"/>
    <m/>
    <n v="36714"/>
    <n v="16"/>
    <m/>
    <m/>
    <m/>
    <m/>
    <m/>
    <m/>
    <m/>
    <n v="46125"/>
    <s v="NA"/>
  </r>
  <r>
    <x v="25"/>
    <x v="71"/>
    <n v="28050"/>
    <n v="50"/>
    <n v="28100"/>
    <s v="NA"/>
    <s v="NA"/>
    <m/>
    <n v="101435"/>
    <n v="103"/>
    <m/>
    <m/>
    <m/>
    <m/>
    <m/>
    <m/>
    <m/>
    <n v="129638"/>
    <s v="NA"/>
  </r>
  <r>
    <x v="26"/>
    <x v="0"/>
    <n v="68"/>
    <n v="0"/>
    <n v="68"/>
    <s v="NA"/>
    <s v="NA"/>
    <n v="0"/>
    <n v="27.872897074456301"/>
    <m/>
    <m/>
    <n v="29"/>
    <m/>
    <m/>
    <m/>
    <m/>
    <n v="48.297305028273797"/>
    <n v="125"/>
    <s v="RSA"/>
  </r>
  <r>
    <x v="26"/>
    <x v="1"/>
    <n v="223"/>
    <n v="0"/>
    <n v="223"/>
    <s v="NA"/>
    <s v="NA"/>
    <m/>
    <m/>
    <m/>
    <m/>
    <n v="56"/>
    <m/>
    <m/>
    <m/>
    <m/>
    <n v="223"/>
    <n v="279"/>
    <s v="RSA"/>
  </r>
  <r>
    <x v="26"/>
    <x v="2"/>
    <n v="124"/>
    <n v="0"/>
    <n v="124"/>
    <s v="NA"/>
    <s v="NA"/>
    <m/>
    <m/>
    <m/>
    <m/>
    <n v="31"/>
    <m/>
    <m/>
    <m/>
    <m/>
    <n v="124"/>
    <n v="155"/>
    <s v="RSA"/>
  </r>
  <r>
    <x v="26"/>
    <x v="3"/>
    <n v="245"/>
    <n v="3"/>
    <n v="248"/>
    <s v="NA"/>
    <s v="NA"/>
    <m/>
    <m/>
    <m/>
    <m/>
    <n v="82"/>
    <m/>
    <m/>
    <n v="1"/>
    <m/>
    <n v="248"/>
    <n v="331"/>
    <s v="RSA"/>
  </r>
  <r>
    <x v="26"/>
    <x v="4"/>
    <n v="176"/>
    <n v="0"/>
    <n v="176"/>
    <s v="NA"/>
    <s v="NA"/>
    <n v="0"/>
    <n v="4.0849397458347001"/>
    <m/>
    <m/>
    <n v="59"/>
    <m/>
    <m/>
    <m/>
    <m/>
    <n v="67.769832559600005"/>
    <n v="239"/>
    <s v="RSA"/>
  </r>
  <r>
    <x v="26"/>
    <x v="5"/>
    <n v="171"/>
    <n v="0"/>
    <n v="171"/>
    <s v="NA"/>
    <s v="NA"/>
    <m/>
    <m/>
    <m/>
    <m/>
    <n v="57"/>
    <m/>
    <m/>
    <m/>
    <m/>
    <n v="171"/>
    <n v="228"/>
    <s v="RSA"/>
  </r>
  <r>
    <x v="26"/>
    <x v="6"/>
    <n v="139"/>
    <n v="0"/>
    <n v="139"/>
    <s v="NA"/>
    <s v="NA"/>
    <n v="0"/>
    <n v="2.8912830169269301"/>
    <m/>
    <m/>
    <n v="46"/>
    <m/>
    <m/>
    <m/>
    <m/>
    <n v="64.764529394899995"/>
    <n v="188"/>
    <s v="RSA"/>
  </r>
  <r>
    <x v="26"/>
    <x v="7"/>
    <n v="236"/>
    <n v="0"/>
    <n v="236"/>
    <s v="NA"/>
    <s v="NA"/>
    <n v="0"/>
    <n v="7.1733379138558"/>
    <m/>
    <m/>
    <n v="101"/>
    <m/>
    <m/>
    <m/>
    <m/>
    <n v="-292.1486334361"/>
    <n v="344"/>
    <s v="RSA"/>
  </r>
  <r>
    <x v="26"/>
    <x v="8"/>
    <n v="137"/>
    <n v="0"/>
    <n v="137"/>
    <s v="NA"/>
    <s v="NA"/>
    <n v="0"/>
    <n v="186.441414124712"/>
    <m/>
    <m/>
    <n v="59"/>
    <m/>
    <m/>
    <m/>
    <m/>
    <n v="137"/>
    <n v="382"/>
    <s v="RSA"/>
  </r>
  <r>
    <x v="26"/>
    <x v="9"/>
    <n v="364"/>
    <n v="0"/>
    <n v="364"/>
    <s v="NA"/>
    <s v="NA"/>
    <n v="0"/>
    <n v="3.7526881721000001"/>
    <m/>
    <m/>
    <n v="121"/>
    <m/>
    <m/>
    <m/>
    <m/>
    <n v="364"/>
    <n v="489"/>
    <s v="RSA"/>
  </r>
  <r>
    <x v="26"/>
    <x v="10"/>
    <n v="1695"/>
    <n v="10"/>
    <n v="1705"/>
    <s v="NA"/>
    <s v="NA"/>
    <n v="0"/>
    <n v="11.609606743980001"/>
    <m/>
    <m/>
    <n v="726"/>
    <m/>
    <m/>
    <n v="4"/>
    <m/>
    <n v="1373.43573904393"/>
    <n v="2447"/>
    <s v="RSA"/>
  </r>
  <r>
    <x v="26"/>
    <x v="11"/>
    <n v="461"/>
    <n v="5"/>
    <n v="466"/>
    <s v="NA"/>
    <s v="NA"/>
    <n v="0"/>
    <n v="71.391643121925398"/>
    <m/>
    <m/>
    <n v="307"/>
    <m/>
    <n v="95"/>
    <n v="3"/>
    <m/>
    <n v="-479.8373228122"/>
    <n v="942"/>
    <s v="RSA"/>
  </r>
  <r>
    <x v="26"/>
    <x v="12"/>
    <n v="1534"/>
    <n v="5"/>
    <n v="1539"/>
    <s v="NA"/>
    <s v="NA"/>
    <n v="0"/>
    <n v="446.50412878596597"/>
    <m/>
    <m/>
    <n v="567"/>
    <m/>
    <n v="30"/>
    <n v="2"/>
    <m/>
    <n v="1539"/>
    <n v="2585"/>
    <s v="RSA"/>
  </r>
  <r>
    <x v="26"/>
    <x v="13"/>
    <n v="1015"/>
    <n v="0"/>
    <n v="1015"/>
    <s v="NA"/>
    <s v="NA"/>
    <n v="0"/>
    <n v="3.92920292087291"/>
    <m/>
    <m/>
    <n v="286"/>
    <m/>
    <n v="419"/>
    <m/>
    <m/>
    <n v="-535.31796529108999"/>
    <n v="1724"/>
    <s v="RSA"/>
  </r>
  <r>
    <x v="26"/>
    <x v="14"/>
    <n v="1556"/>
    <n v="3"/>
    <n v="1559"/>
    <s v="NA"/>
    <s v="NA"/>
    <n v="0"/>
    <n v="19.8397459788021"/>
    <m/>
    <m/>
    <n v="439"/>
    <m/>
    <n v="9"/>
    <n v="1"/>
    <m/>
    <n v="1408.4056536435201"/>
    <n v="2028"/>
    <s v="RSA"/>
  </r>
  <r>
    <x v="26"/>
    <x v="15"/>
    <n v="85"/>
    <n v="0"/>
    <n v="85"/>
    <s v="NA"/>
    <s v="NA"/>
    <n v="0"/>
    <n v="7.6920759439471"/>
    <m/>
    <m/>
    <m/>
    <m/>
    <m/>
    <m/>
    <m/>
    <n v="-165.5955161757"/>
    <n v="258"/>
    <s v="DBE"/>
  </r>
  <r>
    <x v="26"/>
    <x v="16"/>
    <n v="176"/>
    <n v="0"/>
    <n v="176"/>
    <s v="NA"/>
    <s v="NA"/>
    <n v="0"/>
    <n v="3.0578947399"/>
    <m/>
    <m/>
    <m/>
    <m/>
    <m/>
    <m/>
    <m/>
    <n v="176"/>
    <n v="179"/>
    <s v="DBE"/>
  </r>
  <r>
    <x v="26"/>
    <x v="17"/>
    <n v="171"/>
    <n v="0"/>
    <n v="171"/>
    <s v="NA"/>
    <s v="NA"/>
    <n v="0"/>
    <n v="648.84982846520802"/>
    <m/>
    <m/>
    <m/>
    <m/>
    <m/>
    <m/>
    <m/>
    <n v="171"/>
    <n v="820"/>
    <s v="DBE"/>
  </r>
  <r>
    <x v="26"/>
    <x v="18"/>
    <n v="294"/>
    <n v="7"/>
    <n v="301"/>
    <s v="NA"/>
    <s v="NA"/>
    <n v="0"/>
    <n v="1039.68365845174"/>
    <m/>
    <m/>
    <m/>
    <m/>
    <m/>
    <m/>
    <m/>
    <n v="154.73896340900001"/>
    <n v="1341"/>
    <s v="DBE"/>
  </r>
  <r>
    <x v="26"/>
    <x v="19"/>
    <n v="49"/>
    <n v="0"/>
    <n v="49"/>
    <s v="NA"/>
    <s v="NA"/>
    <m/>
    <m/>
    <m/>
    <m/>
    <m/>
    <m/>
    <m/>
    <m/>
    <m/>
    <n v="49"/>
    <n v="49"/>
    <s v="DBE"/>
  </r>
  <r>
    <x v="26"/>
    <x v="20"/>
    <n v="122"/>
    <n v="62"/>
    <n v="184"/>
    <s v="NA"/>
    <s v="NA"/>
    <m/>
    <m/>
    <m/>
    <m/>
    <m/>
    <m/>
    <m/>
    <m/>
    <m/>
    <n v="184"/>
    <n v="184"/>
    <s v="DBE"/>
  </r>
  <r>
    <x v="26"/>
    <x v="21"/>
    <n v="680"/>
    <n v="0"/>
    <n v="680"/>
    <s v="NA"/>
    <s v="NA"/>
    <n v="2.0699930932364498E-3"/>
    <n v="50.292197700929698"/>
    <n v="15.3249873005852"/>
    <m/>
    <m/>
    <m/>
    <m/>
    <m/>
    <m/>
    <n v="-36.293677064941697"/>
    <n v="782"/>
    <s v="DBE"/>
  </r>
  <r>
    <x v="26"/>
    <x v="22"/>
    <n v="85"/>
    <n v="0"/>
    <n v="85"/>
    <s v="NA"/>
    <s v="NA"/>
    <n v="2.4935856154532798"/>
    <n v="48.133319229041597"/>
    <n v="11.799932780636"/>
    <m/>
    <m/>
    <m/>
    <m/>
    <m/>
    <m/>
    <n v="-222.61289372930699"/>
    <n v="370"/>
    <s v="DBE"/>
  </r>
  <r>
    <x v="26"/>
    <x v="23"/>
    <n v="29"/>
    <n v="0"/>
    <n v="29"/>
    <s v="NA"/>
    <s v="NA"/>
    <n v="2.11353249360898E-2"/>
    <n v="38.266628352220998"/>
    <n v="2.2433733665926199"/>
    <m/>
    <m/>
    <m/>
    <m/>
    <m/>
    <m/>
    <n v="-44.7368476273978"/>
    <n v="114"/>
    <s v="DBE"/>
  </r>
  <r>
    <x v="26"/>
    <x v="24"/>
    <n v="162"/>
    <n v="0"/>
    <n v="162"/>
    <s v="NA"/>
    <s v="NA"/>
    <n v="0"/>
    <n v="43.582026920522601"/>
    <n v="4.9299922677911203"/>
    <m/>
    <m/>
    <m/>
    <m/>
    <m/>
    <m/>
    <n v="-332.453191220458"/>
    <n v="543"/>
    <s v="DBE"/>
  </r>
  <r>
    <x v="26"/>
    <x v="25"/>
    <n v="70"/>
    <n v="0"/>
    <n v="70"/>
    <s v="NA"/>
    <s v="NA"/>
    <n v="0"/>
    <n v="4.9418598200576502"/>
    <n v="1.5396837164911299"/>
    <m/>
    <m/>
    <m/>
    <m/>
    <m/>
    <m/>
    <n v="-56.8935009866629"/>
    <n v="133"/>
    <s v="DBE"/>
  </r>
  <r>
    <x v="26"/>
    <x v="26"/>
    <n v="32"/>
    <n v="0"/>
    <n v="32"/>
    <s v="NA"/>
    <s v="NA"/>
    <n v="16.2493889185629"/>
    <n v="912.30225937039904"/>
    <n v="4.5511756545400903"/>
    <m/>
    <m/>
    <m/>
    <m/>
    <m/>
    <m/>
    <n v="-182.22266440930699"/>
    <n v="1147"/>
    <s v="DBE"/>
  </r>
  <r>
    <x v="26"/>
    <x v="27"/>
    <n v="94"/>
    <n v="0"/>
    <n v="94"/>
    <s v="NA"/>
    <s v="NA"/>
    <n v="1.5995604676451201"/>
    <n v="55.726771369675703"/>
    <n v="2.52288225554316"/>
    <m/>
    <m/>
    <m/>
    <m/>
    <m/>
    <m/>
    <n v="-8.8588719411688395"/>
    <n v="163"/>
    <s v="DBE"/>
  </r>
  <r>
    <x v="26"/>
    <x v="28"/>
    <n v="119"/>
    <n v="0"/>
    <n v="119"/>
    <s v="NA"/>
    <s v="NA"/>
    <n v="0.129328528560886"/>
    <n v="146.48247335958999"/>
    <n v="14.932789336565699"/>
    <m/>
    <m/>
    <m/>
    <m/>
    <m/>
    <m/>
    <n v="14.045940729188301"/>
    <n v="281"/>
    <s v="DBE"/>
  </r>
  <r>
    <x v="26"/>
    <x v="29"/>
    <n v="157"/>
    <n v="0"/>
    <n v="157"/>
    <s v="NA"/>
    <s v="NA"/>
    <n v="0"/>
    <n v="589.59902310147095"/>
    <n v="0.85613757212354302"/>
    <m/>
    <m/>
    <m/>
    <m/>
    <m/>
    <m/>
    <n v="-316.45712711424102"/>
    <n v="1064"/>
    <s v="DBE"/>
  </r>
  <r>
    <x v="26"/>
    <x v="31"/>
    <n v="92"/>
    <n v="0"/>
    <n v="92"/>
    <s v="NA"/>
    <s v="NA"/>
    <n v="25.913663659485501"/>
    <n v="994.37733021081499"/>
    <m/>
    <m/>
    <m/>
    <m/>
    <m/>
    <m/>
    <m/>
    <n v="-300.03428697566898"/>
    <n v="1412"/>
    <s v="DBE"/>
  </r>
  <r>
    <x v="26"/>
    <x v="32"/>
    <n v="634"/>
    <n v="0"/>
    <n v="634"/>
    <s v="NA"/>
    <s v="NA"/>
    <n v="0"/>
    <n v="935.89512411305896"/>
    <n v="11.1420748232796"/>
    <m/>
    <m/>
    <m/>
    <m/>
    <m/>
    <m/>
    <n v="-193.65400567102"/>
    <n v="1775"/>
    <s v="DBE"/>
  </r>
  <r>
    <x v="26"/>
    <x v="33"/>
    <n v="0"/>
    <n v="0"/>
    <n v="0"/>
    <s v="NA"/>
    <s v="NA"/>
    <m/>
    <m/>
    <m/>
    <m/>
    <m/>
    <m/>
    <m/>
    <m/>
    <m/>
    <n v="0"/>
    <n v="0"/>
    <s v="DBE"/>
  </r>
  <r>
    <x v="26"/>
    <x v="34"/>
    <n v="391"/>
    <n v="0"/>
    <n v="391"/>
    <s v="NA"/>
    <s v="NA"/>
    <n v="37.088168932514101"/>
    <n v="5647.4640345711396"/>
    <m/>
    <m/>
    <m/>
    <m/>
    <m/>
    <m/>
    <m/>
    <n v="-1552.2677934568601"/>
    <n v="7628"/>
    <s v="DBE"/>
  </r>
  <r>
    <x v="26"/>
    <x v="35"/>
    <n v="2118"/>
    <n v="15"/>
    <n v="2133"/>
    <s v="NA"/>
    <s v="NA"/>
    <n v="0"/>
    <n v="7783.4792615755396"/>
    <n v="21.540570417864199"/>
    <m/>
    <m/>
    <m/>
    <m/>
    <m/>
    <m/>
    <n v="-4958.5529587617102"/>
    <n v="14897"/>
    <s v="DBE"/>
  </r>
  <r>
    <x v="26"/>
    <x v="36"/>
    <n v="1549"/>
    <n v="8"/>
    <n v="1557"/>
    <s v="NA"/>
    <s v="NA"/>
    <n v="0"/>
    <n v="1641.8101423370899"/>
    <m/>
    <m/>
    <m/>
    <m/>
    <m/>
    <m/>
    <m/>
    <n v="1555.1970281439901"/>
    <n v="3199"/>
    <s v="DBE"/>
  </r>
  <r>
    <x v="26"/>
    <x v="37"/>
    <n v="1300"/>
    <n v="0"/>
    <n v="1300"/>
    <s v="NA"/>
    <s v="NA"/>
    <n v="0"/>
    <n v="4565.61990325644"/>
    <n v="27.7133914220455"/>
    <m/>
    <m/>
    <m/>
    <m/>
    <m/>
    <m/>
    <n v="-1404.7984757053"/>
    <n v="7298"/>
    <s v="DBE"/>
  </r>
  <r>
    <x v="26"/>
    <x v="38"/>
    <n v="801"/>
    <n v="0"/>
    <n v="801"/>
    <s v="NA"/>
    <s v="NA"/>
    <n v="3.5821018196761898"/>
    <n v="1107.01310360709"/>
    <n v="12.011210057900501"/>
    <m/>
    <m/>
    <m/>
    <m/>
    <m/>
    <m/>
    <n v="799.26146801671598"/>
    <n v="1924"/>
    <s v="DBE"/>
  </r>
  <r>
    <x v="26"/>
    <x v="39"/>
    <n v="266"/>
    <n v="0"/>
    <n v="266"/>
    <s v="NA"/>
    <s v="NA"/>
    <n v="0"/>
    <n v="2821.8910825264402"/>
    <n v="11.062633081923501"/>
    <m/>
    <m/>
    <m/>
    <m/>
    <m/>
    <m/>
    <n v="-653.51444856463195"/>
    <n v="3752"/>
    <s v="DBE"/>
  </r>
  <r>
    <x v="26"/>
    <x v="40"/>
    <n v="943"/>
    <n v="0"/>
    <n v="943"/>
    <s v="NA"/>
    <s v="NA"/>
    <n v="190.96403527908899"/>
    <n v="5210.6950971271699"/>
    <n v="30.015384983248602"/>
    <m/>
    <m/>
    <m/>
    <m/>
    <m/>
    <m/>
    <n v="797.22895358282699"/>
    <n v="6375"/>
    <s v="DBE"/>
  </r>
  <r>
    <x v="26"/>
    <x v="41"/>
    <n v="509"/>
    <n v="6"/>
    <n v="515"/>
    <s v="NA"/>
    <s v="NA"/>
    <m/>
    <n v="5613.3639602651001"/>
    <n v="5.8769679135241102"/>
    <m/>
    <m/>
    <m/>
    <m/>
    <m/>
    <m/>
    <n v="-2131.20515100373"/>
    <n v="8265"/>
    <s v="DBE"/>
  </r>
  <r>
    <x v="26"/>
    <x v="42"/>
    <n v="572"/>
    <n v="0"/>
    <n v="572"/>
    <s v="NA"/>
    <s v="NA"/>
    <m/>
    <n v="2653.79473969832"/>
    <n v="35.651629537847903"/>
    <m/>
    <m/>
    <m/>
    <m/>
    <m/>
    <m/>
    <n v="-117.966470911654"/>
    <n v="3379"/>
    <s v="DBE"/>
  </r>
  <r>
    <x v="26"/>
    <x v="43"/>
    <n v="389"/>
    <n v="0"/>
    <n v="389"/>
    <s v="NA"/>
    <s v="NA"/>
    <m/>
    <n v="784.47078841973996"/>
    <n v="18.1451171205502"/>
    <m/>
    <m/>
    <m/>
    <m/>
    <m/>
    <m/>
    <n v="-142.390185300556"/>
    <n v="1334"/>
    <s v="DBE"/>
  </r>
  <r>
    <x v="26"/>
    <x v="44"/>
    <n v="599"/>
    <n v="0"/>
    <n v="599"/>
    <s v="NA"/>
    <s v="NA"/>
    <m/>
    <n v="1324.12103874987"/>
    <n v="37.814060076505498"/>
    <m/>
    <m/>
    <m/>
    <m/>
    <m/>
    <m/>
    <n v="37.0431617643873"/>
    <n v="1961"/>
    <s v="DBE"/>
  </r>
  <r>
    <x v="26"/>
    <x v="45"/>
    <n v="1574"/>
    <n v="26"/>
    <n v="1600"/>
    <s v="NA"/>
    <s v="NA"/>
    <m/>
    <n v="4113.7800614938396"/>
    <n v="43.1871339794683"/>
    <m/>
    <m/>
    <m/>
    <m/>
    <m/>
    <m/>
    <n v="193.364916432131"/>
    <n v="5757"/>
    <s v="DBE"/>
  </r>
  <r>
    <x v="26"/>
    <x v="46"/>
    <n v="422"/>
    <n v="5"/>
    <n v="427"/>
    <s v="NA"/>
    <s v="NA"/>
    <m/>
    <n v="1681.31560845281"/>
    <n v="18.880697796634198"/>
    <m/>
    <m/>
    <m/>
    <m/>
    <m/>
    <m/>
    <n v="-47.025448266022998"/>
    <n v="2174"/>
    <s v="DBE"/>
  </r>
  <r>
    <x v="26"/>
    <x v="47"/>
    <n v="1366"/>
    <n v="25"/>
    <n v="1391"/>
    <s v="NA"/>
    <s v="NA"/>
    <m/>
    <n v="8200.0000000000091"/>
    <n v="40"/>
    <m/>
    <m/>
    <m/>
    <m/>
    <m/>
    <m/>
    <m/>
    <n v="9631"/>
    <s v="NA"/>
  </r>
  <r>
    <x v="26"/>
    <x v="48"/>
    <n v="911"/>
    <n v="25"/>
    <n v="936"/>
    <s v="NA"/>
    <s v="NA"/>
    <m/>
    <n v="3564"/>
    <m/>
    <m/>
    <m/>
    <m/>
    <m/>
    <m/>
    <m/>
    <m/>
    <n v="4500"/>
    <s v="RSA"/>
  </r>
  <r>
    <x v="26"/>
    <x v="49"/>
    <n v="1632"/>
    <n v="11"/>
    <n v="1643"/>
    <s v="NA"/>
    <s v="NA"/>
    <m/>
    <n v="8722.9999999999909"/>
    <m/>
    <m/>
    <m/>
    <m/>
    <m/>
    <m/>
    <m/>
    <m/>
    <n v="10366"/>
    <s v="NA"/>
  </r>
  <r>
    <x v="26"/>
    <x v="50"/>
    <n v="427"/>
    <n v="0"/>
    <n v="427"/>
    <s v="NA"/>
    <s v="NA"/>
    <m/>
    <n v="2814"/>
    <m/>
    <m/>
    <m/>
    <m/>
    <m/>
    <m/>
    <m/>
    <m/>
    <n v="3241"/>
    <s v="NA"/>
  </r>
  <r>
    <x v="26"/>
    <x v="51"/>
    <n v="298"/>
    <n v="4"/>
    <n v="302"/>
    <s v="NA"/>
    <s v="NA"/>
    <m/>
    <n v="715.00000000000102"/>
    <m/>
    <m/>
    <m/>
    <m/>
    <m/>
    <m/>
    <m/>
    <m/>
    <n v="1017"/>
    <s v="NA"/>
  </r>
  <r>
    <x v="26"/>
    <x v="52"/>
    <n v="394"/>
    <n v="0"/>
    <n v="394"/>
    <s v="NA"/>
    <s v="NA"/>
    <m/>
    <n v="4409"/>
    <m/>
    <m/>
    <m/>
    <m/>
    <m/>
    <m/>
    <m/>
    <m/>
    <n v="4803"/>
    <s v="NA"/>
  </r>
  <r>
    <x v="26"/>
    <x v="53"/>
    <n v="361"/>
    <n v="3"/>
    <n v="364"/>
    <s v="NA"/>
    <s v="NA"/>
    <m/>
    <n v="1736"/>
    <m/>
    <m/>
    <m/>
    <m/>
    <m/>
    <m/>
    <m/>
    <m/>
    <n v="2100"/>
    <s v="NA"/>
  </r>
  <r>
    <x v="26"/>
    <x v="54"/>
    <n v="715"/>
    <n v="0"/>
    <n v="715"/>
    <s v="NA"/>
    <s v="NA"/>
    <m/>
    <n v="1533"/>
    <m/>
    <m/>
    <m/>
    <m/>
    <m/>
    <m/>
    <m/>
    <m/>
    <n v="2248"/>
    <s v="NA"/>
  </r>
  <r>
    <x v="26"/>
    <x v="55"/>
    <n v="1552"/>
    <n v="0"/>
    <n v="1552"/>
    <s v="NA"/>
    <s v="NA"/>
    <m/>
    <n v="1458.11061779638"/>
    <m/>
    <m/>
    <m/>
    <m/>
    <m/>
    <m/>
    <m/>
    <m/>
    <n v="3010"/>
    <s v="NA"/>
  </r>
  <r>
    <x v="26"/>
    <x v="56"/>
    <n v="998"/>
    <n v="8"/>
    <n v="1006"/>
    <s v="NA"/>
    <s v="NA"/>
    <m/>
    <n v="4608"/>
    <m/>
    <m/>
    <m/>
    <m/>
    <m/>
    <m/>
    <m/>
    <m/>
    <n v="5614"/>
    <s v="NA"/>
  </r>
  <r>
    <x v="26"/>
    <x v="57"/>
    <n v="866"/>
    <n v="18"/>
    <n v="884"/>
    <s v="NA"/>
    <s v="NA"/>
    <m/>
    <n v="1672.37741293103"/>
    <m/>
    <m/>
    <m/>
    <m/>
    <m/>
    <m/>
    <m/>
    <m/>
    <n v="2556"/>
    <s v="NA"/>
  </r>
  <r>
    <x v="26"/>
    <x v="58"/>
    <n v="275"/>
    <n v="0"/>
    <n v="275"/>
    <s v="NA"/>
    <s v="NA"/>
    <m/>
    <n v="683.40656499023805"/>
    <m/>
    <m/>
    <m/>
    <m/>
    <m/>
    <m/>
    <m/>
    <m/>
    <n v="958"/>
    <s v="NA"/>
  </r>
  <r>
    <x v="26"/>
    <x v="59"/>
    <n v="660"/>
    <n v="7"/>
    <n v="667"/>
    <s v="NA"/>
    <s v="NA"/>
    <m/>
    <n v="878"/>
    <m/>
    <m/>
    <m/>
    <m/>
    <m/>
    <m/>
    <m/>
    <m/>
    <n v="1545"/>
    <s v="RSA"/>
  </r>
  <r>
    <x v="26"/>
    <x v="60"/>
    <n v="353"/>
    <n v="0"/>
    <n v="353"/>
    <s v="NA"/>
    <s v="NA"/>
    <m/>
    <n v="709.00000000000102"/>
    <m/>
    <m/>
    <m/>
    <m/>
    <m/>
    <m/>
    <m/>
    <m/>
    <n v="1062"/>
    <s v="NA"/>
  </r>
  <r>
    <x v="26"/>
    <x v="61"/>
    <n v="599"/>
    <n v="0"/>
    <n v="599"/>
    <s v="NA"/>
    <s v="NA"/>
    <m/>
    <n v="875.66859889406896"/>
    <m/>
    <m/>
    <m/>
    <m/>
    <m/>
    <m/>
    <m/>
    <m/>
    <n v="1475"/>
    <s v="NA"/>
  </r>
  <r>
    <x v="26"/>
    <x v="62"/>
    <n v="1291"/>
    <n v="2"/>
    <n v="1293"/>
    <s v="NA"/>
    <s v="NA"/>
    <m/>
    <n v="710"/>
    <m/>
    <m/>
    <m/>
    <m/>
    <m/>
    <m/>
    <m/>
    <m/>
    <n v="2003"/>
    <s v="NA"/>
  </r>
  <r>
    <x v="26"/>
    <x v="63"/>
    <n v="400"/>
    <n v="0"/>
    <n v="400"/>
    <s v="NA"/>
    <s v="NA"/>
    <m/>
    <n v="824.99999999999898"/>
    <m/>
    <m/>
    <m/>
    <m/>
    <m/>
    <m/>
    <m/>
    <m/>
    <n v="1225"/>
    <s v="RSA"/>
  </r>
  <r>
    <x v="26"/>
    <x v="64"/>
    <n v="622"/>
    <n v="15"/>
    <n v="637"/>
    <s v="NA"/>
    <s v="NA"/>
    <m/>
    <n v="6558"/>
    <n v="1"/>
    <m/>
    <m/>
    <m/>
    <m/>
    <m/>
    <m/>
    <m/>
    <n v="7196"/>
    <s v="NA"/>
  </r>
  <r>
    <x v="26"/>
    <x v="65"/>
    <n v="653"/>
    <n v="40"/>
    <n v="693"/>
    <s v="NA"/>
    <s v="NA"/>
    <m/>
    <n v="1602"/>
    <m/>
    <m/>
    <m/>
    <m/>
    <m/>
    <m/>
    <m/>
    <m/>
    <n v="2295"/>
    <s v="NA"/>
  </r>
  <r>
    <x v="26"/>
    <x v="66"/>
    <n v="1164"/>
    <n v="36"/>
    <n v="1200"/>
    <s v="NA"/>
    <s v="NA"/>
    <m/>
    <n v="8728.4006359300492"/>
    <m/>
    <m/>
    <m/>
    <m/>
    <m/>
    <m/>
    <m/>
    <m/>
    <n v="9928"/>
    <s v="NA"/>
  </r>
  <r>
    <x v="26"/>
    <x v="67"/>
    <n v="919"/>
    <n v="81"/>
    <n v="1000"/>
    <s v="NA"/>
    <s v="NA"/>
    <m/>
    <n v="2816"/>
    <m/>
    <m/>
    <m/>
    <m/>
    <m/>
    <m/>
    <m/>
    <m/>
    <n v="3816"/>
    <s v="NA"/>
  </r>
  <r>
    <x v="26"/>
    <x v="68"/>
    <n v="100"/>
    <n v="0"/>
    <n v="100"/>
    <s v="NA"/>
    <s v="NA"/>
    <m/>
    <n v="720.07023705004201"/>
    <m/>
    <m/>
    <m/>
    <m/>
    <m/>
    <m/>
    <m/>
    <m/>
    <n v="820"/>
    <s v="RSA"/>
  </r>
  <r>
    <x v="26"/>
    <x v="69"/>
    <n v="1000"/>
    <n v="0"/>
    <n v="1000"/>
    <s v="NA"/>
    <s v="NA"/>
    <m/>
    <n v="5349.9490662139197"/>
    <m/>
    <m/>
    <m/>
    <m/>
    <m/>
    <m/>
    <m/>
    <m/>
    <n v="6350"/>
    <s v="NA"/>
  </r>
  <r>
    <x v="26"/>
    <x v="70"/>
    <n v="1464"/>
    <n v="30"/>
    <n v="1494"/>
    <s v="NA"/>
    <s v="NA"/>
    <m/>
    <n v="6187"/>
    <m/>
    <m/>
    <m/>
    <m/>
    <m/>
    <m/>
    <m/>
    <m/>
    <n v="7681"/>
    <s v="NA"/>
  </r>
  <r>
    <x v="26"/>
    <x v="71"/>
    <n v="1311"/>
    <n v="122"/>
    <n v="1433"/>
    <s v="NA"/>
    <s v="NA"/>
    <m/>
    <n v="4101"/>
    <m/>
    <m/>
    <m/>
    <m/>
    <m/>
    <m/>
    <m/>
    <m/>
    <n v="5534"/>
    <s v="NA"/>
  </r>
  <r>
    <x v="27"/>
    <x v="72"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6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04EC3D-DFE3-4905-AAEB-4AA78EBCB8FB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76" firstHeaderRow="0" firstDataRow="1" firstDataCol="1" rowPageCount="1" colPageCount="1"/>
  <pivotFields count="19">
    <pivotField axis="axisPage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axis="axisRow" showAll="0">
      <items count="74"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72"/>
        <item t="default"/>
      </items>
    </pivotField>
    <pivotField dataField="1" showAll="0"/>
    <pivotField dataField="1" showAll="0"/>
    <pivotField dataField="1"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0" item="6" hier="-1"/>
  </pageFields>
  <dataFields count="8">
    <dataField name="Sum of Adult Escapement" fld="2" baseField="0" baseItem="0"/>
    <dataField name="Sum of Jack Escapement" fld="3" baseField="0" baseItem="0"/>
    <dataField name="Sum of Total Escapement" fld="4" baseField="0" baseItem="0"/>
    <dataField name="Sum of DBE" fld="16" baseField="0" baseItem="0"/>
    <dataField name="Sum of Below Mission Catch (excluding Alaska catch)" fld="8" baseField="0" baseItem="0"/>
    <dataField name="Sum of Above Mission Catch" fld="9" baseField="0" baseItem="0"/>
    <dataField name="Sum of Alaska Catch" fld="7" baseField="0" baseItem="0"/>
    <dataField name="Sum of Run Size" fld="17" baseField="0" baseItem="0"/>
  </dataFields>
  <formats count="4">
    <format dxfId="3">
      <pivotArea collapsedLevelsAreSubtotals="1" fieldPosition="0">
        <references count="1">
          <reference field="1" count="1">
            <x v="38"/>
          </reference>
        </references>
      </pivotArea>
    </format>
    <format dxfId="2">
      <pivotArea dataOnly="0" labelOnly="1" fieldPosition="0">
        <references count="1">
          <reference field="1" count="1">
            <x v="38"/>
          </reference>
        </references>
      </pivotArea>
    </format>
    <format dxfId="1">
      <pivotArea collapsedLevelsAreSubtotals="1" fieldPosition="0">
        <references count="1">
          <reference field="1" count="1">
            <x v="48"/>
          </reference>
        </references>
      </pivotArea>
    </format>
    <format dxfId="0">
      <pivotArea dataOnly="0" labelOnly="1" fieldPosition="0">
        <references count="1">
          <reference field="1" count="1">
            <x v="4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AD230D-D44C-4070-976A-B175AE44AF2F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A30" firstHeaderRow="1" firstDataRow="1" firstDataCol="1"/>
  <pivotFields count="1"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26"/>
  <sheetViews>
    <sheetView workbookViewId="0">
      <pane ySplit="576" activePane="bottomLeft"/>
      <selection activeCell="C1" sqref="C1"/>
      <selection pane="bottomLeft" activeCell="R755" sqref="R755"/>
    </sheetView>
  </sheetViews>
  <sheetFormatPr defaultColWidth="11.41796875" defaultRowHeight="14.4" x14ac:dyDescent="0.55000000000000004"/>
  <cols>
    <col min="1" max="1" width="26.41796875" bestFit="1" customWidth="1"/>
    <col min="2" max="2" width="5" bestFit="1" customWidth="1"/>
    <col min="3" max="3" width="15.68359375" bestFit="1" customWidth="1"/>
    <col min="4" max="4" width="14.89453125" bestFit="1" customWidth="1"/>
    <col min="5" max="5" width="15.68359375" bestFit="1" customWidth="1"/>
    <col min="6" max="6" width="15.1015625" bestFit="1" customWidth="1"/>
    <col min="7" max="7" width="13.41796875" customWidth="1"/>
    <col min="8" max="8" width="11.68359375" bestFit="1" customWidth="1"/>
    <col min="9" max="9" width="40.3125" bestFit="1" customWidth="1"/>
    <col min="10" max="10" width="19.1015625" bestFit="1" customWidth="1"/>
    <col min="11" max="11" width="15.3125" bestFit="1" customWidth="1"/>
    <col min="12" max="12" width="14.1015625" bestFit="1" customWidth="1"/>
    <col min="13" max="13" width="16.41796875" bestFit="1" customWidth="1"/>
    <col min="14" max="14" width="24.89453125" bestFit="1" customWidth="1"/>
    <col min="15" max="15" width="12.68359375" bestFit="1" customWidth="1"/>
    <col min="16" max="16" width="15.1015625" bestFit="1" customWidth="1"/>
    <col min="17" max="17" width="8.68359375" bestFit="1" customWidth="1"/>
    <col min="18" max="18" width="9" bestFit="1" customWidth="1"/>
    <col min="19" max="19" width="16" bestFit="1" customWidth="1"/>
  </cols>
  <sheetData>
    <row r="1" spans="1:19" x14ac:dyDescent="0.55000000000000004">
      <c r="A1" t="s">
        <v>0</v>
      </c>
      <c r="B1" t="s">
        <v>1</v>
      </c>
      <c r="C1" t="s">
        <v>44</v>
      </c>
      <c r="D1" t="s">
        <v>45</v>
      </c>
      <c r="E1" t="s">
        <v>8</v>
      </c>
      <c r="F1" t="s">
        <v>46</v>
      </c>
      <c r="G1" t="s">
        <v>47</v>
      </c>
      <c r="H1" t="s">
        <v>39</v>
      </c>
      <c r="I1" t="s">
        <v>40</v>
      </c>
      <c r="J1" t="s">
        <v>41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9</v>
      </c>
      <c r="R1" t="s">
        <v>42</v>
      </c>
      <c r="S1" t="s">
        <v>43</v>
      </c>
    </row>
    <row r="2" spans="1:19" x14ac:dyDescent="0.55000000000000004">
      <c r="A2" t="s">
        <v>10</v>
      </c>
      <c r="B2">
        <v>2023</v>
      </c>
      <c r="C2">
        <v>75695</v>
      </c>
      <c r="D2" s="2">
        <v>198</v>
      </c>
      <c r="E2" s="3">
        <v>75893</v>
      </c>
      <c r="F2" t="s">
        <v>12</v>
      </c>
      <c r="G2" t="s">
        <v>12</v>
      </c>
      <c r="H2" s="1">
        <v>515.13198778639105</v>
      </c>
      <c r="I2" s="1">
        <v>1754.2990959763899</v>
      </c>
      <c r="J2" s="1">
        <v>2.9416335528958601</v>
      </c>
      <c r="K2" s="1"/>
      <c r="L2" s="1">
        <v>25450.851685794001</v>
      </c>
      <c r="M2" s="1">
        <v>657.55505738195598</v>
      </c>
      <c r="N2" s="1"/>
      <c r="O2" s="1">
        <v>67.490988294335693</v>
      </c>
      <c r="P2" s="1"/>
      <c r="Q2" s="1">
        <v>-121137.45054907601</v>
      </c>
      <c r="R2" s="1">
        <v>104341</v>
      </c>
      <c r="S2" t="s">
        <v>11</v>
      </c>
    </row>
    <row r="3" spans="1:19" x14ac:dyDescent="0.55000000000000004">
      <c r="A3" t="s">
        <v>10</v>
      </c>
      <c r="B3">
        <v>2022</v>
      </c>
      <c r="C3">
        <v>127815</v>
      </c>
      <c r="D3" s="2">
        <v>1910</v>
      </c>
      <c r="E3" s="3">
        <v>129725</v>
      </c>
      <c r="F3" t="s">
        <v>12</v>
      </c>
      <c r="G3" t="s">
        <v>12</v>
      </c>
      <c r="H3" s="1">
        <v>886.14781461294797</v>
      </c>
      <c r="I3" s="1">
        <v>25292.882106482899</v>
      </c>
      <c r="J3" s="1">
        <v>2151.4733929147501</v>
      </c>
      <c r="K3" s="1"/>
      <c r="L3" s="1">
        <v>22555.182617609</v>
      </c>
      <c r="M3" s="1"/>
      <c r="N3" s="1"/>
      <c r="O3" s="1">
        <v>348.71531845366502</v>
      </c>
      <c r="P3" s="1"/>
      <c r="Q3" s="1">
        <v>-31918.344169657499</v>
      </c>
      <c r="R3" s="1">
        <v>180959</v>
      </c>
      <c r="S3" t="s">
        <v>11</v>
      </c>
    </row>
    <row r="4" spans="1:19" x14ac:dyDescent="0.55000000000000004">
      <c r="A4" t="s">
        <v>10</v>
      </c>
      <c r="B4">
        <v>2021</v>
      </c>
      <c r="C4">
        <v>45853</v>
      </c>
      <c r="D4" s="2">
        <v>40</v>
      </c>
      <c r="E4" s="3">
        <v>45893</v>
      </c>
      <c r="F4" t="s">
        <v>12</v>
      </c>
      <c r="G4" t="s">
        <v>12</v>
      </c>
      <c r="H4" s="1">
        <v>4402.5595787406601</v>
      </c>
      <c r="I4" s="1">
        <v>484.98578374906998</v>
      </c>
      <c r="J4" s="1">
        <v>53.500717245644097</v>
      </c>
      <c r="K4" s="1"/>
      <c r="L4" s="1">
        <v>5094.4595928053996</v>
      </c>
      <c r="M4" s="1"/>
      <c r="N4" s="1"/>
      <c r="O4" s="1">
        <v>3.8182196685819001</v>
      </c>
      <c r="P4" s="1"/>
      <c r="Q4" s="1">
        <v>-71442.167542779498</v>
      </c>
      <c r="R4" s="1">
        <v>55932</v>
      </c>
      <c r="S4" t="s">
        <v>11</v>
      </c>
    </row>
    <row r="5" spans="1:19" x14ac:dyDescent="0.55000000000000004">
      <c r="A5" t="s">
        <v>10</v>
      </c>
      <c r="B5">
        <v>2020</v>
      </c>
      <c r="C5">
        <v>5308</v>
      </c>
      <c r="D5" s="2">
        <v>168</v>
      </c>
      <c r="E5" s="3">
        <v>5476</v>
      </c>
      <c r="F5" t="s">
        <v>12</v>
      </c>
      <c r="G5" t="s">
        <v>12</v>
      </c>
      <c r="H5" s="1">
        <v>236.153690164171</v>
      </c>
      <c r="I5" s="1">
        <v>84.205870034995996</v>
      </c>
      <c r="J5" s="1">
        <v>5.7263734526889799E-3</v>
      </c>
      <c r="K5" s="1"/>
      <c r="L5" s="1">
        <v>1327</v>
      </c>
      <c r="M5" s="1"/>
      <c r="N5" s="1"/>
      <c r="O5" s="1">
        <v>37.531313131313098</v>
      </c>
      <c r="P5" s="1"/>
      <c r="Q5" s="1">
        <v>-3892.9268739100698</v>
      </c>
      <c r="R5" s="1">
        <v>7161</v>
      </c>
      <c r="S5" t="s">
        <v>11</v>
      </c>
    </row>
    <row r="6" spans="1:19" x14ac:dyDescent="0.55000000000000004">
      <c r="A6" t="s">
        <v>10</v>
      </c>
      <c r="B6">
        <v>2019</v>
      </c>
      <c r="C6">
        <v>2998</v>
      </c>
      <c r="D6" s="2">
        <v>60</v>
      </c>
      <c r="E6" s="3">
        <v>3058</v>
      </c>
      <c r="F6" t="s">
        <v>12</v>
      </c>
      <c r="G6" t="s">
        <v>12</v>
      </c>
      <c r="H6" s="1">
        <v>597.50071594536303</v>
      </c>
      <c r="I6" s="1">
        <v>90.191199828453904</v>
      </c>
      <c r="J6" s="1">
        <v>2.58990139521396E-3</v>
      </c>
      <c r="K6" s="1">
        <v>44.880239520958099</v>
      </c>
      <c r="L6" s="1">
        <v>528.58948769128403</v>
      </c>
      <c r="M6" s="1"/>
      <c r="N6" s="1"/>
      <c r="O6" s="1">
        <v>10.9707252162342</v>
      </c>
      <c r="P6" s="1"/>
      <c r="Q6" s="1">
        <v>300.41172033711598</v>
      </c>
      <c r="R6" s="1">
        <v>4330</v>
      </c>
      <c r="S6" t="s">
        <v>11</v>
      </c>
    </row>
    <row r="7" spans="1:19" x14ac:dyDescent="0.55000000000000004">
      <c r="A7" t="s">
        <v>10</v>
      </c>
      <c r="B7">
        <v>2018</v>
      </c>
      <c r="C7">
        <v>15041</v>
      </c>
      <c r="D7" s="2">
        <v>10</v>
      </c>
      <c r="E7" s="3">
        <v>15051</v>
      </c>
      <c r="F7" t="s">
        <v>12</v>
      </c>
      <c r="G7" t="s">
        <v>12</v>
      </c>
      <c r="H7" s="1">
        <v>469.81430280463297</v>
      </c>
      <c r="I7" s="1">
        <v>16120.968262203</v>
      </c>
      <c r="J7" s="1">
        <v>1637.56434320727</v>
      </c>
      <c r="K7" s="1">
        <v>226.51814345991599</v>
      </c>
      <c r="L7" s="1">
        <v>1671.5476793248899</v>
      </c>
      <c r="M7" s="1"/>
      <c r="N7" s="1">
        <v>-140.59746835442999</v>
      </c>
      <c r="O7" s="1">
        <v>0.97637130801687799</v>
      </c>
      <c r="P7" s="1"/>
      <c r="Q7" s="1">
        <v>-12976.417309041</v>
      </c>
      <c r="R7" s="1">
        <v>35038</v>
      </c>
      <c r="S7" t="s">
        <v>11</v>
      </c>
    </row>
    <row r="8" spans="1:19" x14ac:dyDescent="0.55000000000000004">
      <c r="A8" t="s">
        <v>10</v>
      </c>
      <c r="B8">
        <v>2017</v>
      </c>
      <c r="C8">
        <v>18629</v>
      </c>
      <c r="D8" s="2">
        <v>7</v>
      </c>
      <c r="E8" s="3">
        <v>18636</v>
      </c>
      <c r="F8" t="s">
        <v>12</v>
      </c>
      <c r="G8" t="s">
        <v>12</v>
      </c>
      <c r="H8" s="1">
        <v>602.85451470442297</v>
      </c>
      <c r="I8" s="1">
        <v>350.64138455832398</v>
      </c>
      <c r="J8" s="1">
        <v>108.873030314804</v>
      </c>
      <c r="K8" s="1">
        <v>264.32147562582298</v>
      </c>
      <c r="L8" s="1">
        <v>2097.5797101449298</v>
      </c>
      <c r="M8" s="1">
        <v>249.21739130434801</v>
      </c>
      <c r="N8" s="1">
        <v>-116.112648221344</v>
      </c>
      <c r="O8" s="1">
        <v>0.94400527009222701</v>
      </c>
      <c r="P8" s="1"/>
      <c r="Q8" s="1">
        <v>-13673.3905326718</v>
      </c>
      <c r="R8" s="1">
        <v>22194</v>
      </c>
      <c r="S8" t="s">
        <v>11</v>
      </c>
    </row>
    <row r="9" spans="1:19" x14ac:dyDescent="0.55000000000000004">
      <c r="A9" t="s">
        <v>10</v>
      </c>
      <c r="B9">
        <v>2016</v>
      </c>
      <c r="C9">
        <v>36404</v>
      </c>
      <c r="D9" s="2">
        <v>37</v>
      </c>
      <c r="E9" s="3">
        <v>36441</v>
      </c>
      <c r="F9" t="s">
        <v>12</v>
      </c>
      <c r="G9" t="s">
        <v>12</v>
      </c>
      <c r="H9" s="1">
        <v>866.56345031391402</v>
      </c>
      <c r="I9" s="1">
        <v>3936.7167825985698</v>
      </c>
      <c r="J9" s="1">
        <v>415.79239326204601</v>
      </c>
      <c r="K9" s="1"/>
      <c r="L9" s="1">
        <v>9101.2434008183809</v>
      </c>
      <c r="M9" s="1"/>
      <c r="N9" s="1">
        <v>454.67272873151302</v>
      </c>
      <c r="O9" s="1">
        <v>9.7360327351501699</v>
      </c>
      <c r="P9" s="1"/>
      <c r="Q9" s="1">
        <v>-10134.142658282801</v>
      </c>
      <c r="R9" s="1">
        <v>51226</v>
      </c>
      <c r="S9" t="s">
        <v>11</v>
      </c>
    </row>
    <row r="10" spans="1:19" x14ac:dyDescent="0.55000000000000004">
      <c r="A10" t="s">
        <v>10</v>
      </c>
      <c r="B10">
        <v>2015</v>
      </c>
      <c r="C10">
        <v>44973</v>
      </c>
      <c r="D10" s="2">
        <v>76</v>
      </c>
      <c r="E10" s="3">
        <v>45049</v>
      </c>
      <c r="F10" t="s">
        <v>12</v>
      </c>
      <c r="G10" t="s">
        <v>12</v>
      </c>
      <c r="H10" s="1">
        <v>5916.3345740193299</v>
      </c>
      <c r="I10" s="1">
        <v>3135.2467560747</v>
      </c>
      <c r="J10" s="1">
        <v>51.269387016668098</v>
      </c>
      <c r="K10" s="1">
        <v>658.93077289869495</v>
      </c>
      <c r="L10" s="1">
        <v>7936.4117647058802</v>
      </c>
      <c r="M10" s="1"/>
      <c r="N10" s="1">
        <v>-1048.83063851922</v>
      </c>
      <c r="O10" s="1">
        <v>12.6717456326672</v>
      </c>
      <c r="P10" s="1"/>
      <c r="Q10" s="1">
        <v>-19775.584846814902</v>
      </c>
      <c r="R10" s="1">
        <v>61711</v>
      </c>
      <c r="S10" t="s">
        <v>11</v>
      </c>
    </row>
    <row r="11" spans="1:19" x14ac:dyDescent="0.55000000000000004">
      <c r="A11" t="s">
        <v>10</v>
      </c>
      <c r="B11">
        <v>2014</v>
      </c>
      <c r="C11">
        <v>35552</v>
      </c>
      <c r="D11" s="2">
        <v>211</v>
      </c>
      <c r="E11" s="3">
        <v>35763</v>
      </c>
      <c r="F11" t="s">
        <v>12</v>
      </c>
      <c r="G11" t="s">
        <v>12</v>
      </c>
      <c r="H11" s="1">
        <v>0</v>
      </c>
      <c r="I11" s="1">
        <v>36678.759385418503</v>
      </c>
      <c r="J11" s="1">
        <v>5254.5335916194799</v>
      </c>
      <c r="K11" s="1"/>
      <c r="L11" s="1">
        <v>8888.2447203942793</v>
      </c>
      <c r="M11" s="1"/>
      <c r="N11" s="1">
        <v>15480.0332608277</v>
      </c>
      <c r="O11" s="1">
        <v>52.859605165340497</v>
      </c>
      <c r="P11" s="1"/>
      <c r="Q11" s="1">
        <v>5354.2380001056599</v>
      </c>
      <c r="R11" s="1">
        <v>102117</v>
      </c>
      <c r="S11" t="s">
        <v>11</v>
      </c>
    </row>
    <row r="12" spans="1:19" x14ac:dyDescent="0.55000000000000004">
      <c r="A12" t="s">
        <v>10</v>
      </c>
      <c r="B12">
        <v>2013</v>
      </c>
      <c r="C12">
        <v>80086</v>
      </c>
      <c r="D12" s="2">
        <v>35</v>
      </c>
      <c r="E12" s="3">
        <v>80121</v>
      </c>
      <c r="F12" t="s">
        <v>12</v>
      </c>
      <c r="G12" t="s">
        <v>12</v>
      </c>
      <c r="H12" s="1">
        <v>1974.07069401227</v>
      </c>
      <c r="I12" s="1">
        <v>3103.3276990497602</v>
      </c>
      <c r="J12" s="1">
        <v>143.305641775797</v>
      </c>
      <c r="K12" s="1"/>
      <c r="L12" s="1">
        <v>8898.6620129830408</v>
      </c>
      <c r="M12" s="1"/>
      <c r="N12" s="1"/>
      <c r="O12" s="1">
        <v>3.9162336947884402</v>
      </c>
      <c r="P12" s="1"/>
      <c r="Q12" s="1">
        <v>-3779.5597471727701</v>
      </c>
      <c r="R12" s="1">
        <v>94244</v>
      </c>
      <c r="S12" t="s">
        <v>11</v>
      </c>
    </row>
    <row r="13" spans="1:19" x14ac:dyDescent="0.55000000000000004">
      <c r="A13" t="s">
        <v>10</v>
      </c>
      <c r="B13">
        <v>2012</v>
      </c>
      <c r="C13">
        <v>56282</v>
      </c>
      <c r="D13" s="2">
        <v>224</v>
      </c>
      <c r="E13" s="3">
        <v>56506</v>
      </c>
      <c r="F13" t="s">
        <v>12</v>
      </c>
      <c r="G13" t="s">
        <v>12</v>
      </c>
      <c r="H13" s="1">
        <v>690.06146222584505</v>
      </c>
      <c r="I13" s="1">
        <v>22456.912959946101</v>
      </c>
      <c r="J13" s="1">
        <v>4314.5190404983196</v>
      </c>
      <c r="K13" s="1"/>
      <c r="L13" s="1">
        <v>18760.666666666701</v>
      </c>
      <c r="M13" s="1"/>
      <c r="N13" s="1">
        <v>1762.26405242501</v>
      </c>
      <c r="O13" s="1">
        <v>74.947995514437906</v>
      </c>
      <c r="P13" s="1"/>
      <c r="Q13" s="1">
        <v>-58282.934511868298</v>
      </c>
      <c r="R13" s="1">
        <v>104565</v>
      </c>
      <c r="S13" t="s">
        <v>11</v>
      </c>
    </row>
    <row r="14" spans="1:19" x14ac:dyDescent="0.55000000000000004">
      <c r="A14" t="s">
        <v>10</v>
      </c>
      <c r="B14">
        <v>2011</v>
      </c>
      <c r="C14">
        <v>227742</v>
      </c>
      <c r="D14" s="2">
        <v>1075</v>
      </c>
      <c r="E14" s="3">
        <v>228817</v>
      </c>
      <c r="F14" t="s">
        <v>12</v>
      </c>
      <c r="G14" t="s">
        <v>12</v>
      </c>
      <c r="H14" s="1">
        <v>2237.6605470934801</v>
      </c>
      <c r="I14" s="1">
        <v>85609.645252668706</v>
      </c>
      <c r="J14" s="1">
        <v>24902.645127236701</v>
      </c>
      <c r="K14" s="1"/>
      <c r="L14" s="1">
        <v>25304.9899704864</v>
      </c>
      <c r="M14" s="1"/>
      <c r="N14" s="1"/>
      <c r="O14" s="1">
        <v>116.389375103809</v>
      </c>
      <c r="P14" s="1"/>
      <c r="Q14" s="1">
        <v>46703.868194931703</v>
      </c>
      <c r="R14" s="1">
        <v>366988</v>
      </c>
      <c r="S14" t="s">
        <v>11</v>
      </c>
    </row>
    <row r="15" spans="1:19" x14ac:dyDescent="0.55000000000000004">
      <c r="A15" t="s">
        <v>10</v>
      </c>
      <c r="B15">
        <v>2010</v>
      </c>
      <c r="C15">
        <v>128285</v>
      </c>
      <c r="D15" s="2">
        <v>180</v>
      </c>
      <c r="E15" s="3">
        <v>128465</v>
      </c>
      <c r="F15" t="s">
        <v>12</v>
      </c>
      <c r="G15" t="s">
        <v>12</v>
      </c>
      <c r="H15" s="1">
        <v>0</v>
      </c>
      <c r="I15" s="1">
        <v>152667.85181345799</v>
      </c>
      <c r="J15" s="1"/>
      <c r="K15" s="1"/>
      <c r="L15" s="1">
        <v>17493.678547773401</v>
      </c>
      <c r="M15" s="1"/>
      <c r="N15" s="1">
        <v>3986.6143081591499</v>
      </c>
      <c r="O15" s="1">
        <v>24.700212566041799</v>
      </c>
      <c r="P15" s="1"/>
      <c r="Q15" s="1">
        <v>-18858.327667438301</v>
      </c>
      <c r="R15" s="1">
        <v>302638</v>
      </c>
      <c r="S15" t="s">
        <v>11</v>
      </c>
    </row>
    <row r="16" spans="1:19" x14ac:dyDescent="0.55000000000000004">
      <c r="A16" t="s">
        <v>10</v>
      </c>
      <c r="B16">
        <v>2009</v>
      </c>
      <c r="C16">
        <v>53977</v>
      </c>
      <c r="D16" s="2">
        <v>179</v>
      </c>
      <c r="E16" s="3">
        <v>54156</v>
      </c>
      <c r="F16" t="s">
        <v>12</v>
      </c>
      <c r="G16" t="s">
        <v>12</v>
      </c>
      <c r="H16" s="1">
        <v>489.89369186303401</v>
      </c>
      <c r="I16" s="1">
        <v>3620.9180596144602</v>
      </c>
      <c r="J16" s="1">
        <v>198.530165291054</v>
      </c>
      <c r="K16" s="1"/>
      <c r="L16" s="1">
        <v>4693.6094903786698</v>
      </c>
      <c r="M16" s="1"/>
      <c r="N16" s="1"/>
      <c r="O16" s="1">
        <v>15.7075406496672</v>
      </c>
      <c r="P16" s="1"/>
      <c r="Q16" s="1">
        <v>-6535.4562941988297</v>
      </c>
      <c r="R16" s="1">
        <v>63175</v>
      </c>
      <c r="S16" t="s">
        <v>11</v>
      </c>
    </row>
    <row r="17" spans="1:19" x14ac:dyDescent="0.55000000000000004">
      <c r="A17" t="s">
        <v>10</v>
      </c>
      <c r="B17">
        <v>2008</v>
      </c>
      <c r="C17">
        <v>19500</v>
      </c>
      <c r="D17" s="2">
        <v>361</v>
      </c>
      <c r="E17" s="3">
        <v>19861</v>
      </c>
      <c r="F17" t="s">
        <v>12</v>
      </c>
      <c r="G17" t="s">
        <v>12</v>
      </c>
      <c r="H17" s="1">
        <v>122.109341833909</v>
      </c>
      <c r="I17" s="1">
        <v>8562.5111890163407</v>
      </c>
      <c r="J17" s="1">
        <v>915.08944617180305</v>
      </c>
      <c r="K17" s="1"/>
      <c r="L17" s="1"/>
      <c r="M17" s="1"/>
      <c r="N17" s="1"/>
      <c r="O17" s="1"/>
      <c r="P17" s="1"/>
      <c r="Q17" s="1">
        <v>-21412.8986358162</v>
      </c>
      <c r="R17" s="1">
        <v>50874</v>
      </c>
      <c r="S17" t="s">
        <v>9</v>
      </c>
    </row>
    <row r="18" spans="1:19" x14ac:dyDescent="0.55000000000000004">
      <c r="A18" t="s">
        <v>10</v>
      </c>
      <c r="B18">
        <v>2007</v>
      </c>
      <c r="C18">
        <v>93480</v>
      </c>
      <c r="D18" s="2">
        <v>47</v>
      </c>
      <c r="E18" s="3">
        <v>93527</v>
      </c>
      <c r="F18" t="s">
        <v>12</v>
      </c>
      <c r="G18" t="s">
        <v>12</v>
      </c>
      <c r="H18" s="1">
        <v>31919.361572239999</v>
      </c>
      <c r="I18" s="1">
        <v>10025.9752695488</v>
      </c>
      <c r="J18" s="1">
        <v>335.69608003735698</v>
      </c>
      <c r="K18" s="1"/>
      <c r="L18" s="1"/>
      <c r="M18" s="1"/>
      <c r="N18" s="1"/>
      <c r="O18" s="1"/>
      <c r="P18" s="1"/>
      <c r="Q18" s="1">
        <v>19973.7763725574</v>
      </c>
      <c r="R18" s="1">
        <v>135808</v>
      </c>
      <c r="S18" t="s">
        <v>9</v>
      </c>
    </row>
    <row r="19" spans="1:19" x14ac:dyDescent="0.55000000000000004">
      <c r="A19" t="s">
        <v>10</v>
      </c>
      <c r="B19">
        <v>2006</v>
      </c>
      <c r="C19">
        <v>266459</v>
      </c>
      <c r="D19" s="2">
        <v>80</v>
      </c>
      <c r="E19" s="3">
        <v>266539</v>
      </c>
      <c r="F19" t="s">
        <v>12</v>
      </c>
      <c r="G19" t="s">
        <v>12</v>
      </c>
      <c r="H19" s="1">
        <v>2601.11307715559</v>
      </c>
      <c r="I19" s="1">
        <v>154770.989553572</v>
      </c>
      <c r="J19" s="1">
        <v>5910.3764930708603</v>
      </c>
      <c r="K19" s="1"/>
      <c r="L19" s="1"/>
      <c r="M19" s="1"/>
      <c r="N19" s="1"/>
      <c r="O19" s="1"/>
      <c r="P19" s="1"/>
      <c r="Q19" s="1">
        <v>-116086.20075372601</v>
      </c>
      <c r="R19" s="1">
        <v>545908</v>
      </c>
      <c r="S19" t="s">
        <v>9</v>
      </c>
    </row>
    <row r="20" spans="1:19" x14ac:dyDescent="0.55000000000000004">
      <c r="A20" t="s">
        <v>10</v>
      </c>
      <c r="B20">
        <v>2005</v>
      </c>
      <c r="C20">
        <v>53546</v>
      </c>
      <c r="D20" s="2">
        <v>898</v>
      </c>
      <c r="E20" s="3">
        <v>54444</v>
      </c>
      <c r="F20" t="s">
        <v>12</v>
      </c>
      <c r="G20" t="s">
        <v>12</v>
      </c>
      <c r="H20" s="1">
        <v>1191.4079581853</v>
      </c>
      <c r="I20" s="1">
        <v>17143.695819397199</v>
      </c>
      <c r="J20" s="1">
        <v>1820.0648616870201</v>
      </c>
      <c r="K20" s="1"/>
      <c r="L20" s="1"/>
      <c r="M20" s="1"/>
      <c r="N20" s="1"/>
      <c r="O20" s="1"/>
      <c r="P20" s="1"/>
      <c r="Q20" s="1">
        <v>-60927.177390425699</v>
      </c>
      <c r="R20" s="1">
        <v>135526</v>
      </c>
      <c r="S20" t="s">
        <v>9</v>
      </c>
    </row>
    <row r="21" spans="1:19" x14ac:dyDescent="0.55000000000000004">
      <c r="A21" t="s">
        <v>10</v>
      </c>
      <c r="B21">
        <v>2004</v>
      </c>
      <c r="C21">
        <v>37617</v>
      </c>
      <c r="D21" s="2">
        <v>56</v>
      </c>
      <c r="E21" s="3">
        <v>37673</v>
      </c>
      <c r="F21" t="s">
        <v>12</v>
      </c>
      <c r="G21" t="s">
        <v>12</v>
      </c>
      <c r="H21" s="1">
        <v>5842.8497958881599</v>
      </c>
      <c r="I21" s="1">
        <v>27917.834982448501</v>
      </c>
      <c r="J21" s="1">
        <v>2044.4581395222101</v>
      </c>
      <c r="K21" s="1"/>
      <c r="L21" s="1"/>
      <c r="M21" s="1"/>
      <c r="N21" s="1"/>
      <c r="O21" s="1"/>
      <c r="P21" s="1"/>
      <c r="Q21" s="1">
        <v>-50017.160969820303</v>
      </c>
      <c r="R21" s="1">
        <v>123495</v>
      </c>
      <c r="S21" t="s">
        <v>9</v>
      </c>
    </row>
    <row r="22" spans="1:19" x14ac:dyDescent="0.55000000000000004">
      <c r="A22" t="s">
        <v>10</v>
      </c>
      <c r="B22">
        <v>2003</v>
      </c>
      <c r="C22">
        <v>309878</v>
      </c>
      <c r="D22" s="2">
        <v>652</v>
      </c>
      <c r="E22" s="3">
        <v>310530</v>
      </c>
      <c r="F22" t="s">
        <v>12</v>
      </c>
      <c r="G22" t="s">
        <v>12</v>
      </c>
      <c r="H22" s="1">
        <v>6480.9036744741697</v>
      </c>
      <c r="I22" s="1">
        <v>120862.093933554</v>
      </c>
      <c r="J22" s="1">
        <v>6768.9514297860296</v>
      </c>
      <c r="K22" s="1"/>
      <c r="L22" s="1"/>
      <c r="M22" s="1"/>
      <c r="N22" s="1"/>
      <c r="O22" s="1"/>
      <c r="P22" s="1"/>
      <c r="Q22" s="1">
        <v>50796.890302067201</v>
      </c>
      <c r="R22" s="1">
        <v>444642</v>
      </c>
      <c r="S22" t="s">
        <v>9</v>
      </c>
    </row>
    <row r="23" spans="1:19" x14ac:dyDescent="0.55000000000000004">
      <c r="A23" t="s">
        <v>10</v>
      </c>
      <c r="B23">
        <v>2002</v>
      </c>
      <c r="C23">
        <v>189500</v>
      </c>
      <c r="D23" s="2">
        <v>0</v>
      </c>
      <c r="E23" s="3">
        <v>189500</v>
      </c>
      <c r="F23" t="s">
        <v>12</v>
      </c>
      <c r="G23" t="s">
        <v>12</v>
      </c>
      <c r="H23" s="1">
        <v>11.7189320432483</v>
      </c>
      <c r="I23" s="1">
        <v>33202.587269397001</v>
      </c>
      <c r="J23" s="1">
        <v>1851.15927540284</v>
      </c>
      <c r="K23" s="1"/>
      <c r="L23" s="1"/>
      <c r="M23" s="1"/>
      <c r="N23" s="1"/>
      <c r="O23" s="1"/>
      <c r="P23" s="1"/>
      <c r="Q23" s="1">
        <v>-18525.069259526601</v>
      </c>
      <c r="R23" s="1">
        <v>243091</v>
      </c>
      <c r="S23" t="s">
        <v>9</v>
      </c>
    </row>
    <row r="24" spans="1:19" x14ac:dyDescent="0.55000000000000004">
      <c r="A24" t="s">
        <v>10</v>
      </c>
      <c r="B24">
        <v>2001</v>
      </c>
      <c r="C24">
        <v>44450</v>
      </c>
      <c r="D24" s="2">
        <v>277</v>
      </c>
      <c r="E24" s="3">
        <v>44727</v>
      </c>
      <c r="F24" t="s">
        <v>12</v>
      </c>
      <c r="G24" t="s">
        <v>12</v>
      </c>
      <c r="H24" s="1">
        <v>940.15916976472295</v>
      </c>
      <c r="I24" s="1">
        <v>8538.8410157374401</v>
      </c>
      <c r="J24" s="1">
        <v>75.381113616574297</v>
      </c>
      <c r="K24" s="1"/>
      <c r="L24" s="1"/>
      <c r="M24" s="1"/>
      <c r="N24" s="1"/>
      <c r="O24" s="1"/>
      <c r="P24" s="1"/>
      <c r="Q24" s="1">
        <v>-135.780582680614</v>
      </c>
      <c r="R24" s="1">
        <v>54417</v>
      </c>
      <c r="S24" t="s">
        <v>9</v>
      </c>
    </row>
    <row r="25" spans="1:19" x14ac:dyDescent="0.55000000000000004">
      <c r="A25" t="s">
        <v>10</v>
      </c>
      <c r="B25">
        <v>2000</v>
      </c>
      <c r="C25">
        <v>13842</v>
      </c>
      <c r="D25" s="2">
        <v>0</v>
      </c>
      <c r="E25" s="3">
        <v>13842</v>
      </c>
      <c r="F25" t="s">
        <v>12</v>
      </c>
      <c r="G25" t="s">
        <v>12</v>
      </c>
      <c r="H25" s="1">
        <v>20.335829028202902</v>
      </c>
      <c r="I25" s="1">
        <v>16627.335268447299</v>
      </c>
      <c r="J25" s="1">
        <v>6240.5365712374396</v>
      </c>
      <c r="K25" s="1"/>
      <c r="L25" s="1"/>
      <c r="M25" s="1"/>
      <c r="N25" s="1"/>
      <c r="O25" s="1"/>
      <c r="P25" s="1"/>
      <c r="Q25" s="1">
        <v>1911.6481880255999</v>
      </c>
      <c r="R25" s="1">
        <v>36730</v>
      </c>
      <c r="S25" t="s">
        <v>9</v>
      </c>
    </row>
    <row r="26" spans="1:19" x14ac:dyDescent="0.55000000000000004">
      <c r="A26" t="s">
        <v>10</v>
      </c>
      <c r="B26">
        <v>1999</v>
      </c>
      <c r="C26">
        <v>48916</v>
      </c>
      <c r="D26" s="2">
        <v>670</v>
      </c>
      <c r="E26" s="3">
        <v>49586</v>
      </c>
      <c r="F26" t="s">
        <v>12</v>
      </c>
      <c r="G26" t="s">
        <v>12</v>
      </c>
      <c r="H26" s="1">
        <v>1441.3311837612</v>
      </c>
      <c r="I26" s="1">
        <v>13777.378381275101</v>
      </c>
      <c r="J26" s="1">
        <v>1363.59917609288</v>
      </c>
      <c r="K26" s="1"/>
      <c r="L26" s="1"/>
      <c r="M26" s="1"/>
      <c r="N26" s="1"/>
      <c r="O26" s="1"/>
      <c r="P26" s="1"/>
      <c r="Q26" s="1">
        <v>-120377.80669971999</v>
      </c>
      <c r="R26" s="1">
        <v>186546</v>
      </c>
      <c r="S26" t="s">
        <v>9</v>
      </c>
    </row>
    <row r="27" spans="1:19" x14ac:dyDescent="0.55000000000000004">
      <c r="A27" t="s">
        <v>10</v>
      </c>
      <c r="B27">
        <v>1998</v>
      </c>
      <c r="C27">
        <v>295880</v>
      </c>
      <c r="D27" s="2">
        <v>369</v>
      </c>
      <c r="E27" s="3">
        <v>296249</v>
      </c>
      <c r="F27" t="s">
        <v>12</v>
      </c>
      <c r="G27" t="s">
        <v>12</v>
      </c>
      <c r="H27" s="1">
        <v>20635.031062513899</v>
      </c>
      <c r="I27" s="1">
        <v>94331.901649888096</v>
      </c>
      <c r="J27" s="1">
        <v>3531.1149342040399</v>
      </c>
      <c r="K27" s="1"/>
      <c r="L27" s="1"/>
      <c r="M27" s="1"/>
      <c r="N27" s="1"/>
      <c r="O27" s="1"/>
      <c r="P27" s="1"/>
      <c r="Q27" s="1">
        <v>-62540.936010675199</v>
      </c>
      <c r="R27" s="1">
        <v>477288</v>
      </c>
      <c r="S27" t="s">
        <v>9</v>
      </c>
    </row>
    <row r="28" spans="1:19" x14ac:dyDescent="0.55000000000000004">
      <c r="A28" t="s">
        <v>10</v>
      </c>
      <c r="B28">
        <v>1997</v>
      </c>
      <c r="C28">
        <v>50202</v>
      </c>
      <c r="D28" s="2">
        <v>670</v>
      </c>
      <c r="E28" s="3">
        <v>50872</v>
      </c>
      <c r="F28" t="s">
        <v>12</v>
      </c>
      <c r="G28" t="s">
        <v>12</v>
      </c>
      <c r="H28" s="1">
        <v>4062.13866424343</v>
      </c>
      <c r="I28" s="1">
        <v>187303.98655105001</v>
      </c>
      <c r="J28" s="1">
        <v>1377.74442013713</v>
      </c>
      <c r="K28" s="1"/>
      <c r="L28" s="1"/>
      <c r="M28" s="1"/>
      <c r="N28" s="1"/>
      <c r="O28" s="1"/>
      <c r="P28" s="1"/>
      <c r="Q28" s="1">
        <v>-16999.663782965399</v>
      </c>
      <c r="R28" s="1">
        <v>260616</v>
      </c>
      <c r="S28" t="s">
        <v>9</v>
      </c>
    </row>
    <row r="29" spans="1:19" x14ac:dyDescent="0.55000000000000004">
      <c r="A29" t="s">
        <v>10</v>
      </c>
      <c r="B29">
        <v>1996</v>
      </c>
      <c r="C29">
        <v>56112</v>
      </c>
      <c r="D29" s="2">
        <v>8011</v>
      </c>
      <c r="E29" s="3">
        <v>64123</v>
      </c>
      <c r="F29" t="s">
        <v>12</v>
      </c>
      <c r="G29" t="s">
        <v>12</v>
      </c>
      <c r="H29" s="1">
        <v>1857.5432771784001</v>
      </c>
      <c r="I29" s="1">
        <v>45355.927316299298</v>
      </c>
      <c r="J29" s="1">
        <v>1509.1893994022901</v>
      </c>
      <c r="K29" s="1"/>
      <c r="L29" s="1"/>
      <c r="M29" s="1"/>
      <c r="N29" s="1"/>
      <c r="O29" s="1"/>
      <c r="P29" s="1"/>
      <c r="Q29" s="1">
        <v>8261.5984663511808</v>
      </c>
      <c r="R29" s="1">
        <v>112846</v>
      </c>
      <c r="S29" t="s">
        <v>9</v>
      </c>
    </row>
    <row r="30" spans="1:19" x14ac:dyDescent="0.55000000000000004">
      <c r="A30" t="s">
        <v>10</v>
      </c>
      <c r="B30">
        <v>1995</v>
      </c>
      <c r="C30">
        <v>39871</v>
      </c>
      <c r="D30" s="2">
        <v>3139</v>
      </c>
      <c r="E30" s="3">
        <v>43010</v>
      </c>
      <c r="F30" t="s">
        <v>12</v>
      </c>
      <c r="G30" t="s">
        <v>12</v>
      </c>
      <c r="H30" s="1">
        <v>13.0357132991846</v>
      </c>
      <c r="I30" s="1">
        <v>28889.473029258799</v>
      </c>
      <c r="J30" s="1">
        <v>15369.382231743601</v>
      </c>
      <c r="K30" s="1"/>
      <c r="L30" s="1"/>
      <c r="M30" s="1"/>
      <c r="N30" s="1"/>
      <c r="O30" s="1"/>
      <c r="P30" s="1"/>
      <c r="Q30" s="1">
        <v>-17146.816576091998</v>
      </c>
      <c r="R30" s="1">
        <v>104429</v>
      </c>
      <c r="S30" t="s">
        <v>9</v>
      </c>
    </row>
    <row r="31" spans="1:19" x14ac:dyDescent="0.55000000000000004">
      <c r="A31" t="s">
        <v>10</v>
      </c>
      <c r="B31">
        <v>1994</v>
      </c>
      <c r="C31">
        <v>39234</v>
      </c>
      <c r="D31" s="2">
        <v>211</v>
      </c>
      <c r="E31" s="3">
        <v>39445</v>
      </c>
      <c r="F31" t="s">
        <v>12</v>
      </c>
      <c r="G31" t="s">
        <v>12</v>
      </c>
      <c r="H31" s="1">
        <v>23126.730646794102</v>
      </c>
      <c r="I31" s="1">
        <v>390495.81854518497</v>
      </c>
      <c r="J31" s="1">
        <v>1122.20570055804</v>
      </c>
      <c r="K31" s="1"/>
      <c r="L31" s="1"/>
      <c r="M31" s="1"/>
      <c r="N31" s="1"/>
      <c r="O31" s="1"/>
      <c r="P31" s="1"/>
      <c r="Q31" s="1">
        <v>-82318.658771351795</v>
      </c>
      <c r="R31" s="1">
        <v>536508</v>
      </c>
      <c r="S31" t="s">
        <v>9</v>
      </c>
    </row>
    <row r="32" spans="1:19" x14ac:dyDescent="0.55000000000000004">
      <c r="A32" t="s">
        <v>10</v>
      </c>
      <c r="B32">
        <v>1993</v>
      </c>
      <c r="C32">
        <v>244954</v>
      </c>
      <c r="D32" s="2">
        <v>5471</v>
      </c>
      <c r="E32" s="3">
        <v>250425</v>
      </c>
      <c r="F32" t="s">
        <v>12</v>
      </c>
      <c r="G32" t="s">
        <v>12</v>
      </c>
      <c r="H32" s="1">
        <v>17071.109389449</v>
      </c>
      <c r="I32" s="1">
        <v>1358416.0322054201</v>
      </c>
      <c r="J32" s="1"/>
      <c r="K32" s="1"/>
      <c r="L32" s="1"/>
      <c r="M32" s="1"/>
      <c r="N32" s="1"/>
      <c r="O32" s="1"/>
      <c r="P32" s="1"/>
      <c r="Q32" s="1">
        <v>-104850.23409559199</v>
      </c>
      <c r="R32" s="1">
        <v>1730762</v>
      </c>
      <c r="S32" t="s">
        <v>9</v>
      </c>
    </row>
    <row r="33" spans="1:19" x14ac:dyDescent="0.55000000000000004">
      <c r="A33" t="s">
        <v>10</v>
      </c>
      <c r="B33">
        <v>1992</v>
      </c>
      <c r="C33">
        <v>185908</v>
      </c>
      <c r="D33" s="2">
        <v>32625</v>
      </c>
      <c r="E33" s="3">
        <v>218533</v>
      </c>
      <c r="F33" t="s">
        <v>12</v>
      </c>
      <c r="G33" t="s">
        <v>12</v>
      </c>
      <c r="H33" s="1">
        <v>20742.1828131211</v>
      </c>
      <c r="I33" s="1">
        <v>260637.11699952401</v>
      </c>
      <c r="J33" s="1">
        <v>7922.3801107650797</v>
      </c>
      <c r="K33" s="1"/>
      <c r="L33" s="1"/>
      <c r="M33" s="1"/>
      <c r="N33" s="1"/>
      <c r="O33" s="1"/>
      <c r="P33" s="1"/>
      <c r="Q33" s="1">
        <v>116784.022153005</v>
      </c>
      <c r="R33" s="1">
        <v>507835</v>
      </c>
      <c r="S33" t="s">
        <v>9</v>
      </c>
    </row>
    <row r="34" spans="1:19" x14ac:dyDescent="0.55000000000000004">
      <c r="A34" t="s">
        <v>10</v>
      </c>
      <c r="B34">
        <v>1991</v>
      </c>
      <c r="C34">
        <v>293626</v>
      </c>
      <c r="D34" s="2">
        <v>22843</v>
      </c>
      <c r="E34" s="3">
        <v>316469</v>
      </c>
      <c r="F34" t="s">
        <v>12</v>
      </c>
      <c r="G34" t="s">
        <v>12</v>
      </c>
      <c r="H34" s="1">
        <v>13530.3270133632</v>
      </c>
      <c r="I34" s="1">
        <v>576535.99258501397</v>
      </c>
      <c r="J34" s="1">
        <v>3834.6383095128799</v>
      </c>
      <c r="K34" s="1"/>
      <c r="L34" s="1"/>
      <c r="M34" s="1"/>
      <c r="N34" s="1"/>
      <c r="O34" s="1"/>
      <c r="P34" s="1"/>
      <c r="Q34" s="1">
        <v>114924.813379064</v>
      </c>
      <c r="R34" s="1">
        <v>910370</v>
      </c>
      <c r="S34" t="s">
        <v>9</v>
      </c>
    </row>
    <row r="35" spans="1:19" x14ac:dyDescent="0.55000000000000004">
      <c r="A35" t="s">
        <v>10</v>
      </c>
      <c r="B35">
        <v>1990</v>
      </c>
      <c r="C35">
        <v>166773</v>
      </c>
      <c r="D35" s="2">
        <v>3489</v>
      </c>
      <c r="E35" s="3">
        <v>170262</v>
      </c>
      <c r="F35" t="s">
        <v>12</v>
      </c>
      <c r="G35" t="s">
        <v>12</v>
      </c>
      <c r="H35" s="1">
        <v>17214.866654603</v>
      </c>
      <c r="I35" s="1">
        <v>767004.49779200403</v>
      </c>
      <c r="J35" s="1">
        <v>261.11908334470002</v>
      </c>
      <c r="K35" s="1"/>
      <c r="L35" s="1"/>
      <c r="M35" s="1"/>
      <c r="N35" s="1"/>
      <c r="O35" s="1"/>
      <c r="P35" s="1"/>
      <c r="Q35" s="1">
        <v>-49819.176995376198</v>
      </c>
      <c r="R35" s="1">
        <v>1004562</v>
      </c>
      <c r="S35" t="s">
        <v>9</v>
      </c>
    </row>
    <row r="36" spans="1:19" x14ac:dyDescent="0.55000000000000004">
      <c r="A36" t="s">
        <v>10</v>
      </c>
      <c r="B36">
        <v>1989</v>
      </c>
      <c r="C36">
        <v>29334</v>
      </c>
      <c r="D36" s="2">
        <v>17369</v>
      </c>
      <c r="E36" s="3">
        <v>46703</v>
      </c>
      <c r="F36" t="s">
        <v>12</v>
      </c>
      <c r="G36" t="s">
        <v>12</v>
      </c>
      <c r="H36" s="1">
        <v>2466.2771612092602</v>
      </c>
      <c r="I36" s="1">
        <v>208465.152528796</v>
      </c>
      <c r="J36" s="1">
        <v>3131.9588596906001</v>
      </c>
      <c r="K36" s="1"/>
      <c r="L36" s="1"/>
      <c r="M36" s="1"/>
      <c r="N36" s="1"/>
      <c r="O36" s="1"/>
      <c r="P36" s="1"/>
      <c r="Q36" s="1">
        <v>15407.4948333301</v>
      </c>
      <c r="R36" s="1">
        <v>260766</v>
      </c>
      <c r="S36" t="s">
        <v>9</v>
      </c>
    </row>
    <row r="37" spans="1:19" x14ac:dyDescent="0.55000000000000004">
      <c r="A37" t="s">
        <v>10</v>
      </c>
      <c r="B37">
        <v>1988</v>
      </c>
      <c r="C37">
        <v>166591</v>
      </c>
      <c r="D37" s="2">
        <v>10736</v>
      </c>
      <c r="E37" s="3">
        <v>177327</v>
      </c>
      <c r="F37" t="s">
        <v>12</v>
      </c>
      <c r="G37" t="s">
        <v>12</v>
      </c>
      <c r="H37" s="1">
        <v>0</v>
      </c>
      <c r="I37" s="1">
        <v>331670.82899178303</v>
      </c>
      <c r="J37" s="1">
        <v>15258.6885968838</v>
      </c>
      <c r="K37" s="1"/>
      <c r="L37" s="1"/>
      <c r="M37" s="1"/>
      <c r="N37" s="1"/>
      <c r="O37" s="1"/>
      <c r="P37" s="1"/>
      <c r="Q37" s="1">
        <v>-49007.441456336201</v>
      </c>
      <c r="R37" s="1">
        <v>573264</v>
      </c>
      <c r="S37" t="s">
        <v>9</v>
      </c>
    </row>
    <row r="38" spans="1:19" x14ac:dyDescent="0.55000000000000004">
      <c r="A38" t="s">
        <v>10</v>
      </c>
      <c r="B38">
        <v>1987</v>
      </c>
      <c r="C38">
        <v>164849</v>
      </c>
      <c r="D38" s="2">
        <v>3992</v>
      </c>
      <c r="E38" s="3">
        <v>168841</v>
      </c>
      <c r="F38" t="s">
        <v>12</v>
      </c>
      <c r="G38" t="s">
        <v>12</v>
      </c>
      <c r="H38" s="1">
        <v>841.31655902790203</v>
      </c>
      <c r="I38" s="1">
        <v>739667.34221818601</v>
      </c>
      <c r="J38" s="1">
        <v>16032.243636847101</v>
      </c>
      <c r="K38" s="1"/>
      <c r="L38" s="1"/>
      <c r="M38" s="1"/>
      <c r="N38" s="1"/>
      <c r="O38" s="1"/>
      <c r="P38" s="1"/>
      <c r="Q38" s="1">
        <v>-125656.057430491</v>
      </c>
      <c r="R38" s="1">
        <v>1051038</v>
      </c>
      <c r="S38" t="s">
        <v>9</v>
      </c>
    </row>
    <row r="39" spans="1:19" x14ac:dyDescent="0.55000000000000004">
      <c r="A39" t="s">
        <v>10</v>
      </c>
      <c r="B39">
        <v>1986</v>
      </c>
      <c r="C39">
        <v>335630</v>
      </c>
      <c r="D39" s="2">
        <v>12664</v>
      </c>
      <c r="E39" s="3">
        <v>348294</v>
      </c>
      <c r="F39" t="s">
        <v>12</v>
      </c>
      <c r="G39" t="s">
        <v>12</v>
      </c>
      <c r="H39" s="1">
        <v>4925.6370314527603</v>
      </c>
      <c r="I39" s="1">
        <v>1283883.7305916599</v>
      </c>
      <c r="J39" s="1">
        <v>15690.971069011501</v>
      </c>
      <c r="K39" s="1"/>
      <c r="L39" s="1"/>
      <c r="M39" s="1"/>
      <c r="N39" s="1"/>
      <c r="O39" s="1"/>
      <c r="P39" s="1"/>
      <c r="Q39" s="1">
        <v>114870.52606952999</v>
      </c>
      <c r="R39" s="1">
        <v>1652794</v>
      </c>
      <c r="S39" t="s">
        <v>9</v>
      </c>
    </row>
    <row r="40" spans="1:19" x14ac:dyDescent="0.55000000000000004">
      <c r="A40" t="s">
        <v>10</v>
      </c>
      <c r="B40">
        <v>1985</v>
      </c>
      <c r="C40">
        <v>11905</v>
      </c>
      <c r="D40" s="2">
        <v>25707</v>
      </c>
      <c r="E40" s="3">
        <v>37612</v>
      </c>
      <c r="F40" t="s">
        <v>12</v>
      </c>
      <c r="G40" t="s">
        <v>12</v>
      </c>
      <c r="H40" s="1">
        <v>153.71501296308401</v>
      </c>
      <c r="I40" s="1">
        <v>112586.914207018</v>
      </c>
      <c r="J40" s="1">
        <v>3496.6374583143001</v>
      </c>
      <c r="K40" s="1"/>
      <c r="L40" s="1"/>
      <c r="M40" s="1"/>
      <c r="N40" s="1"/>
      <c r="O40" s="1"/>
      <c r="P40" s="1"/>
      <c r="Q40" s="1">
        <v>19038.864320212098</v>
      </c>
      <c r="R40" s="1">
        <v>153849</v>
      </c>
      <c r="S40" t="s">
        <v>9</v>
      </c>
    </row>
    <row r="41" spans="1:19" x14ac:dyDescent="0.55000000000000004">
      <c r="A41" t="s">
        <v>10</v>
      </c>
      <c r="B41">
        <v>1984</v>
      </c>
      <c r="C41">
        <v>40245</v>
      </c>
      <c r="D41" s="2">
        <v>2604</v>
      </c>
      <c r="E41" s="3">
        <v>42849</v>
      </c>
      <c r="F41" t="s">
        <v>12</v>
      </c>
      <c r="G41" t="s">
        <v>12</v>
      </c>
      <c r="H41" s="1">
        <v>0</v>
      </c>
      <c r="I41" s="1">
        <v>201770.92067992</v>
      </c>
      <c r="J41" s="1">
        <v>12487.6136346679</v>
      </c>
      <c r="K41" s="1"/>
      <c r="L41" s="1"/>
      <c r="M41" s="1"/>
      <c r="N41" s="1"/>
      <c r="O41" s="1"/>
      <c r="P41" s="1"/>
      <c r="Q41" s="1">
        <v>-72162.6865269259</v>
      </c>
      <c r="R41" s="1">
        <v>329270</v>
      </c>
      <c r="S41" t="s">
        <v>9</v>
      </c>
    </row>
    <row r="42" spans="1:19" x14ac:dyDescent="0.55000000000000004">
      <c r="A42" t="s">
        <v>10</v>
      </c>
      <c r="B42">
        <v>1983</v>
      </c>
      <c r="C42">
        <v>44029</v>
      </c>
      <c r="D42" s="2">
        <v>4812</v>
      </c>
      <c r="E42" s="3">
        <v>48841</v>
      </c>
      <c r="F42" t="s">
        <v>12</v>
      </c>
      <c r="G42" t="s">
        <v>12</v>
      </c>
      <c r="H42" s="1">
        <v>9464.8647447989497</v>
      </c>
      <c r="I42" s="1">
        <v>397752.39029373199</v>
      </c>
      <c r="J42" s="1">
        <v>12636.490054031699</v>
      </c>
      <c r="K42" s="1"/>
      <c r="L42" s="1"/>
      <c r="M42" s="1"/>
      <c r="N42" s="1"/>
      <c r="O42" s="1"/>
      <c r="P42" s="1"/>
      <c r="Q42" s="1">
        <v>-62722.097496869501</v>
      </c>
      <c r="R42" s="1">
        <v>531417</v>
      </c>
      <c r="S42" t="s">
        <v>9</v>
      </c>
    </row>
    <row r="43" spans="1:19" x14ac:dyDescent="0.55000000000000004">
      <c r="A43" t="s">
        <v>10</v>
      </c>
      <c r="B43">
        <v>1982</v>
      </c>
      <c r="C43">
        <v>119738</v>
      </c>
      <c r="D43" s="2">
        <v>9033</v>
      </c>
      <c r="E43" s="3">
        <v>128771</v>
      </c>
      <c r="F43" t="s">
        <v>12</v>
      </c>
      <c r="G43" t="s">
        <v>12</v>
      </c>
      <c r="H43" s="1"/>
      <c r="I43" s="1">
        <v>489836.120076021</v>
      </c>
      <c r="J43" s="1">
        <v>21231.4290998488</v>
      </c>
      <c r="K43" s="1"/>
      <c r="L43" s="1"/>
      <c r="M43" s="1"/>
      <c r="N43" s="1"/>
      <c r="O43" s="1"/>
      <c r="P43" s="1"/>
      <c r="Q43" s="1">
        <v>-34097.791604205602</v>
      </c>
      <c r="R43" s="1">
        <v>673936</v>
      </c>
      <c r="S43" t="s">
        <v>9</v>
      </c>
    </row>
    <row r="44" spans="1:19" x14ac:dyDescent="0.55000000000000004">
      <c r="A44" t="s">
        <v>10</v>
      </c>
      <c r="B44">
        <v>1981</v>
      </c>
      <c r="C44">
        <v>49023</v>
      </c>
      <c r="D44" s="2">
        <v>16472</v>
      </c>
      <c r="E44" s="3">
        <v>65495</v>
      </c>
      <c r="F44" t="s">
        <v>12</v>
      </c>
      <c r="G44" t="s">
        <v>12</v>
      </c>
      <c r="H44" s="1"/>
      <c r="I44" s="1">
        <v>408972.81974229001</v>
      </c>
      <c r="J44" s="1">
        <v>9025.0034609521208</v>
      </c>
      <c r="K44" s="1"/>
      <c r="L44" s="1"/>
      <c r="M44" s="1"/>
      <c r="N44" s="1"/>
      <c r="O44" s="1"/>
      <c r="P44" s="1"/>
      <c r="Q44" s="1">
        <v>-32204.063341025601</v>
      </c>
      <c r="R44" s="1">
        <v>515697</v>
      </c>
      <c r="S44" t="s">
        <v>9</v>
      </c>
    </row>
    <row r="45" spans="1:19" x14ac:dyDescent="0.55000000000000004">
      <c r="A45" t="s">
        <v>10</v>
      </c>
      <c r="B45">
        <v>1980</v>
      </c>
      <c r="C45">
        <v>78613</v>
      </c>
      <c r="D45" s="2">
        <v>12309</v>
      </c>
      <c r="E45" s="3">
        <v>90922</v>
      </c>
      <c r="F45" t="s">
        <v>12</v>
      </c>
      <c r="G45" t="s">
        <v>12</v>
      </c>
      <c r="H45" s="1"/>
      <c r="I45" s="1">
        <v>409592.97103027999</v>
      </c>
      <c r="J45" s="1">
        <v>19278.727638280201</v>
      </c>
      <c r="K45" s="1"/>
      <c r="L45" s="1"/>
      <c r="M45" s="1"/>
      <c r="N45" s="1"/>
      <c r="O45" s="1"/>
      <c r="P45" s="1"/>
      <c r="Q45" s="1">
        <v>-35032.083588916903</v>
      </c>
      <c r="R45" s="1">
        <v>554826</v>
      </c>
      <c r="S45" t="s">
        <v>9</v>
      </c>
    </row>
    <row r="46" spans="1:19" x14ac:dyDescent="0.55000000000000004">
      <c r="A46" t="s">
        <v>10</v>
      </c>
      <c r="B46">
        <v>1979</v>
      </c>
      <c r="C46">
        <v>60988</v>
      </c>
      <c r="D46" s="2">
        <v>17100</v>
      </c>
      <c r="E46" s="3">
        <v>78088</v>
      </c>
      <c r="F46" t="s">
        <v>12</v>
      </c>
      <c r="G46" t="s">
        <v>12</v>
      </c>
      <c r="H46" s="1"/>
      <c r="I46" s="1">
        <v>257827.43432949699</v>
      </c>
      <c r="J46" s="1">
        <v>16305.529118803801</v>
      </c>
      <c r="K46" s="1"/>
      <c r="L46" s="1"/>
      <c r="M46" s="1"/>
      <c r="N46" s="1"/>
      <c r="O46" s="1"/>
      <c r="P46" s="1"/>
      <c r="Q46" s="1">
        <v>33313.460260956803</v>
      </c>
      <c r="R46" s="1">
        <v>352221</v>
      </c>
      <c r="S46" t="s">
        <v>9</v>
      </c>
    </row>
    <row r="47" spans="1:19" x14ac:dyDescent="0.55000000000000004">
      <c r="A47" t="s">
        <v>10</v>
      </c>
      <c r="B47">
        <v>1978</v>
      </c>
      <c r="C47">
        <v>94782</v>
      </c>
      <c r="D47" s="2">
        <v>5075</v>
      </c>
      <c r="E47" s="3">
        <v>99857</v>
      </c>
      <c r="F47" t="s">
        <v>12</v>
      </c>
      <c r="G47" t="s">
        <v>12</v>
      </c>
      <c r="H47" s="1"/>
      <c r="I47" s="1">
        <v>348925.72416397999</v>
      </c>
      <c r="J47" s="1">
        <v>21567.104371374899</v>
      </c>
      <c r="K47" s="1"/>
      <c r="L47" s="1"/>
      <c r="M47" s="1"/>
      <c r="N47" s="1"/>
      <c r="O47" s="1"/>
      <c r="P47" s="1"/>
      <c r="Q47" s="1">
        <v>-1106.6805415501101</v>
      </c>
      <c r="R47" s="1">
        <v>471457</v>
      </c>
      <c r="S47" t="s">
        <v>9</v>
      </c>
    </row>
    <row r="48" spans="1:19" x14ac:dyDescent="0.55000000000000004">
      <c r="A48" t="s">
        <v>10</v>
      </c>
      <c r="B48">
        <v>1977</v>
      </c>
      <c r="C48">
        <v>23845</v>
      </c>
      <c r="D48" s="2">
        <v>19294</v>
      </c>
      <c r="E48" s="3">
        <v>43139</v>
      </c>
      <c r="F48" t="s">
        <v>12</v>
      </c>
      <c r="G48" t="s">
        <v>12</v>
      </c>
      <c r="H48" s="1"/>
      <c r="I48" s="1">
        <v>185454.65854940601</v>
      </c>
      <c r="J48" s="1">
        <v>19918.602751200899</v>
      </c>
      <c r="K48" s="1"/>
      <c r="L48" s="1"/>
      <c r="M48" s="1"/>
      <c r="N48" s="1"/>
      <c r="O48" s="1"/>
      <c r="P48" s="1"/>
      <c r="Q48" s="1">
        <v>5865.2561213234703</v>
      </c>
      <c r="R48" s="1">
        <v>248512</v>
      </c>
      <c r="S48" t="s">
        <v>9</v>
      </c>
    </row>
    <row r="49" spans="1:19" x14ac:dyDescent="0.55000000000000004">
      <c r="A49" t="s">
        <v>10</v>
      </c>
      <c r="B49">
        <v>1976</v>
      </c>
      <c r="C49">
        <v>77305</v>
      </c>
      <c r="D49" s="2">
        <v>30816</v>
      </c>
      <c r="E49" s="3">
        <v>108121</v>
      </c>
      <c r="F49" t="s">
        <v>12</v>
      </c>
      <c r="G49" t="s">
        <v>12</v>
      </c>
      <c r="H49" s="1"/>
      <c r="I49" s="1">
        <v>408731.15002632001</v>
      </c>
      <c r="J49" s="1">
        <v>14018.2554557124</v>
      </c>
      <c r="K49" s="1"/>
      <c r="L49" s="1"/>
      <c r="M49" s="1"/>
      <c r="N49" s="1"/>
      <c r="O49" s="1"/>
      <c r="P49" s="1"/>
      <c r="Q49" s="1"/>
      <c r="R49" s="1">
        <v>530870</v>
      </c>
      <c r="S49" t="s">
        <v>12</v>
      </c>
    </row>
    <row r="50" spans="1:19" x14ac:dyDescent="0.55000000000000004">
      <c r="A50" t="s">
        <v>10</v>
      </c>
      <c r="B50">
        <v>1975</v>
      </c>
      <c r="C50">
        <v>61538</v>
      </c>
      <c r="D50" s="2">
        <v>31390</v>
      </c>
      <c r="E50" s="3">
        <v>92928</v>
      </c>
      <c r="F50" t="s">
        <v>12</v>
      </c>
      <c r="G50" t="s">
        <v>12</v>
      </c>
      <c r="H50" s="1"/>
      <c r="I50" s="1">
        <v>249754.741215432</v>
      </c>
      <c r="J50" s="1">
        <v>11473.444032138401</v>
      </c>
      <c r="K50" s="1"/>
      <c r="L50" s="1"/>
      <c r="M50" s="1"/>
      <c r="N50" s="1"/>
      <c r="O50" s="1"/>
      <c r="P50" s="1"/>
      <c r="Q50" s="1"/>
      <c r="R50" s="1">
        <v>354156</v>
      </c>
      <c r="S50" t="s">
        <v>11</v>
      </c>
    </row>
    <row r="51" spans="1:19" x14ac:dyDescent="0.55000000000000004">
      <c r="A51" t="s">
        <v>10</v>
      </c>
      <c r="B51">
        <v>1974</v>
      </c>
      <c r="C51">
        <v>119637</v>
      </c>
      <c r="D51" s="2">
        <v>53826</v>
      </c>
      <c r="E51" s="3">
        <v>173463</v>
      </c>
      <c r="F51" t="s">
        <v>12</v>
      </c>
      <c r="G51" t="s">
        <v>12</v>
      </c>
      <c r="H51" s="1"/>
      <c r="I51" s="1">
        <v>681483.32523025596</v>
      </c>
      <c r="J51" s="1">
        <v>24028.399907897801</v>
      </c>
      <c r="K51" s="1"/>
      <c r="L51" s="1"/>
      <c r="M51" s="1"/>
      <c r="N51" s="1"/>
      <c r="O51" s="1"/>
      <c r="P51" s="1"/>
      <c r="Q51" s="1"/>
      <c r="R51" s="1">
        <v>878975</v>
      </c>
      <c r="S51" t="s">
        <v>12</v>
      </c>
    </row>
    <row r="52" spans="1:19" x14ac:dyDescent="0.55000000000000004">
      <c r="A52" t="s">
        <v>10</v>
      </c>
      <c r="B52">
        <v>1973</v>
      </c>
      <c r="C52">
        <v>56653</v>
      </c>
      <c r="D52" s="2">
        <v>82642</v>
      </c>
      <c r="E52" s="3">
        <v>139295</v>
      </c>
      <c r="F52" t="s">
        <v>12</v>
      </c>
      <c r="G52" t="s">
        <v>12</v>
      </c>
      <c r="H52" s="1"/>
      <c r="I52" s="1">
        <v>469938.64109811198</v>
      </c>
      <c r="J52" s="1">
        <v>7330.3165642059303</v>
      </c>
      <c r="K52" s="1"/>
      <c r="L52" s="1"/>
      <c r="M52" s="1"/>
      <c r="N52" s="1"/>
      <c r="O52" s="1"/>
      <c r="P52" s="1"/>
      <c r="Q52" s="1"/>
      <c r="R52" s="1">
        <v>616564</v>
      </c>
      <c r="S52" t="s">
        <v>12</v>
      </c>
    </row>
    <row r="53" spans="1:19" x14ac:dyDescent="0.55000000000000004">
      <c r="A53" t="s">
        <v>10</v>
      </c>
      <c r="B53">
        <v>1972</v>
      </c>
      <c r="C53">
        <v>54516</v>
      </c>
      <c r="D53" s="2">
        <v>58581</v>
      </c>
      <c r="E53" s="3">
        <v>113097</v>
      </c>
      <c r="F53" t="s">
        <v>12</v>
      </c>
      <c r="G53" t="s">
        <v>12</v>
      </c>
      <c r="H53" s="1"/>
      <c r="I53" s="1">
        <v>240050.683811353</v>
      </c>
      <c r="J53" s="1">
        <v>5298.9935432155298</v>
      </c>
      <c r="K53" s="1"/>
      <c r="L53" s="1"/>
      <c r="M53" s="1"/>
      <c r="N53" s="1"/>
      <c r="O53" s="1"/>
      <c r="P53" s="1"/>
      <c r="Q53" s="1"/>
      <c r="R53" s="1">
        <v>358447</v>
      </c>
      <c r="S53" t="s">
        <v>12</v>
      </c>
    </row>
    <row r="54" spans="1:19" x14ac:dyDescent="0.55000000000000004">
      <c r="A54" t="s">
        <v>10</v>
      </c>
      <c r="B54">
        <v>1971</v>
      </c>
      <c r="C54">
        <v>24629</v>
      </c>
      <c r="D54" s="2">
        <v>8043</v>
      </c>
      <c r="E54" s="3">
        <v>32672</v>
      </c>
      <c r="F54" t="s">
        <v>12</v>
      </c>
      <c r="G54" t="s">
        <v>12</v>
      </c>
      <c r="H54" s="1"/>
      <c r="I54" s="1">
        <v>452003</v>
      </c>
      <c r="J54" s="1">
        <v>6813</v>
      </c>
      <c r="K54" s="1"/>
      <c r="L54" s="1"/>
      <c r="M54" s="1"/>
      <c r="N54" s="1"/>
      <c r="O54" s="1"/>
      <c r="P54" s="1"/>
      <c r="Q54" s="1"/>
      <c r="R54" s="1">
        <v>491488</v>
      </c>
      <c r="S54" t="s">
        <v>12</v>
      </c>
    </row>
    <row r="55" spans="1:19" x14ac:dyDescent="0.55000000000000004">
      <c r="A55" t="s">
        <v>10</v>
      </c>
      <c r="B55">
        <v>1970</v>
      </c>
      <c r="C55">
        <v>30656</v>
      </c>
      <c r="D55" s="2">
        <v>42104</v>
      </c>
      <c r="E55" s="3">
        <v>72760</v>
      </c>
      <c r="F55" t="s">
        <v>12</v>
      </c>
      <c r="G55" t="s">
        <v>12</v>
      </c>
      <c r="H55" s="1"/>
      <c r="I55" s="1">
        <v>159314</v>
      </c>
      <c r="J55" s="1">
        <v>6610</v>
      </c>
      <c r="K55" s="1"/>
      <c r="L55" s="1"/>
      <c r="M55" s="1"/>
      <c r="N55" s="1"/>
      <c r="O55" s="1"/>
      <c r="P55" s="1"/>
      <c r="Q55" s="1"/>
      <c r="R55" s="1">
        <v>238684</v>
      </c>
      <c r="S55" t="s">
        <v>12</v>
      </c>
    </row>
    <row r="56" spans="1:19" x14ac:dyDescent="0.55000000000000004">
      <c r="A56" t="s">
        <v>10</v>
      </c>
      <c r="B56">
        <v>1969</v>
      </c>
      <c r="C56">
        <v>37382</v>
      </c>
      <c r="D56" s="2">
        <v>27145</v>
      </c>
      <c r="E56" s="3">
        <v>64527</v>
      </c>
      <c r="F56" t="s">
        <v>12</v>
      </c>
      <c r="G56" t="s">
        <v>12</v>
      </c>
      <c r="H56" s="1"/>
      <c r="I56" s="1">
        <v>191276</v>
      </c>
      <c r="J56" s="1">
        <v>4279</v>
      </c>
      <c r="K56" s="1"/>
      <c r="L56" s="1"/>
      <c r="M56" s="1"/>
      <c r="N56" s="1"/>
      <c r="O56" s="1"/>
      <c r="P56" s="1"/>
      <c r="Q56" s="1"/>
      <c r="R56" s="1">
        <v>260082</v>
      </c>
      <c r="S56" t="s">
        <v>12</v>
      </c>
    </row>
    <row r="57" spans="1:19" x14ac:dyDescent="0.55000000000000004">
      <c r="A57" t="s">
        <v>10</v>
      </c>
      <c r="B57">
        <v>1968</v>
      </c>
      <c r="C57">
        <v>57947</v>
      </c>
      <c r="D57" s="2">
        <v>25803</v>
      </c>
      <c r="E57" s="3">
        <v>83750</v>
      </c>
      <c r="F57" t="s">
        <v>12</v>
      </c>
      <c r="G57" t="s">
        <v>12</v>
      </c>
      <c r="H57" s="1"/>
      <c r="I57" s="1">
        <v>240817.70584552799</v>
      </c>
      <c r="J57" s="1">
        <v>7200</v>
      </c>
      <c r="K57" s="1"/>
      <c r="L57" s="1"/>
      <c r="M57" s="1"/>
      <c r="N57" s="1"/>
      <c r="O57" s="1"/>
      <c r="P57" s="1"/>
      <c r="Q57" s="1"/>
      <c r="R57" s="1">
        <v>331768</v>
      </c>
      <c r="S57" t="s">
        <v>12</v>
      </c>
    </row>
    <row r="58" spans="1:19" x14ac:dyDescent="0.55000000000000004">
      <c r="A58" t="s">
        <v>10</v>
      </c>
      <c r="B58">
        <v>1967</v>
      </c>
      <c r="C58">
        <v>39876</v>
      </c>
      <c r="D58" s="2">
        <v>18160</v>
      </c>
      <c r="E58" s="3">
        <v>58036</v>
      </c>
      <c r="F58" t="s">
        <v>12</v>
      </c>
      <c r="G58" t="s">
        <v>12</v>
      </c>
      <c r="H58" s="1"/>
      <c r="I58" s="1">
        <v>271400</v>
      </c>
      <c r="J58" s="1">
        <v>7236</v>
      </c>
      <c r="K58" s="1"/>
      <c r="L58" s="1"/>
      <c r="M58" s="1"/>
      <c r="N58" s="1"/>
      <c r="O58" s="1"/>
      <c r="P58" s="1"/>
      <c r="Q58" s="1"/>
      <c r="R58" s="1">
        <v>336672</v>
      </c>
      <c r="S58" t="s">
        <v>12</v>
      </c>
    </row>
    <row r="59" spans="1:19" x14ac:dyDescent="0.55000000000000004">
      <c r="A59" t="s">
        <v>10</v>
      </c>
      <c r="B59">
        <v>1966</v>
      </c>
      <c r="C59">
        <v>20116</v>
      </c>
      <c r="D59" s="2">
        <v>61018</v>
      </c>
      <c r="E59" s="3">
        <v>81134</v>
      </c>
      <c r="F59" t="s">
        <v>12</v>
      </c>
      <c r="G59" t="s">
        <v>12</v>
      </c>
      <c r="H59" s="1"/>
      <c r="I59" s="1">
        <v>118143</v>
      </c>
      <c r="J59" s="1">
        <v>5648</v>
      </c>
      <c r="K59" s="1"/>
      <c r="L59" s="1"/>
      <c r="M59" s="1"/>
      <c r="N59" s="1"/>
      <c r="O59" s="1"/>
      <c r="P59" s="1"/>
      <c r="Q59" s="1"/>
      <c r="R59" s="1">
        <v>204925</v>
      </c>
      <c r="S59" t="s">
        <v>12</v>
      </c>
    </row>
    <row r="60" spans="1:19" x14ac:dyDescent="0.55000000000000004">
      <c r="A60" t="s">
        <v>10</v>
      </c>
      <c r="B60">
        <v>1965</v>
      </c>
      <c r="C60">
        <v>16230</v>
      </c>
      <c r="D60" s="2">
        <v>13778</v>
      </c>
      <c r="E60" s="3">
        <v>30008</v>
      </c>
      <c r="F60" t="s">
        <v>12</v>
      </c>
      <c r="G60" t="s">
        <v>12</v>
      </c>
      <c r="H60" s="1"/>
      <c r="I60" s="1">
        <v>75083.893539157696</v>
      </c>
      <c r="J60" s="1">
        <v>6673.8798323241799</v>
      </c>
      <c r="K60" s="1"/>
      <c r="L60" s="1"/>
      <c r="M60" s="1"/>
      <c r="N60" s="1"/>
      <c r="O60" s="1"/>
      <c r="P60" s="1"/>
      <c r="Q60" s="1"/>
      <c r="R60" s="1">
        <v>111766</v>
      </c>
      <c r="S60" t="s">
        <v>12</v>
      </c>
    </row>
    <row r="61" spans="1:19" x14ac:dyDescent="0.55000000000000004">
      <c r="A61" t="s">
        <v>10</v>
      </c>
      <c r="B61">
        <v>1964</v>
      </c>
      <c r="C61">
        <v>48908</v>
      </c>
      <c r="D61" s="2">
        <v>21031</v>
      </c>
      <c r="E61" s="3">
        <v>69939</v>
      </c>
      <c r="F61" t="s">
        <v>12</v>
      </c>
      <c r="G61" t="s">
        <v>12</v>
      </c>
      <c r="H61" s="1"/>
      <c r="I61" s="1">
        <v>119955.67896541901</v>
      </c>
      <c r="J61" s="1">
        <v>10532.8253929694</v>
      </c>
      <c r="K61" s="1"/>
      <c r="L61" s="1"/>
      <c r="M61" s="1"/>
      <c r="N61" s="1"/>
      <c r="O61" s="1"/>
      <c r="P61" s="1"/>
      <c r="Q61" s="1"/>
      <c r="R61" s="1">
        <v>200428</v>
      </c>
      <c r="S61" t="s">
        <v>11</v>
      </c>
    </row>
    <row r="62" spans="1:19" x14ac:dyDescent="0.55000000000000004">
      <c r="A62" t="s">
        <v>10</v>
      </c>
      <c r="B62">
        <v>1963</v>
      </c>
      <c r="C62">
        <v>48893</v>
      </c>
      <c r="D62" s="2">
        <v>18258</v>
      </c>
      <c r="E62" s="3">
        <v>67151</v>
      </c>
      <c r="F62" t="s">
        <v>12</v>
      </c>
      <c r="G62" t="s">
        <v>12</v>
      </c>
      <c r="H62" s="1"/>
      <c r="I62" s="1">
        <v>171848.47352608701</v>
      </c>
      <c r="J62" s="1">
        <v>12192.566601225501</v>
      </c>
      <c r="K62" s="1"/>
      <c r="L62" s="1"/>
      <c r="M62" s="1"/>
      <c r="N62" s="1"/>
      <c r="O62" s="1"/>
      <c r="P62" s="1"/>
      <c r="Q62" s="1"/>
      <c r="R62" s="1">
        <v>251192</v>
      </c>
      <c r="S62" t="s">
        <v>12</v>
      </c>
    </row>
    <row r="63" spans="1:19" x14ac:dyDescent="0.55000000000000004">
      <c r="A63" t="s">
        <v>10</v>
      </c>
      <c r="B63">
        <v>1962</v>
      </c>
      <c r="C63">
        <v>26369</v>
      </c>
      <c r="D63" s="2">
        <v>25777</v>
      </c>
      <c r="E63" s="3">
        <v>52146</v>
      </c>
      <c r="F63" t="s">
        <v>12</v>
      </c>
      <c r="G63" t="s">
        <v>12</v>
      </c>
      <c r="H63" s="1"/>
      <c r="I63" s="1">
        <v>74628</v>
      </c>
      <c r="J63" s="1">
        <v>13355</v>
      </c>
      <c r="K63" s="1"/>
      <c r="L63" s="1"/>
      <c r="M63" s="1"/>
      <c r="N63" s="1"/>
      <c r="O63" s="1"/>
      <c r="P63" s="1"/>
      <c r="Q63" s="1"/>
      <c r="R63" s="1">
        <v>140129</v>
      </c>
      <c r="S63" t="s">
        <v>12</v>
      </c>
    </row>
    <row r="64" spans="1:19" x14ac:dyDescent="0.55000000000000004">
      <c r="A64" t="s">
        <v>10</v>
      </c>
      <c r="B64">
        <v>1961</v>
      </c>
      <c r="C64">
        <v>31681</v>
      </c>
      <c r="D64" s="2">
        <v>17946</v>
      </c>
      <c r="E64" s="3">
        <v>49627</v>
      </c>
      <c r="F64" t="s">
        <v>12</v>
      </c>
      <c r="G64" t="s">
        <v>12</v>
      </c>
      <c r="H64" s="1"/>
      <c r="I64" s="1">
        <v>48803</v>
      </c>
      <c r="J64" s="1">
        <v>6826</v>
      </c>
      <c r="K64" s="1"/>
      <c r="L64" s="1"/>
      <c r="M64" s="1"/>
      <c r="N64" s="1"/>
      <c r="O64" s="1"/>
      <c r="P64" s="1"/>
      <c r="Q64" s="1"/>
      <c r="R64" s="1">
        <v>105256</v>
      </c>
      <c r="S64" t="s">
        <v>12</v>
      </c>
    </row>
    <row r="65" spans="1:19" x14ac:dyDescent="0.55000000000000004">
      <c r="A65" t="s">
        <v>10</v>
      </c>
      <c r="B65">
        <v>1960</v>
      </c>
      <c r="C65">
        <v>36838</v>
      </c>
      <c r="D65" s="2">
        <v>3010</v>
      </c>
      <c r="E65" s="3">
        <v>39848</v>
      </c>
      <c r="F65" t="s">
        <v>12</v>
      </c>
      <c r="G65" t="s">
        <v>12</v>
      </c>
      <c r="H65" s="1"/>
      <c r="I65" s="1">
        <v>167555</v>
      </c>
      <c r="J65" s="1">
        <v>7324</v>
      </c>
      <c r="K65" s="1"/>
      <c r="L65" s="1"/>
      <c r="M65" s="1"/>
      <c r="N65" s="1"/>
      <c r="O65" s="1"/>
      <c r="P65" s="1"/>
      <c r="Q65" s="1"/>
      <c r="R65" s="1">
        <v>214727</v>
      </c>
      <c r="S65" t="s">
        <v>11</v>
      </c>
    </row>
    <row r="66" spans="1:19" x14ac:dyDescent="0.55000000000000004">
      <c r="A66" t="s">
        <v>10</v>
      </c>
      <c r="B66">
        <v>1959</v>
      </c>
      <c r="C66">
        <v>26159</v>
      </c>
      <c r="D66" s="2">
        <v>12445</v>
      </c>
      <c r="E66" s="3">
        <v>38604</v>
      </c>
      <c r="F66" t="s">
        <v>12</v>
      </c>
      <c r="G66" t="s">
        <v>12</v>
      </c>
      <c r="H66" s="1"/>
      <c r="I66" s="1">
        <v>213324</v>
      </c>
      <c r="J66" s="1">
        <v>5483</v>
      </c>
      <c r="K66" s="1"/>
      <c r="L66" s="1"/>
      <c r="M66" s="1"/>
      <c r="N66" s="1"/>
      <c r="O66" s="1"/>
      <c r="P66" s="1"/>
      <c r="Q66" s="1"/>
      <c r="R66" s="1">
        <v>257411</v>
      </c>
      <c r="S66" t="s">
        <v>12</v>
      </c>
    </row>
    <row r="67" spans="1:19" x14ac:dyDescent="0.55000000000000004">
      <c r="A67" t="s">
        <v>10</v>
      </c>
      <c r="B67">
        <v>1958</v>
      </c>
      <c r="C67">
        <v>15166</v>
      </c>
      <c r="D67" s="2">
        <v>17889</v>
      </c>
      <c r="E67" s="3">
        <v>33055</v>
      </c>
      <c r="F67" t="s">
        <v>12</v>
      </c>
      <c r="G67" t="s">
        <v>12</v>
      </c>
      <c r="H67" s="1"/>
      <c r="I67" s="1">
        <v>171432</v>
      </c>
      <c r="J67" s="1">
        <v>6043</v>
      </c>
      <c r="K67" s="1"/>
      <c r="L67" s="1"/>
      <c r="M67" s="1"/>
      <c r="N67" s="1"/>
      <c r="O67" s="1"/>
      <c r="P67" s="1"/>
      <c r="Q67" s="1"/>
      <c r="R67" s="1">
        <v>210530</v>
      </c>
      <c r="S67" t="s">
        <v>12</v>
      </c>
    </row>
    <row r="68" spans="1:19" x14ac:dyDescent="0.55000000000000004">
      <c r="A68" t="s">
        <v>10</v>
      </c>
      <c r="B68">
        <v>1957</v>
      </c>
      <c r="C68">
        <v>14536</v>
      </c>
      <c r="D68" s="2">
        <v>9632</v>
      </c>
      <c r="E68" s="3">
        <v>24168</v>
      </c>
      <c r="F68" t="s">
        <v>12</v>
      </c>
      <c r="G68" t="s">
        <v>12</v>
      </c>
      <c r="H68" s="1"/>
      <c r="I68" s="1">
        <v>129861</v>
      </c>
      <c r="J68" s="1">
        <v>5639</v>
      </c>
      <c r="K68" s="1"/>
      <c r="L68" s="1"/>
      <c r="M68" s="1"/>
      <c r="N68" s="1"/>
      <c r="O68" s="1"/>
      <c r="P68" s="1"/>
      <c r="Q68" s="1"/>
      <c r="R68" s="1">
        <v>159668</v>
      </c>
      <c r="S68" t="s">
        <v>12</v>
      </c>
    </row>
    <row r="69" spans="1:19" x14ac:dyDescent="0.55000000000000004">
      <c r="A69" t="s">
        <v>10</v>
      </c>
      <c r="B69">
        <v>1956</v>
      </c>
      <c r="C69">
        <v>49754</v>
      </c>
      <c r="D69" s="2">
        <v>8145</v>
      </c>
      <c r="E69" s="3">
        <v>57899</v>
      </c>
      <c r="F69" t="s">
        <v>12</v>
      </c>
      <c r="G69" t="s">
        <v>12</v>
      </c>
      <c r="H69" s="1"/>
      <c r="I69" s="1">
        <v>191738</v>
      </c>
      <c r="J69" s="1">
        <v>8807</v>
      </c>
      <c r="K69" s="1"/>
      <c r="L69" s="1"/>
      <c r="M69" s="1"/>
      <c r="N69" s="1"/>
      <c r="O69" s="1"/>
      <c r="P69" s="1"/>
      <c r="Q69" s="1"/>
      <c r="R69" s="1">
        <v>258444</v>
      </c>
      <c r="S69" t="s">
        <v>12</v>
      </c>
    </row>
    <row r="70" spans="1:19" x14ac:dyDescent="0.55000000000000004">
      <c r="A70" t="s">
        <v>10</v>
      </c>
      <c r="B70">
        <v>1955</v>
      </c>
      <c r="C70">
        <v>14553</v>
      </c>
      <c r="D70" s="2">
        <v>9897</v>
      </c>
      <c r="E70" s="3">
        <v>24450</v>
      </c>
      <c r="F70" t="s">
        <v>12</v>
      </c>
      <c r="G70" t="s">
        <v>12</v>
      </c>
      <c r="H70" s="1"/>
      <c r="I70" s="1">
        <v>136298</v>
      </c>
      <c r="J70" s="1">
        <v>3575</v>
      </c>
      <c r="K70" s="1"/>
      <c r="L70" s="1"/>
      <c r="M70" s="1"/>
      <c r="N70" s="1"/>
      <c r="O70" s="1"/>
      <c r="P70" s="1"/>
      <c r="Q70" s="1"/>
      <c r="R70" s="1">
        <v>164323</v>
      </c>
      <c r="S70" t="s">
        <v>11</v>
      </c>
    </row>
    <row r="71" spans="1:19" x14ac:dyDescent="0.55000000000000004">
      <c r="A71" t="s">
        <v>10</v>
      </c>
      <c r="B71">
        <v>1954</v>
      </c>
      <c r="C71">
        <v>18213</v>
      </c>
      <c r="D71" s="2">
        <v>22240</v>
      </c>
      <c r="E71" s="3">
        <v>40453</v>
      </c>
      <c r="F71" t="s">
        <v>12</v>
      </c>
      <c r="G71" t="s">
        <v>12</v>
      </c>
      <c r="H71" s="1"/>
      <c r="I71" s="1">
        <v>192583</v>
      </c>
      <c r="J71" s="1">
        <v>4958</v>
      </c>
      <c r="K71" s="1"/>
      <c r="L71" s="1"/>
      <c r="M71" s="1"/>
      <c r="N71" s="1"/>
      <c r="O71" s="1"/>
      <c r="P71" s="1"/>
      <c r="Q71" s="1"/>
      <c r="R71" s="1">
        <v>237994</v>
      </c>
      <c r="S71" t="s">
        <v>12</v>
      </c>
    </row>
    <row r="72" spans="1:19" x14ac:dyDescent="0.55000000000000004">
      <c r="A72" t="s">
        <v>10</v>
      </c>
      <c r="B72">
        <v>1953</v>
      </c>
      <c r="C72">
        <v>42491</v>
      </c>
      <c r="D72" s="2">
        <v>13332</v>
      </c>
      <c r="E72" s="3">
        <v>55823</v>
      </c>
      <c r="F72" t="s">
        <v>12</v>
      </c>
      <c r="G72" t="s">
        <v>12</v>
      </c>
      <c r="H72" s="1"/>
      <c r="I72" s="1">
        <v>209837.04128653699</v>
      </c>
      <c r="J72" s="1">
        <v>10862.627347858799</v>
      </c>
      <c r="K72" s="1"/>
      <c r="L72" s="1"/>
      <c r="M72" s="1"/>
      <c r="N72" s="1"/>
      <c r="O72" s="1"/>
      <c r="P72" s="1"/>
      <c r="Q72" s="1"/>
      <c r="R72" s="1">
        <v>276523</v>
      </c>
      <c r="S72" t="s">
        <v>12</v>
      </c>
    </row>
    <row r="73" spans="1:19" x14ac:dyDescent="0.55000000000000004">
      <c r="A73" t="s">
        <v>10</v>
      </c>
      <c r="B73">
        <v>1952</v>
      </c>
      <c r="C73">
        <v>47041</v>
      </c>
      <c r="D73" s="2">
        <v>30345</v>
      </c>
      <c r="E73" s="3">
        <v>77386</v>
      </c>
      <c r="F73" t="s">
        <v>12</v>
      </c>
      <c r="G73" t="s">
        <v>12</v>
      </c>
      <c r="H73" s="1"/>
      <c r="I73" s="1">
        <v>185093.39058228899</v>
      </c>
      <c r="J73" s="1">
        <v>11549.6280107277</v>
      </c>
      <c r="K73" s="1"/>
      <c r="L73" s="1"/>
      <c r="M73" s="1"/>
      <c r="N73" s="1"/>
      <c r="O73" s="1"/>
      <c r="P73" s="1"/>
      <c r="Q73" s="1"/>
      <c r="R73" s="1">
        <v>274029</v>
      </c>
      <c r="S73" t="s">
        <v>12</v>
      </c>
    </row>
    <row r="74" spans="1:19" x14ac:dyDescent="0.55000000000000004">
      <c r="A74" t="s">
        <v>13</v>
      </c>
      <c r="B74">
        <v>2023</v>
      </c>
      <c r="C74">
        <v>2508</v>
      </c>
      <c r="D74" s="2">
        <v>0</v>
      </c>
      <c r="E74" s="3">
        <v>2508</v>
      </c>
      <c r="F74" t="s">
        <v>12</v>
      </c>
      <c r="G74" t="s">
        <v>12</v>
      </c>
      <c r="H74" s="1">
        <v>0.10698060305931099</v>
      </c>
      <c r="I74" s="1">
        <v>53.148253299618197</v>
      </c>
      <c r="J74" s="1">
        <v>71.707849054382507</v>
      </c>
      <c r="K74" s="1"/>
      <c r="L74" s="1">
        <v>2090</v>
      </c>
      <c r="M74" s="1"/>
      <c r="N74" s="1"/>
      <c r="O74" s="1"/>
      <c r="P74" s="1"/>
      <c r="Q74" s="1">
        <v>-2540.9553114547298</v>
      </c>
      <c r="R74" s="1">
        <v>4723</v>
      </c>
      <c r="S74" t="s">
        <v>11</v>
      </c>
    </row>
    <row r="75" spans="1:19" x14ac:dyDescent="0.55000000000000004">
      <c r="A75" t="s">
        <v>13</v>
      </c>
      <c r="B75">
        <v>2022</v>
      </c>
      <c r="C75">
        <v>3128</v>
      </c>
      <c r="D75" s="2">
        <v>0</v>
      </c>
      <c r="E75" s="3">
        <v>3128</v>
      </c>
      <c r="F75" t="s">
        <v>12</v>
      </c>
      <c r="G75" t="s">
        <v>12</v>
      </c>
      <c r="H75" s="1">
        <v>0</v>
      </c>
      <c r="I75" s="1">
        <v>452.79052905775399</v>
      </c>
      <c r="J75" s="1">
        <v>715.06253710227497</v>
      </c>
      <c r="K75" s="1"/>
      <c r="L75" s="1">
        <v>1043</v>
      </c>
      <c r="M75" s="1"/>
      <c r="N75" s="1"/>
      <c r="O75" s="1"/>
      <c r="P75" s="1"/>
      <c r="Q75" s="1">
        <v>-2429.5869216741899</v>
      </c>
      <c r="R75" s="1">
        <v>5339</v>
      </c>
      <c r="S75" t="s">
        <v>11</v>
      </c>
    </row>
    <row r="76" spans="1:19" x14ac:dyDescent="0.55000000000000004">
      <c r="A76" t="s">
        <v>13</v>
      </c>
      <c r="B76">
        <v>2021</v>
      </c>
      <c r="C76">
        <v>3158</v>
      </c>
      <c r="D76" s="2">
        <v>0</v>
      </c>
      <c r="E76" s="3">
        <v>3158</v>
      </c>
      <c r="F76" t="s">
        <v>12</v>
      </c>
      <c r="G76" t="s">
        <v>12</v>
      </c>
      <c r="H76" s="1">
        <v>720.59439052326195</v>
      </c>
      <c r="I76" s="1">
        <v>40.411497415628098</v>
      </c>
      <c r="J76" s="1">
        <v>77.058828666264901</v>
      </c>
      <c r="K76" s="1"/>
      <c r="L76" s="1">
        <v>1353</v>
      </c>
      <c r="M76" s="1"/>
      <c r="N76" s="1"/>
      <c r="O76" s="1"/>
      <c r="P76" s="1"/>
      <c r="Q76" s="1">
        <v>912.15092034458803</v>
      </c>
      <c r="R76" s="1">
        <v>5349</v>
      </c>
      <c r="S76" t="s">
        <v>11</v>
      </c>
    </row>
    <row r="77" spans="1:19" x14ac:dyDescent="0.55000000000000004">
      <c r="A77" t="s">
        <v>13</v>
      </c>
      <c r="B77">
        <v>2020</v>
      </c>
      <c r="C77">
        <v>344</v>
      </c>
      <c r="D77" s="2">
        <v>0</v>
      </c>
      <c r="E77" s="3">
        <v>344</v>
      </c>
      <c r="F77" t="s">
        <v>12</v>
      </c>
      <c r="G77" t="s">
        <v>12</v>
      </c>
      <c r="H77" s="1">
        <v>0</v>
      </c>
      <c r="I77" s="1">
        <v>42.197566048509699</v>
      </c>
      <c r="J77" s="1">
        <v>25.375327639781698</v>
      </c>
      <c r="K77" s="1"/>
      <c r="L77" s="1">
        <v>516</v>
      </c>
      <c r="M77" s="1"/>
      <c r="N77" s="1"/>
      <c r="O77" s="1"/>
      <c r="P77" s="1"/>
      <c r="Q77" s="1">
        <v>-3585.8717681856301</v>
      </c>
      <c r="R77" s="1">
        <v>928</v>
      </c>
      <c r="S77" t="s">
        <v>11</v>
      </c>
    </row>
    <row r="78" spans="1:19" x14ac:dyDescent="0.55000000000000004">
      <c r="A78" t="s">
        <v>13</v>
      </c>
      <c r="B78">
        <v>2019</v>
      </c>
      <c r="C78">
        <v>20</v>
      </c>
      <c r="D78" s="2">
        <v>0</v>
      </c>
      <c r="E78" s="3">
        <v>20</v>
      </c>
      <c r="F78" t="s">
        <v>12</v>
      </c>
      <c r="G78" t="s">
        <v>12</v>
      </c>
      <c r="H78" s="1">
        <v>370.24884145070001</v>
      </c>
      <c r="I78" s="1">
        <v>13.962478786137</v>
      </c>
      <c r="J78" s="1">
        <v>22.612051214583801</v>
      </c>
      <c r="K78" s="1"/>
      <c r="L78" s="1">
        <v>47</v>
      </c>
      <c r="M78" s="1"/>
      <c r="N78" s="1"/>
      <c r="O78" s="1"/>
      <c r="P78" s="1"/>
      <c r="Q78" s="1">
        <v>-629.61187997956404</v>
      </c>
      <c r="R78" s="1">
        <v>474</v>
      </c>
      <c r="S78" t="s">
        <v>11</v>
      </c>
    </row>
    <row r="79" spans="1:19" x14ac:dyDescent="0.55000000000000004">
      <c r="A79" t="s">
        <v>13</v>
      </c>
      <c r="B79">
        <v>2018</v>
      </c>
      <c r="C79">
        <v>8406</v>
      </c>
      <c r="D79" s="2">
        <v>0</v>
      </c>
      <c r="E79" s="3">
        <v>8406</v>
      </c>
      <c r="F79" t="s">
        <v>12</v>
      </c>
      <c r="G79" t="s">
        <v>12</v>
      </c>
      <c r="H79" s="1">
        <v>1.94136089770814</v>
      </c>
      <c r="I79" s="1">
        <v>4669.4770851389803</v>
      </c>
      <c r="J79" s="1">
        <v>3033.6893577136302</v>
      </c>
      <c r="K79" s="1">
        <v>1.9695407685098401</v>
      </c>
      <c r="L79" s="1">
        <v>4526.0046860356097</v>
      </c>
      <c r="M79" s="1"/>
      <c r="N79" s="1">
        <v>-1371.7851452671</v>
      </c>
      <c r="O79" s="1"/>
      <c r="P79" s="1"/>
      <c r="Q79" s="1">
        <v>-8421.5065175897998</v>
      </c>
      <c r="R79" s="1">
        <v>19267</v>
      </c>
      <c r="S79" t="s">
        <v>11</v>
      </c>
    </row>
    <row r="80" spans="1:19" x14ac:dyDescent="0.55000000000000004">
      <c r="A80" t="s">
        <v>13</v>
      </c>
      <c r="B80">
        <v>2017</v>
      </c>
      <c r="C80">
        <v>244</v>
      </c>
      <c r="D80" s="2">
        <v>0</v>
      </c>
      <c r="E80" s="3">
        <v>244</v>
      </c>
      <c r="F80" t="s">
        <v>12</v>
      </c>
      <c r="G80" t="s">
        <v>12</v>
      </c>
      <c r="H80" s="1">
        <v>103.13154890240899</v>
      </c>
      <c r="I80" s="1">
        <v>22.667672601296001</v>
      </c>
      <c r="J80" s="1">
        <v>127.64781875688401</v>
      </c>
      <c r="K80" s="1"/>
      <c r="L80" s="1">
        <v>52</v>
      </c>
      <c r="M80" s="1">
        <v>49</v>
      </c>
      <c r="N80" s="1">
        <v>-231</v>
      </c>
      <c r="O80" s="1"/>
      <c r="P80" s="1"/>
      <c r="Q80" s="1">
        <v>-1495.1134217412</v>
      </c>
      <c r="R80" s="1">
        <v>367</v>
      </c>
      <c r="S80" t="s">
        <v>11</v>
      </c>
    </row>
    <row r="81" spans="1:19" x14ac:dyDescent="0.55000000000000004">
      <c r="A81" t="s">
        <v>13</v>
      </c>
      <c r="B81">
        <v>2016</v>
      </c>
      <c r="C81">
        <v>143</v>
      </c>
      <c r="D81" s="2">
        <v>0</v>
      </c>
      <c r="E81" s="3">
        <v>143</v>
      </c>
      <c r="F81" t="s">
        <v>12</v>
      </c>
      <c r="G81" t="s">
        <v>12</v>
      </c>
      <c r="H81" s="1">
        <v>1.8968754396130001</v>
      </c>
      <c r="I81" s="1">
        <v>81.481609186106098</v>
      </c>
      <c r="J81" s="1">
        <v>724.62778122990505</v>
      </c>
      <c r="K81" s="1"/>
      <c r="L81" s="1">
        <v>43</v>
      </c>
      <c r="M81" s="1">
        <v>29</v>
      </c>
      <c r="N81" s="1">
        <v>-750</v>
      </c>
      <c r="O81" s="1"/>
      <c r="P81" s="1"/>
      <c r="Q81" s="1">
        <v>-4497.7572114738696</v>
      </c>
      <c r="R81" s="1">
        <v>273</v>
      </c>
      <c r="S81" t="s">
        <v>11</v>
      </c>
    </row>
    <row r="82" spans="1:19" x14ac:dyDescent="0.55000000000000004">
      <c r="A82" t="s">
        <v>13</v>
      </c>
      <c r="B82">
        <v>2015</v>
      </c>
      <c r="C82">
        <v>3838</v>
      </c>
      <c r="D82" s="2">
        <v>30</v>
      </c>
      <c r="E82" s="3">
        <v>3868</v>
      </c>
      <c r="F82" t="s">
        <v>12</v>
      </c>
      <c r="G82" t="s">
        <v>12</v>
      </c>
      <c r="H82" s="1">
        <v>843.90028917692302</v>
      </c>
      <c r="I82" s="1">
        <v>1244.1840841370199</v>
      </c>
      <c r="J82" s="1">
        <v>1448.5426364738501</v>
      </c>
      <c r="K82" s="1">
        <v>61.8871261378413</v>
      </c>
      <c r="L82" s="1">
        <v>2672.12639791938</v>
      </c>
      <c r="M82" s="1">
        <v>169.69050715214601</v>
      </c>
      <c r="N82" s="1">
        <v>-2061.24057217165</v>
      </c>
      <c r="O82" s="1">
        <v>20.961768530559201</v>
      </c>
      <c r="P82" s="1">
        <v>1.9963589076723001</v>
      </c>
      <c r="Q82" s="1">
        <v>-6970.4540302204696</v>
      </c>
      <c r="R82" s="1">
        <v>8270</v>
      </c>
      <c r="S82" t="s">
        <v>11</v>
      </c>
    </row>
    <row r="83" spans="1:19" x14ac:dyDescent="0.55000000000000004">
      <c r="A83" t="s">
        <v>13</v>
      </c>
      <c r="B83">
        <v>2014</v>
      </c>
      <c r="C83">
        <v>12064</v>
      </c>
      <c r="D83" s="2">
        <v>0</v>
      </c>
      <c r="E83" s="3">
        <v>12064</v>
      </c>
      <c r="F83" t="s">
        <v>12</v>
      </c>
      <c r="G83" t="s">
        <v>12</v>
      </c>
      <c r="H83" s="1">
        <v>0</v>
      </c>
      <c r="I83" s="1">
        <v>14457.2791099651</v>
      </c>
      <c r="J83" s="1">
        <v>5368.91046375316</v>
      </c>
      <c r="K83" s="1"/>
      <c r="L83" s="1">
        <v>3015.5059787059799</v>
      </c>
      <c r="M83" s="1"/>
      <c r="N83" s="1">
        <v>-12408.826863226899</v>
      </c>
      <c r="O83" s="1"/>
      <c r="P83" s="1"/>
      <c r="Q83" s="1">
        <v>-3658.4483122235201</v>
      </c>
      <c r="R83" s="1">
        <v>22497</v>
      </c>
      <c r="S83" t="s">
        <v>11</v>
      </c>
    </row>
    <row r="84" spans="1:19" x14ac:dyDescent="0.55000000000000004">
      <c r="A84" t="s">
        <v>13</v>
      </c>
      <c r="B84">
        <v>2013</v>
      </c>
      <c r="C84">
        <v>3257</v>
      </c>
      <c r="D84" s="2">
        <v>23</v>
      </c>
      <c r="E84" s="3">
        <v>3280</v>
      </c>
      <c r="F84" t="s">
        <v>12</v>
      </c>
      <c r="G84" t="s">
        <v>12</v>
      </c>
      <c r="H84" s="1">
        <v>0.70251426374522397</v>
      </c>
      <c r="I84" s="1">
        <v>581.29124934798006</v>
      </c>
      <c r="J84" s="1">
        <v>1067.65872377439</v>
      </c>
      <c r="K84" s="1"/>
      <c r="L84" s="1">
        <v>1395.8571428571399</v>
      </c>
      <c r="M84" s="1"/>
      <c r="N84" s="1">
        <v>-808.54553761803197</v>
      </c>
      <c r="O84" s="1">
        <v>9.9208041425525408</v>
      </c>
      <c r="P84" s="1"/>
      <c r="Q84" s="1">
        <v>-1708.63931217551</v>
      </c>
      <c r="R84" s="1">
        <v>5527</v>
      </c>
      <c r="S84" t="s">
        <v>11</v>
      </c>
    </row>
    <row r="85" spans="1:19" x14ac:dyDescent="0.55000000000000004">
      <c r="A85" t="s">
        <v>13</v>
      </c>
      <c r="B85">
        <v>2012</v>
      </c>
      <c r="C85">
        <v>59</v>
      </c>
      <c r="D85" s="2">
        <v>0</v>
      </c>
      <c r="E85" s="3">
        <v>59</v>
      </c>
      <c r="F85" t="s">
        <v>12</v>
      </c>
      <c r="G85" t="s">
        <v>12</v>
      </c>
      <c r="H85" s="1">
        <v>4.566191566293E-2</v>
      </c>
      <c r="I85" s="1">
        <v>1537.6350041293899</v>
      </c>
      <c r="J85" s="1">
        <v>3964.5062909081898</v>
      </c>
      <c r="K85" s="1">
        <v>-1498</v>
      </c>
      <c r="L85" s="1">
        <v>110</v>
      </c>
      <c r="M85" s="1"/>
      <c r="N85" s="1">
        <v>-3940</v>
      </c>
      <c r="O85" s="1"/>
      <c r="P85" s="1"/>
      <c r="Q85" s="1">
        <v>-22159.2951470609</v>
      </c>
      <c r="R85" s="1">
        <v>233</v>
      </c>
      <c r="S85" t="s">
        <v>11</v>
      </c>
    </row>
    <row r="86" spans="1:19" x14ac:dyDescent="0.55000000000000004">
      <c r="A86" t="s">
        <v>13</v>
      </c>
      <c r="B86">
        <v>2011</v>
      </c>
      <c r="C86">
        <v>4101</v>
      </c>
      <c r="D86" s="2">
        <v>0</v>
      </c>
      <c r="E86" s="3">
        <v>4101</v>
      </c>
      <c r="F86" t="s">
        <v>12</v>
      </c>
      <c r="G86" t="s">
        <v>12</v>
      </c>
      <c r="H86" s="1">
        <v>226.36860867188301</v>
      </c>
      <c r="I86" s="1">
        <v>4006.4138826364501</v>
      </c>
      <c r="J86" s="1">
        <v>3463.8182288890898</v>
      </c>
      <c r="K86" s="1"/>
      <c r="L86" s="1">
        <v>2050</v>
      </c>
      <c r="M86" s="1"/>
      <c r="N86" s="1">
        <v>-2745</v>
      </c>
      <c r="O86" s="1"/>
      <c r="P86" s="1"/>
      <c r="Q86" s="1">
        <v>-5649.7925821324097</v>
      </c>
      <c r="R86" s="1">
        <v>11103</v>
      </c>
      <c r="S86" t="s">
        <v>11</v>
      </c>
    </row>
    <row r="87" spans="1:19" x14ac:dyDescent="0.55000000000000004">
      <c r="A87" t="s">
        <v>13</v>
      </c>
      <c r="B87">
        <v>2010</v>
      </c>
      <c r="C87">
        <v>8439</v>
      </c>
      <c r="D87" s="2">
        <v>0</v>
      </c>
      <c r="E87" s="3">
        <v>8439</v>
      </c>
      <c r="F87" t="s">
        <v>12</v>
      </c>
      <c r="G87" t="s">
        <v>12</v>
      </c>
      <c r="H87" s="1">
        <v>0</v>
      </c>
      <c r="I87" s="1">
        <v>7139.5803196200904</v>
      </c>
      <c r="J87" s="1"/>
      <c r="K87" s="1"/>
      <c r="L87" s="1">
        <v>1789.63542246466</v>
      </c>
      <c r="M87" s="1"/>
      <c r="N87" s="1">
        <v>-5553.0367360569999</v>
      </c>
      <c r="O87" s="1"/>
      <c r="P87" s="1"/>
      <c r="Q87" s="1">
        <v>2032.1309978127199</v>
      </c>
      <c r="R87" s="1">
        <v>11815</v>
      </c>
      <c r="S87" t="s">
        <v>11</v>
      </c>
    </row>
    <row r="88" spans="1:19" x14ac:dyDescent="0.55000000000000004">
      <c r="A88" t="s">
        <v>13</v>
      </c>
      <c r="B88">
        <v>2009</v>
      </c>
      <c r="C88">
        <v>1814</v>
      </c>
      <c r="D88" s="2">
        <v>0</v>
      </c>
      <c r="E88" s="3">
        <v>1814</v>
      </c>
      <c r="F88" t="s">
        <v>12</v>
      </c>
      <c r="G88" t="s">
        <v>12</v>
      </c>
      <c r="H88" s="1">
        <v>0.90509785593252801</v>
      </c>
      <c r="I88" s="1">
        <v>223.16721286488999</v>
      </c>
      <c r="J88" s="1">
        <v>396.88860698332098</v>
      </c>
      <c r="K88" s="1"/>
      <c r="L88" s="1">
        <v>1814</v>
      </c>
      <c r="M88" s="1"/>
      <c r="N88" s="1"/>
      <c r="O88" s="1"/>
      <c r="P88" s="1"/>
      <c r="Q88" s="1">
        <v>-1926.0915557772701</v>
      </c>
      <c r="R88" s="1">
        <v>4249</v>
      </c>
      <c r="S88" t="s">
        <v>11</v>
      </c>
    </row>
    <row r="89" spans="1:19" x14ac:dyDescent="0.55000000000000004">
      <c r="A89" t="s">
        <v>13</v>
      </c>
      <c r="B89">
        <v>2008</v>
      </c>
      <c r="C89">
        <v>1005</v>
      </c>
      <c r="D89" s="2">
        <v>0</v>
      </c>
      <c r="E89" s="3">
        <v>1005</v>
      </c>
      <c r="F89" t="s">
        <v>12</v>
      </c>
      <c r="G89" t="s">
        <v>12</v>
      </c>
      <c r="H89" s="1">
        <v>3.8048788548147998</v>
      </c>
      <c r="I89" s="1">
        <v>2064.9156536086598</v>
      </c>
      <c r="J89" s="1">
        <v>4648.5151481162802</v>
      </c>
      <c r="K89" s="1"/>
      <c r="L89" s="1"/>
      <c r="M89" s="1"/>
      <c r="N89" s="1"/>
      <c r="O89" s="1"/>
      <c r="P89" s="1"/>
      <c r="Q89" s="1">
        <v>-10127.238220622899</v>
      </c>
      <c r="R89" s="1">
        <v>17849</v>
      </c>
      <c r="S89" t="s">
        <v>9</v>
      </c>
    </row>
    <row r="90" spans="1:19" x14ac:dyDescent="0.55000000000000004">
      <c r="A90" t="s">
        <v>13</v>
      </c>
      <c r="B90">
        <v>2007</v>
      </c>
      <c r="C90">
        <v>2173</v>
      </c>
      <c r="D90" s="2">
        <v>0</v>
      </c>
      <c r="E90" s="3">
        <v>2173</v>
      </c>
      <c r="F90" t="s">
        <v>12</v>
      </c>
      <c r="G90" t="s">
        <v>12</v>
      </c>
      <c r="H90" s="1">
        <v>38.257214860399998</v>
      </c>
      <c r="I90" s="1">
        <v>141.67727393494701</v>
      </c>
      <c r="J90" s="1">
        <v>1456.1872526506299</v>
      </c>
      <c r="K90" s="1"/>
      <c r="L90" s="1"/>
      <c r="M90" s="1"/>
      <c r="N90" s="1"/>
      <c r="O90" s="1"/>
      <c r="P90" s="1"/>
      <c r="Q90" s="1">
        <v>-3174.5872171526698</v>
      </c>
      <c r="R90" s="1">
        <v>6984</v>
      </c>
      <c r="S90" t="s">
        <v>9</v>
      </c>
    </row>
    <row r="91" spans="1:19" x14ac:dyDescent="0.55000000000000004">
      <c r="A91" t="s">
        <v>13</v>
      </c>
      <c r="B91">
        <v>2006</v>
      </c>
      <c r="C91">
        <v>1554</v>
      </c>
      <c r="D91" s="2">
        <v>0</v>
      </c>
      <c r="E91" s="3">
        <v>1554</v>
      </c>
      <c r="F91" t="s">
        <v>12</v>
      </c>
      <c r="G91" t="s">
        <v>12</v>
      </c>
      <c r="H91" s="1">
        <v>0.56633389278726998</v>
      </c>
      <c r="I91" s="1">
        <v>2388.0517005542001</v>
      </c>
      <c r="J91" s="1">
        <v>2326.1656180293799</v>
      </c>
      <c r="K91" s="1"/>
      <c r="L91" s="1"/>
      <c r="M91" s="1"/>
      <c r="N91" s="1"/>
      <c r="O91" s="1"/>
      <c r="P91" s="1"/>
      <c r="Q91" s="1">
        <v>-7581.9370443333501</v>
      </c>
      <c r="R91" s="1">
        <v>13851</v>
      </c>
      <c r="S91" t="s">
        <v>9</v>
      </c>
    </row>
    <row r="92" spans="1:19" x14ac:dyDescent="0.55000000000000004">
      <c r="A92" t="s">
        <v>13</v>
      </c>
      <c r="B92">
        <v>2005</v>
      </c>
      <c r="C92">
        <v>1730</v>
      </c>
      <c r="D92" s="2">
        <v>0</v>
      </c>
      <c r="E92" s="3">
        <v>1730</v>
      </c>
      <c r="F92" t="s">
        <v>12</v>
      </c>
      <c r="G92" t="s">
        <v>12</v>
      </c>
      <c r="H92" s="1">
        <v>2.993156140355</v>
      </c>
      <c r="I92" s="1">
        <v>1135.9120615696499</v>
      </c>
      <c r="J92" s="1">
        <v>917.95632068862199</v>
      </c>
      <c r="K92" s="1"/>
      <c r="L92" s="1"/>
      <c r="M92" s="1"/>
      <c r="N92" s="1"/>
      <c r="O92" s="1"/>
      <c r="P92" s="1"/>
      <c r="Q92" s="1">
        <v>-2100.9660245026098</v>
      </c>
      <c r="R92" s="1">
        <v>5888</v>
      </c>
      <c r="S92" t="s">
        <v>9</v>
      </c>
    </row>
    <row r="93" spans="1:19" x14ac:dyDescent="0.55000000000000004">
      <c r="A93" t="s">
        <v>13</v>
      </c>
      <c r="B93">
        <v>2004</v>
      </c>
      <c r="C93">
        <v>916</v>
      </c>
      <c r="D93" s="2">
        <v>0</v>
      </c>
      <c r="E93" s="3">
        <v>916</v>
      </c>
      <c r="F93" t="s">
        <v>12</v>
      </c>
      <c r="G93" t="s">
        <v>12</v>
      </c>
      <c r="H93" s="1">
        <v>113.084047897003</v>
      </c>
      <c r="I93" s="1">
        <v>14982.1103449771</v>
      </c>
      <c r="J93" s="1">
        <v>3458.8002987018599</v>
      </c>
      <c r="K93" s="1"/>
      <c r="L93" s="1"/>
      <c r="M93" s="1"/>
      <c r="N93" s="1"/>
      <c r="O93" s="1"/>
      <c r="P93" s="1"/>
      <c r="Q93" s="1">
        <v>-8239.00989870577</v>
      </c>
      <c r="R93" s="1">
        <v>27709</v>
      </c>
      <c r="S93" t="s">
        <v>9</v>
      </c>
    </row>
    <row r="94" spans="1:19" x14ac:dyDescent="0.55000000000000004">
      <c r="A94" t="s">
        <v>13</v>
      </c>
      <c r="B94">
        <v>2003</v>
      </c>
      <c r="C94">
        <v>6752</v>
      </c>
      <c r="D94" s="2">
        <v>0</v>
      </c>
      <c r="E94" s="3">
        <v>6752</v>
      </c>
      <c r="F94" t="s">
        <v>12</v>
      </c>
      <c r="G94" t="s">
        <v>12</v>
      </c>
      <c r="H94" s="1">
        <v>705.46573216469699</v>
      </c>
      <c r="I94" s="1">
        <v>17649.2625750226</v>
      </c>
      <c r="J94" s="1">
        <v>8458.2192582179905</v>
      </c>
      <c r="K94" s="1"/>
      <c r="L94" s="1"/>
      <c r="M94" s="1"/>
      <c r="N94" s="1"/>
      <c r="O94" s="1"/>
      <c r="P94" s="1"/>
      <c r="Q94" s="1">
        <v>-17965.776513633999</v>
      </c>
      <c r="R94" s="1">
        <v>51531</v>
      </c>
      <c r="S94" t="s">
        <v>9</v>
      </c>
    </row>
    <row r="95" spans="1:19" x14ac:dyDescent="0.55000000000000004">
      <c r="A95" t="s">
        <v>13</v>
      </c>
      <c r="B95">
        <v>2002</v>
      </c>
      <c r="C95">
        <v>8770</v>
      </c>
      <c r="D95" s="2">
        <v>0</v>
      </c>
      <c r="E95" s="3">
        <v>8770</v>
      </c>
      <c r="F95" t="s">
        <v>12</v>
      </c>
      <c r="G95" t="s">
        <v>12</v>
      </c>
      <c r="H95" s="1">
        <v>0.77075861808958501</v>
      </c>
      <c r="I95" s="1">
        <v>4407.7079833518301</v>
      </c>
      <c r="J95" s="1">
        <v>1923.2433980943799</v>
      </c>
      <c r="K95" s="1"/>
      <c r="L95" s="1"/>
      <c r="M95" s="1"/>
      <c r="N95" s="1"/>
      <c r="O95" s="1"/>
      <c r="P95" s="1"/>
      <c r="Q95" s="1">
        <v>-2663.4509939115801</v>
      </c>
      <c r="R95" s="1">
        <v>17765</v>
      </c>
      <c r="S95" t="s">
        <v>9</v>
      </c>
    </row>
    <row r="96" spans="1:19" x14ac:dyDescent="0.55000000000000004">
      <c r="A96" t="s">
        <v>13</v>
      </c>
      <c r="B96">
        <v>2001</v>
      </c>
      <c r="C96">
        <v>5842</v>
      </c>
      <c r="D96" s="2">
        <v>0</v>
      </c>
      <c r="E96" s="3">
        <v>5842</v>
      </c>
      <c r="F96" t="s">
        <v>12</v>
      </c>
      <c r="G96" t="s">
        <v>12</v>
      </c>
      <c r="H96" s="1">
        <v>19.3512434880924</v>
      </c>
      <c r="I96" s="1">
        <v>952.56684980165301</v>
      </c>
      <c r="J96" s="1">
        <v>7595.78065556396</v>
      </c>
      <c r="K96" s="1"/>
      <c r="L96" s="1"/>
      <c r="M96" s="1"/>
      <c r="N96" s="1"/>
      <c r="O96" s="1"/>
      <c r="P96" s="1"/>
      <c r="Q96" s="1">
        <v>-12553.3324782654</v>
      </c>
      <c r="R96" s="1">
        <v>26963</v>
      </c>
      <c r="S96" t="s">
        <v>9</v>
      </c>
    </row>
    <row r="97" spans="1:19" x14ac:dyDescent="0.55000000000000004">
      <c r="A97" t="s">
        <v>13</v>
      </c>
      <c r="B97">
        <v>2000</v>
      </c>
      <c r="C97">
        <v>13440</v>
      </c>
      <c r="D97" s="2">
        <v>0</v>
      </c>
      <c r="E97" s="3">
        <v>13440</v>
      </c>
      <c r="F97" t="s">
        <v>12</v>
      </c>
      <c r="G97" t="s">
        <v>12</v>
      </c>
      <c r="H97" s="1">
        <v>10.6897077357865</v>
      </c>
      <c r="I97" s="1">
        <v>6411.4266013208999</v>
      </c>
      <c r="J97" s="1">
        <v>3086.4479435713301</v>
      </c>
      <c r="K97" s="1"/>
      <c r="L97" s="1"/>
      <c r="M97" s="1"/>
      <c r="N97" s="1"/>
      <c r="O97" s="1"/>
      <c r="P97" s="1"/>
      <c r="Q97" s="1">
        <v>4335.0865893803903</v>
      </c>
      <c r="R97" s="1">
        <v>22949</v>
      </c>
      <c r="S97" t="s">
        <v>9</v>
      </c>
    </row>
    <row r="98" spans="1:19" x14ac:dyDescent="0.55000000000000004">
      <c r="A98" t="s">
        <v>13</v>
      </c>
      <c r="B98">
        <v>1999</v>
      </c>
      <c r="C98">
        <v>8238</v>
      </c>
      <c r="D98" s="2">
        <v>0</v>
      </c>
      <c r="E98" s="3">
        <v>8238</v>
      </c>
      <c r="F98" t="s">
        <v>12</v>
      </c>
      <c r="G98" t="s">
        <v>12</v>
      </c>
      <c r="H98" s="1">
        <v>0.459157883904174</v>
      </c>
      <c r="I98" s="1">
        <v>2713.9068581025299</v>
      </c>
      <c r="J98" s="1">
        <v>6438.15833405393</v>
      </c>
      <c r="K98" s="1"/>
      <c r="L98" s="1"/>
      <c r="M98" s="1"/>
      <c r="N98" s="1"/>
      <c r="O98" s="1"/>
      <c r="P98" s="1"/>
      <c r="Q98" s="1">
        <v>-17980.802979196102</v>
      </c>
      <c r="R98" s="1">
        <v>35371</v>
      </c>
      <c r="S98" t="s">
        <v>9</v>
      </c>
    </row>
    <row r="99" spans="1:19" x14ac:dyDescent="0.55000000000000004">
      <c r="A99" t="s">
        <v>13</v>
      </c>
      <c r="B99">
        <v>1998</v>
      </c>
      <c r="C99">
        <v>4751</v>
      </c>
      <c r="D99" s="2">
        <v>26</v>
      </c>
      <c r="E99" s="3">
        <v>4777</v>
      </c>
      <c r="F99" t="s">
        <v>12</v>
      </c>
      <c r="G99" t="s">
        <v>12</v>
      </c>
      <c r="H99" s="1">
        <v>4.9219449094902696</v>
      </c>
      <c r="I99" s="1">
        <v>1981.4449363444201</v>
      </c>
      <c r="J99" s="1">
        <v>1151.26544143965</v>
      </c>
      <c r="K99" s="1"/>
      <c r="L99" s="1"/>
      <c r="M99" s="1"/>
      <c r="N99" s="1"/>
      <c r="O99" s="1"/>
      <c r="P99" s="1"/>
      <c r="Q99" s="1">
        <v>-2430.76711213008</v>
      </c>
      <c r="R99" s="1">
        <v>10345</v>
      </c>
      <c r="S99" t="s">
        <v>9</v>
      </c>
    </row>
    <row r="100" spans="1:19" x14ac:dyDescent="0.55000000000000004">
      <c r="A100" t="s">
        <v>13</v>
      </c>
      <c r="B100">
        <v>1997</v>
      </c>
      <c r="C100">
        <v>4811</v>
      </c>
      <c r="D100" s="2">
        <v>0</v>
      </c>
      <c r="E100" s="3">
        <v>4811</v>
      </c>
      <c r="F100" t="s">
        <v>12</v>
      </c>
      <c r="G100" t="s">
        <v>12</v>
      </c>
      <c r="H100" s="1">
        <v>300.39157695653302</v>
      </c>
      <c r="I100" s="1">
        <v>11100.499307349901</v>
      </c>
      <c r="J100" s="1">
        <v>3206.54377936124</v>
      </c>
      <c r="K100" s="1"/>
      <c r="L100" s="1"/>
      <c r="M100" s="1"/>
      <c r="N100" s="1"/>
      <c r="O100" s="1"/>
      <c r="P100" s="1"/>
      <c r="Q100" s="1">
        <v>-17947.144447752002</v>
      </c>
      <c r="R100" s="1">
        <v>37366</v>
      </c>
      <c r="S100" t="s">
        <v>9</v>
      </c>
    </row>
    <row r="101" spans="1:19" x14ac:dyDescent="0.55000000000000004">
      <c r="A101" t="s">
        <v>13</v>
      </c>
      <c r="B101">
        <v>1996</v>
      </c>
      <c r="C101">
        <v>8176</v>
      </c>
      <c r="D101" s="2">
        <v>0</v>
      </c>
      <c r="E101" s="3">
        <v>8176</v>
      </c>
      <c r="F101" t="s">
        <v>12</v>
      </c>
      <c r="G101" t="s">
        <v>12</v>
      </c>
      <c r="H101" s="1">
        <v>0.34650885987369201</v>
      </c>
      <c r="I101" s="1">
        <v>1007.50025131774</v>
      </c>
      <c r="J101" s="1">
        <v>1084.8520862431401</v>
      </c>
      <c r="K101" s="1"/>
      <c r="L101" s="1"/>
      <c r="M101" s="1"/>
      <c r="N101" s="1"/>
      <c r="O101" s="1"/>
      <c r="P101" s="1"/>
      <c r="Q101" s="1">
        <v>3764.76768283097</v>
      </c>
      <c r="R101" s="1">
        <v>10269</v>
      </c>
      <c r="S101" t="s">
        <v>9</v>
      </c>
    </row>
    <row r="102" spans="1:19" x14ac:dyDescent="0.55000000000000004">
      <c r="A102" t="s">
        <v>13</v>
      </c>
      <c r="B102">
        <v>1995</v>
      </c>
      <c r="C102">
        <v>34417</v>
      </c>
      <c r="D102" s="2">
        <v>14</v>
      </c>
      <c r="E102" s="3">
        <v>34431</v>
      </c>
      <c r="F102" t="s">
        <v>12</v>
      </c>
      <c r="G102" t="s">
        <v>12</v>
      </c>
      <c r="H102" s="1">
        <v>2.04855950580323E-15</v>
      </c>
      <c r="I102" s="1">
        <v>11359.5754351302</v>
      </c>
      <c r="J102" s="1">
        <v>14794.7333816594</v>
      </c>
      <c r="K102" s="1"/>
      <c r="L102" s="1"/>
      <c r="M102" s="1"/>
      <c r="N102" s="1"/>
      <c r="O102" s="1"/>
      <c r="P102" s="1"/>
      <c r="Q102" s="1">
        <v>7258.6837726222802</v>
      </c>
      <c r="R102" s="1">
        <v>60585</v>
      </c>
      <c r="S102" t="s">
        <v>9</v>
      </c>
    </row>
    <row r="103" spans="1:19" x14ac:dyDescent="0.55000000000000004">
      <c r="A103" t="s">
        <v>13</v>
      </c>
      <c r="B103">
        <v>1994</v>
      </c>
      <c r="C103">
        <v>4380</v>
      </c>
      <c r="D103" s="2">
        <v>35</v>
      </c>
      <c r="E103" s="3">
        <v>4415</v>
      </c>
      <c r="F103" t="s">
        <v>12</v>
      </c>
      <c r="G103" t="s">
        <v>12</v>
      </c>
      <c r="H103" s="1">
        <v>2.39109930459446</v>
      </c>
      <c r="I103" s="1">
        <v>4125.7736554168596</v>
      </c>
      <c r="J103" s="1">
        <v>3471.2699434420401</v>
      </c>
      <c r="K103" s="1"/>
      <c r="L103" s="1"/>
      <c r="M103" s="1"/>
      <c r="N103" s="1"/>
      <c r="O103" s="1"/>
      <c r="P103" s="1"/>
      <c r="Q103" s="1">
        <v>-12347.9816960682</v>
      </c>
      <c r="R103" s="1">
        <v>24362</v>
      </c>
      <c r="S103" t="s">
        <v>9</v>
      </c>
    </row>
    <row r="104" spans="1:19" x14ac:dyDescent="0.55000000000000004">
      <c r="A104" t="s">
        <v>13</v>
      </c>
      <c r="B104">
        <v>1993</v>
      </c>
      <c r="C104">
        <v>1184</v>
      </c>
      <c r="D104" s="2">
        <v>0</v>
      </c>
      <c r="E104" s="3">
        <v>1184</v>
      </c>
      <c r="F104" t="s">
        <v>12</v>
      </c>
      <c r="G104" t="s">
        <v>12</v>
      </c>
      <c r="H104" s="1">
        <v>56.367174547183602</v>
      </c>
      <c r="I104" s="1">
        <v>4048.728328531</v>
      </c>
      <c r="J104" s="1">
        <v>1524.61228915229</v>
      </c>
      <c r="K104" s="1"/>
      <c r="L104" s="1"/>
      <c r="M104" s="1"/>
      <c r="N104" s="1"/>
      <c r="O104" s="1"/>
      <c r="P104" s="1"/>
      <c r="Q104" s="1">
        <v>-2692.2040185349101</v>
      </c>
      <c r="R104" s="1">
        <v>9506</v>
      </c>
      <c r="S104" t="s">
        <v>9</v>
      </c>
    </row>
    <row r="105" spans="1:19" x14ac:dyDescent="0.55000000000000004">
      <c r="A105" t="s">
        <v>13</v>
      </c>
      <c r="B105">
        <v>1992</v>
      </c>
      <c r="C105">
        <v>2560</v>
      </c>
      <c r="D105" s="2">
        <v>0</v>
      </c>
      <c r="E105" s="3">
        <v>2560</v>
      </c>
      <c r="F105" t="s">
        <v>12</v>
      </c>
      <c r="G105" t="s">
        <v>12</v>
      </c>
      <c r="H105" s="1">
        <v>21.746053733371198</v>
      </c>
      <c r="I105" s="1">
        <v>6849.3644873665598</v>
      </c>
      <c r="J105" s="1">
        <v>6918.9032445146104</v>
      </c>
      <c r="K105" s="1"/>
      <c r="L105" s="1"/>
      <c r="M105" s="1"/>
      <c r="N105" s="1"/>
      <c r="O105" s="1"/>
      <c r="P105" s="1"/>
      <c r="Q105" s="1">
        <v>-3696.3453378716399</v>
      </c>
      <c r="R105" s="1">
        <v>20046</v>
      </c>
      <c r="S105" t="s">
        <v>9</v>
      </c>
    </row>
    <row r="106" spans="1:19" x14ac:dyDescent="0.55000000000000004">
      <c r="A106" t="s">
        <v>13</v>
      </c>
      <c r="B106">
        <v>1991</v>
      </c>
      <c r="C106">
        <v>4919</v>
      </c>
      <c r="D106" s="2">
        <v>0</v>
      </c>
      <c r="E106" s="3">
        <v>4919</v>
      </c>
      <c r="F106" t="s">
        <v>12</v>
      </c>
      <c r="G106" t="s">
        <v>12</v>
      </c>
      <c r="H106" s="1">
        <v>0</v>
      </c>
      <c r="I106" s="1">
        <v>10279.5223101101</v>
      </c>
      <c r="J106" s="1">
        <v>3252</v>
      </c>
      <c r="K106" s="1"/>
      <c r="L106" s="1"/>
      <c r="M106" s="1"/>
      <c r="N106" s="1"/>
      <c r="O106" s="1"/>
      <c r="P106" s="1"/>
      <c r="Q106" s="1">
        <v>-7677.48183251722</v>
      </c>
      <c r="R106" s="1">
        <v>26128</v>
      </c>
      <c r="S106" t="s">
        <v>9</v>
      </c>
    </row>
    <row r="107" spans="1:19" x14ac:dyDescent="0.55000000000000004">
      <c r="A107" t="s">
        <v>13</v>
      </c>
      <c r="B107">
        <v>1990</v>
      </c>
      <c r="C107">
        <v>7860</v>
      </c>
      <c r="D107" s="2">
        <v>132</v>
      </c>
      <c r="E107" s="3">
        <v>7992</v>
      </c>
      <c r="F107" t="s">
        <v>12</v>
      </c>
      <c r="G107" t="s">
        <v>12</v>
      </c>
      <c r="H107" s="1">
        <v>3.9681137748364601</v>
      </c>
      <c r="I107" s="1">
        <v>8130.8765530052997</v>
      </c>
      <c r="J107" s="1">
        <v>8916.6881056151706</v>
      </c>
      <c r="K107" s="1"/>
      <c r="L107" s="1"/>
      <c r="M107" s="1"/>
      <c r="N107" s="1"/>
      <c r="O107" s="1"/>
      <c r="P107" s="1"/>
      <c r="Q107" s="1">
        <v>-3632.4521605800101</v>
      </c>
      <c r="R107" s="1">
        <v>28676</v>
      </c>
      <c r="S107" t="s">
        <v>9</v>
      </c>
    </row>
    <row r="108" spans="1:19" x14ac:dyDescent="0.55000000000000004">
      <c r="A108" t="s">
        <v>13</v>
      </c>
      <c r="B108">
        <v>1989</v>
      </c>
      <c r="C108">
        <v>2534</v>
      </c>
      <c r="D108" s="2">
        <v>0</v>
      </c>
      <c r="E108" s="3">
        <v>2534</v>
      </c>
      <c r="F108" t="s">
        <v>12</v>
      </c>
      <c r="G108" t="s">
        <v>12</v>
      </c>
      <c r="H108" s="1">
        <v>58.272098232472203</v>
      </c>
      <c r="I108" s="1">
        <v>18813.751160080701</v>
      </c>
      <c r="J108" s="1">
        <v>1203</v>
      </c>
      <c r="K108" s="1"/>
      <c r="L108" s="1"/>
      <c r="M108" s="1"/>
      <c r="N108" s="1"/>
      <c r="O108" s="1"/>
      <c r="P108" s="1"/>
      <c r="Q108" s="1">
        <v>-10225.241008716101</v>
      </c>
      <c r="R108" s="1">
        <v>32834</v>
      </c>
      <c r="S108" t="s">
        <v>9</v>
      </c>
    </row>
    <row r="109" spans="1:19" x14ac:dyDescent="0.55000000000000004">
      <c r="A109" t="s">
        <v>13</v>
      </c>
      <c r="B109">
        <v>1988</v>
      </c>
      <c r="C109">
        <v>12780</v>
      </c>
      <c r="D109" s="2">
        <v>0</v>
      </c>
      <c r="E109" s="3">
        <v>12780</v>
      </c>
      <c r="F109" t="s">
        <v>12</v>
      </c>
      <c r="G109" t="s">
        <v>12</v>
      </c>
      <c r="H109" s="1">
        <v>0</v>
      </c>
      <c r="I109" s="1">
        <v>22511.335742908399</v>
      </c>
      <c r="J109" s="1">
        <v>13931</v>
      </c>
      <c r="K109" s="1"/>
      <c r="L109" s="1"/>
      <c r="M109" s="1"/>
      <c r="N109" s="1"/>
      <c r="O109" s="1"/>
      <c r="P109" s="1"/>
      <c r="Q109" s="1">
        <v>-8.47975603985833</v>
      </c>
      <c r="R109" s="1">
        <v>49231</v>
      </c>
      <c r="S109" t="s">
        <v>9</v>
      </c>
    </row>
    <row r="110" spans="1:19" x14ac:dyDescent="0.55000000000000004">
      <c r="A110" t="s">
        <v>13</v>
      </c>
      <c r="B110">
        <v>1987</v>
      </c>
      <c r="C110">
        <v>11071</v>
      </c>
      <c r="D110" s="2">
        <v>8</v>
      </c>
      <c r="E110" s="3">
        <v>11079</v>
      </c>
      <c r="F110" t="s">
        <v>12</v>
      </c>
      <c r="G110" t="s">
        <v>12</v>
      </c>
      <c r="H110" s="1">
        <v>0</v>
      </c>
      <c r="I110" s="1">
        <v>12615.423168080601</v>
      </c>
      <c r="J110" s="1">
        <v>17846</v>
      </c>
      <c r="K110" s="1"/>
      <c r="L110" s="1"/>
      <c r="M110" s="1"/>
      <c r="N110" s="1"/>
      <c r="O110" s="1"/>
      <c r="P110" s="1"/>
      <c r="Q110" s="1">
        <v>-15992.4179508793</v>
      </c>
      <c r="R110" s="1">
        <v>57533</v>
      </c>
      <c r="S110" t="s">
        <v>9</v>
      </c>
    </row>
    <row r="111" spans="1:19" x14ac:dyDescent="0.55000000000000004">
      <c r="A111" t="s">
        <v>13</v>
      </c>
      <c r="B111">
        <v>1986</v>
      </c>
      <c r="C111">
        <v>3118</v>
      </c>
      <c r="D111" s="2">
        <v>13</v>
      </c>
      <c r="E111" s="3">
        <v>3131</v>
      </c>
      <c r="F111" t="s">
        <v>12</v>
      </c>
      <c r="G111" t="s">
        <v>12</v>
      </c>
      <c r="H111" s="1">
        <v>0</v>
      </c>
      <c r="I111" s="1">
        <v>711.83539180314597</v>
      </c>
      <c r="J111" s="1">
        <v>1154.33212602905</v>
      </c>
      <c r="K111" s="1"/>
      <c r="L111" s="1"/>
      <c r="M111" s="1"/>
      <c r="N111" s="1"/>
      <c r="O111" s="1"/>
      <c r="P111" s="1"/>
      <c r="Q111" s="1">
        <v>-649.19648689955102</v>
      </c>
      <c r="R111" s="1">
        <v>5646</v>
      </c>
      <c r="S111" t="s">
        <v>9</v>
      </c>
    </row>
    <row r="112" spans="1:19" x14ac:dyDescent="0.55000000000000004">
      <c r="A112" t="s">
        <v>13</v>
      </c>
      <c r="B112">
        <v>1985</v>
      </c>
      <c r="C112">
        <v>6395</v>
      </c>
      <c r="D112" s="2">
        <v>0</v>
      </c>
      <c r="E112" s="3">
        <v>6395</v>
      </c>
      <c r="F112" t="s">
        <v>12</v>
      </c>
      <c r="G112" t="s">
        <v>12</v>
      </c>
      <c r="H112" s="1">
        <v>0</v>
      </c>
      <c r="I112" s="1">
        <v>11886.727498406501</v>
      </c>
      <c r="J112" s="1">
        <v>1388.24419378113</v>
      </c>
      <c r="K112" s="1"/>
      <c r="L112" s="1"/>
      <c r="M112" s="1"/>
      <c r="N112" s="1"/>
      <c r="O112" s="1"/>
      <c r="P112" s="1"/>
      <c r="Q112" s="1">
        <v>2672.5276151829298</v>
      </c>
      <c r="R112" s="1">
        <v>19670</v>
      </c>
      <c r="S112" t="s">
        <v>9</v>
      </c>
    </row>
    <row r="113" spans="1:19" x14ac:dyDescent="0.55000000000000004">
      <c r="A113" t="s">
        <v>13</v>
      </c>
      <c r="B113">
        <v>1984</v>
      </c>
      <c r="C113">
        <v>10461</v>
      </c>
      <c r="D113" s="2">
        <v>0</v>
      </c>
      <c r="E113" s="3">
        <v>10461</v>
      </c>
      <c r="F113" t="s">
        <v>12</v>
      </c>
      <c r="G113" t="s">
        <v>12</v>
      </c>
      <c r="H113" s="1">
        <v>0</v>
      </c>
      <c r="I113" s="1">
        <v>33930.682263616603</v>
      </c>
      <c r="J113" s="1">
        <v>2624.4794397471101</v>
      </c>
      <c r="K113" s="1"/>
      <c r="L113" s="1"/>
      <c r="M113" s="1"/>
      <c r="N113" s="1"/>
      <c r="O113" s="1"/>
      <c r="P113" s="1"/>
      <c r="Q113" s="1">
        <v>-25509.455215788101</v>
      </c>
      <c r="R113" s="1">
        <v>72526</v>
      </c>
      <c r="S113" t="s">
        <v>9</v>
      </c>
    </row>
    <row r="114" spans="1:19" x14ac:dyDescent="0.55000000000000004">
      <c r="A114" t="s">
        <v>13</v>
      </c>
      <c r="B114">
        <v>1983</v>
      </c>
      <c r="C114">
        <v>6451</v>
      </c>
      <c r="D114" s="2">
        <v>0</v>
      </c>
      <c r="E114" s="3">
        <v>6451</v>
      </c>
      <c r="F114" t="s">
        <v>12</v>
      </c>
      <c r="G114" t="s">
        <v>12</v>
      </c>
      <c r="H114" s="1">
        <v>0</v>
      </c>
      <c r="I114" s="1">
        <v>6751.1967834891002</v>
      </c>
      <c r="J114" s="1">
        <v>1685.19425141942</v>
      </c>
      <c r="K114" s="1"/>
      <c r="L114" s="1"/>
      <c r="M114" s="1"/>
      <c r="N114" s="1"/>
      <c r="O114" s="1"/>
      <c r="P114" s="1"/>
      <c r="Q114" s="1">
        <v>-15943.177869951</v>
      </c>
      <c r="R114" s="1">
        <v>30831</v>
      </c>
      <c r="S114" t="s">
        <v>9</v>
      </c>
    </row>
    <row r="115" spans="1:19" x14ac:dyDescent="0.55000000000000004">
      <c r="A115" t="s">
        <v>13</v>
      </c>
      <c r="B115">
        <v>1982</v>
      </c>
      <c r="C115">
        <v>1647</v>
      </c>
      <c r="D115" s="2">
        <v>0</v>
      </c>
      <c r="E115" s="3">
        <v>1647</v>
      </c>
      <c r="F115" t="s">
        <v>12</v>
      </c>
      <c r="G115" t="s">
        <v>12</v>
      </c>
      <c r="H115" s="1"/>
      <c r="I115" s="1">
        <v>14253.4907345872</v>
      </c>
      <c r="J115" s="1">
        <v>519.23760672672699</v>
      </c>
      <c r="K115" s="1"/>
      <c r="L115" s="1"/>
      <c r="M115" s="1"/>
      <c r="N115" s="1"/>
      <c r="O115" s="1"/>
      <c r="P115" s="1"/>
      <c r="Q115" s="1">
        <v>-15415.8613022509</v>
      </c>
      <c r="R115" s="1">
        <v>31836</v>
      </c>
      <c r="S115" t="s">
        <v>9</v>
      </c>
    </row>
    <row r="116" spans="1:19" x14ac:dyDescent="0.55000000000000004">
      <c r="A116" t="s">
        <v>13</v>
      </c>
      <c r="B116">
        <v>1981</v>
      </c>
      <c r="C116">
        <v>1170</v>
      </c>
      <c r="D116" s="2">
        <v>0</v>
      </c>
      <c r="E116" s="3">
        <v>1170</v>
      </c>
      <c r="F116" t="s">
        <v>12</v>
      </c>
      <c r="G116" t="s">
        <v>12</v>
      </c>
      <c r="H116" s="1"/>
      <c r="I116" s="1">
        <v>4672.5354824954202</v>
      </c>
      <c r="J116" s="1">
        <v>128.910239614852</v>
      </c>
      <c r="K116" s="1"/>
      <c r="L116" s="1"/>
      <c r="M116" s="1"/>
      <c r="N116" s="1"/>
      <c r="O116" s="1"/>
      <c r="P116" s="1"/>
      <c r="Q116" s="1">
        <v>-554.56214753873496</v>
      </c>
      <c r="R116" s="1">
        <v>6526</v>
      </c>
      <c r="S116" t="s">
        <v>9</v>
      </c>
    </row>
    <row r="117" spans="1:19" x14ac:dyDescent="0.55000000000000004">
      <c r="A117" t="s">
        <v>13</v>
      </c>
      <c r="B117">
        <v>1980</v>
      </c>
      <c r="C117">
        <v>2894</v>
      </c>
      <c r="D117" s="2">
        <v>0</v>
      </c>
      <c r="E117" s="3">
        <v>2894</v>
      </c>
      <c r="F117" t="s">
        <v>12</v>
      </c>
      <c r="G117" t="s">
        <v>12</v>
      </c>
      <c r="H117" s="1"/>
      <c r="I117" s="1">
        <v>3715.2407500357699</v>
      </c>
      <c r="J117" s="1">
        <v>580.58313583916095</v>
      </c>
      <c r="K117" s="1"/>
      <c r="L117" s="1"/>
      <c r="M117" s="1"/>
      <c r="N117" s="1"/>
      <c r="O117" s="1"/>
      <c r="P117" s="1"/>
      <c r="Q117" s="1">
        <v>-2278.8706545167302</v>
      </c>
      <c r="R117" s="1">
        <v>9469</v>
      </c>
      <c r="S117" t="s">
        <v>9</v>
      </c>
    </row>
    <row r="118" spans="1:19" x14ac:dyDescent="0.55000000000000004">
      <c r="A118" t="s">
        <v>13</v>
      </c>
      <c r="B118">
        <v>1979</v>
      </c>
      <c r="C118">
        <v>35000</v>
      </c>
      <c r="D118" s="2">
        <v>0</v>
      </c>
      <c r="E118" s="3">
        <v>35000</v>
      </c>
      <c r="F118" t="s">
        <v>12</v>
      </c>
      <c r="G118" t="s">
        <v>12</v>
      </c>
      <c r="H118" s="1"/>
      <c r="I118" s="1">
        <v>84577.994725163895</v>
      </c>
      <c r="J118" s="1">
        <v>6416.5872295480704</v>
      </c>
      <c r="K118" s="1"/>
      <c r="L118" s="1"/>
      <c r="M118" s="1"/>
      <c r="N118" s="1"/>
      <c r="O118" s="1"/>
      <c r="P118" s="1"/>
      <c r="Q118" s="1">
        <v>-16550.607978268599</v>
      </c>
      <c r="R118" s="1">
        <v>142545</v>
      </c>
      <c r="S118" t="s">
        <v>9</v>
      </c>
    </row>
    <row r="119" spans="1:19" x14ac:dyDescent="0.55000000000000004">
      <c r="A119" t="s">
        <v>13</v>
      </c>
      <c r="B119">
        <v>1978</v>
      </c>
      <c r="C119">
        <v>3141</v>
      </c>
      <c r="D119" s="2">
        <v>9</v>
      </c>
      <c r="E119" s="3">
        <v>3150</v>
      </c>
      <c r="F119" t="s">
        <v>12</v>
      </c>
      <c r="G119" t="s">
        <v>12</v>
      </c>
      <c r="H119" s="1"/>
      <c r="I119" s="1">
        <v>12165.014885493099</v>
      </c>
      <c r="J119" s="1">
        <v>551.77390995529595</v>
      </c>
      <c r="K119" s="1"/>
      <c r="L119" s="1"/>
      <c r="M119" s="1"/>
      <c r="N119" s="1"/>
      <c r="O119" s="1"/>
      <c r="P119" s="1"/>
      <c r="Q119" s="1">
        <v>1273.1881721238001</v>
      </c>
      <c r="R119" s="1">
        <v>15867</v>
      </c>
      <c r="S119" t="s">
        <v>9</v>
      </c>
    </row>
    <row r="120" spans="1:19" x14ac:dyDescent="0.55000000000000004">
      <c r="A120" t="s">
        <v>13</v>
      </c>
      <c r="B120">
        <v>1977</v>
      </c>
      <c r="C120">
        <v>2500</v>
      </c>
      <c r="D120" s="2">
        <v>0</v>
      </c>
      <c r="E120" s="3">
        <v>2500</v>
      </c>
      <c r="F120" t="s">
        <v>12</v>
      </c>
      <c r="G120" t="s">
        <v>12</v>
      </c>
      <c r="H120" s="1"/>
      <c r="I120" s="1">
        <v>7900.7866862803003</v>
      </c>
      <c r="J120" s="1">
        <v>313.629779990337</v>
      </c>
      <c r="K120" s="1"/>
      <c r="L120" s="1"/>
      <c r="M120" s="1"/>
      <c r="N120" s="1"/>
      <c r="O120" s="1"/>
      <c r="P120" s="1"/>
      <c r="Q120" s="1">
        <v>1538.96479894911</v>
      </c>
      <c r="R120" s="1">
        <v>10714</v>
      </c>
      <c r="S120" t="s">
        <v>9</v>
      </c>
    </row>
    <row r="121" spans="1:19" x14ac:dyDescent="0.55000000000000004">
      <c r="A121" t="s">
        <v>13</v>
      </c>
      <c r="B121">
        <v>1976</v>
      </c>
      <c r="C121">
        <v>2250</v>
      </c>
      <c r="D121" s="2">
        <v>0</v>
      </c>
      <c r="E121" s="3">
        <v>2250</v>
      </c>
      <c r="F121" t="s">
        <v>12</v>
      </c>
      <c r="G121" t="s">
        <v>12</v>
      </c>
      <c r="H121" s="1"/>
      <c r="I121" s="1">
        <v>13350</v>
      </c>
      <c r="J121" s="1">
        <v>1606</v>
      </c>
      <c r="K121" s="1"/>
      <c r="L121" s="1"/>
      <c r="M121" s="1"/>
      <c r="N121" s="1"/>
      <c r="O121" s="1"/>
      <c r="P121" s="1"/>
      <c r="Q121" s="1"/>
      <c r="R121" s="1">
        <v>17206</v>
      </c>
      <c r="S121" t="s">
        <v>12</v>
      </c>
    </row>
    <row r="122" spans="1:19" x14ac:dyDescent="0.55000000000000004">
      <c r="A122" t="s">
        <v>13</v>
      </c>
      <c r="B122">
        <v>1975</v>
      </c>
      <c r="C122">
        <v>29700</v>
      </c>
      <c r="D122" s="2">
        <v>0</v>
      </c>
      <c r="E122" s="3">
        <v>29700</v>
      </c>
      <c r="F122" t="s">
        <v>12</v>
      </c>
      <c r="G122" t="s">
        <v>12</v>
      </c>
      <c r="H122" s="1"/>
      <c r="I122" s="1">
        <v>86366</v>
      </c>
      <c r="J122" s="1">
        <v>8271</v>
      </c>
      <c r="K122" s="1"/>
      <c r="L122" s="1"/>
      <c r="M122" s="1"/>
      <c r="N122" s="1"/>
      <c r="O122" s="1"/>
      <c r="P122" s="1"/>
      <c r="Q122" s="1"/>
      <c r="R122" s="1">
        <v>124337</v>
      </c>
      <c r="S122" t="s">
        <v>11</v>
      </c>
    </row>
    <row r="123" spans="1:19" x14ac:dyDescent="0.55000000000000004">
      <c r="A123" t="s">
        <v>13</v>
      </c>
      <c r="B123">
        <v>1974</v>
      </c>
      <c r="C123">
        <v>1850</v>
      </c>
      <c r="D123" s="2">
        <v>0</v>
      </c>
      <c r="E123" s="3">
        <v>1850</v>
      </c>
      <c r="F123" t="s">
        <v>12</v>
      </c>
      <c r="G123" t="s">
        <v>12</v>
      </c>
      <c r="H123" s="1"/>
      <c r="I123" s="1">
        <v>12757</v>
      </c>
      <c r="J123" s="1">
        <v>2427</v>
      </c>
      <c r="K123" s="1"/>
      <c r="L123" s="1"/>
      <c r="M123" s="1"/>
      <c r="N123" s="1"/>
      <c r="O123" s="1"/>
      <c r="P123" s="1"/>
      <c r="Q123" s="1"/>
      <c r="R123" s="1">
        <v>17034</v>
      </c>
      <c r="S123" t="s">
        <v>12</v>
      </c>
    </row>
    <row r="124" spans="1:19" x14ac:dyDescent="0.55000000000000004">
      <c r="A124" t="s">
        <v>13</v>
      </c>
      <c r="B124">
        <v>1973</v>
      </c>
      <c r="C124">
        <v>4558</v>
      </c>
      <c r="D124" s="2">
        <v>142</v>
      </c>
      <c r="E124" s="3">
        <v>4700</v>
      </c>
      <c r="F124" t="s">
        <v>12</v>
      </c>
      <c r="G124" t="s">
        <v>12</v>
      </c>
      <c r="H124" s="1"/>
      <c r="I124" s="1">
        <v>17943</v>
      </c>
      <c r="J124" s="1">
        <v>980</v>
      </c>
      <c r="K124" s="1"/>
      <c r="L124" s="1"/>
      <c r="M124" s="1"/>
      <c r="N124" s="1"/>
      <c r="O124" s="1"/>
      <c r="P124" s="1"/>
      <c r="Q124" s="1"/>
      <c r="R124" s="1">
        <v>23623</v>
      </c>
      <c r="S124" t="s">
        <v>12</v>
      </c>
    </row>
    <row r="125" spans="1:19" x14ac:dyDescent="0.55000000000000004">
      <c r="A125" t="s">
        <v>13</v>
      </c>
      <c r="B125">
        <v>1972</v>
      </c>
      <c r="C125">
        <v>4138</v>
      </c>
      <c r="D125" s="2">
        <v>0</v>
      </c>
      <c r="E125" s="3">
        <v>4138</v>
      </c>
      <c r="F125" t="s">
        <v>12</v>
      </c>
      <c r="G125" t="s">
        <v>12</v>
      </c>
      <c r="H125" s="1"/>
      <c r="I125" s="1">
        <v>41199</v>
      </c>
      <c r="J125" s="1">
        <v>4569</v>
      </c>
      <c r="K125" s="1"/>
      <c r="L125" s="1"/>
      <c r="M125" s="1"/>
      <c r="N125" s="1"/>
      <c r="O125" s="1"/>
      <c r="P125" s="1"/>
      <c r="Q125" s="1"/>
      <c r="R125" s="1">
        <v>49906</v>
      </c>
      <c r="S125" t="s">
        <v>12</v>
      </c>
    </row>
    <row r="126" spans="1:19" x14ac:dyDescent="0.55000000000000004">
      <c r="A126" t="s">
        <v>13</v>
      </c>
      <c r="B126">
        <v>1971</v>
      </c>
      <c r="C126">
        <v>25497</v>
      </c>
      <c r="D126" s="2">
        <v>0</v>
      </c>
      <c r="E126" s="3">
        <v>25497</v>
      </c>
      <c r="F126" t="s">
        <v>12</v>
      </c>
      <c r="G126" t="s">
        <v>12</v>
      </c>
      <c r="H126" s="1"/>
      <c r="I126" s="1">
        <v>156563</v>
      </c>
      <c r="J126" s="1">
        <v>12850</v>
      </c>
      <c r="K126" s="1"/>
      <c r="L126" s="1"/>
      <c r="M126" s="1"/>
      <c r="N126" s="1"/>
      <c r="O126" s="1"/>
      <c r="P126" s="1"/>
      <c r="Q126" s="1"/>
      <c r="R126" s="1">
        <v>194910</v>
      </c>
      <c r="S126" t="s">
        <v>12</v>
      </c>
    </row>
    <row r="127" spans="1:19" x14ac:dyDescent="0.55000000000000004">
      <c r="A127" t="s">
        <v>13</v>
      </c>
      <c r="B127">
        <v>1970</v>
      </c>
      <c r="C127">
        <v>1305</v>
      </c>
      <c r="D127" s="2">
        <v>36</v>
      </c>
      <c r="E127" s="3">
        <v>1341</v>
      </c>
      <c r="F127" t="s">
        <v>12</v>
      </c>
      <c r="G127" t="s">
        <v>12</v>
      </c>
      <c r="H127" s="1"/>
      <c r="I127" s="1">
        <v>19934</v>
      </c>
      <c r="J127" s="1">
        <v>1074</v>
      </c>
      <c r="K127" s="1"/>
      <c r="L127" s="1"/>
      <c r="M127" s="1"/>
      <c r="N127" s="1"/>
      <c r="O127" s="1"/>
      <c r="P127" s="1"/>
      <c r="Q127" s="1"/>
      <c r="R127" s="1">
        <v>22349</v>
      </c>
      <c r="S127" t="s">
        <v>12</v>
      </c>
    </row>
    <row r="128" spans="1:19" x14ac:dyDescent="0.55000000000000004">
      <c r="A128" t="s">
        <v>13</v>
      </c>
      <c r="B128">
        <v>1969</v>
      </c>
      <c r="C128">
        <v>3872</v>
      </c>
      <c r="D128" s="2">
        <v>0</v>
      </c>
      <c r="E128" s="3">
        <v>3872</v>
      </c>
      <c r="F128" t="s">
        <v>12</v>
      </c>
      <c r="G128" t="s">
        <v>12</v>
      </c>
      <c r="H128" s="1"/>
      <c r="I128" s="1">
        <v>14534</v>
      </c>
      <c r="J128" s="1">
        <v>455</v>
      </c>
      <c r="K128" s="1"/>
      <c r="L128" s="1"/>
      <c r="M128" s="1"/>
      <c r="N128" s="1"/>
      <c r="O128" s="1"/>
      <c r="P128" s="1"/>
      <c r="Q128" s="1"/>
      <c r="R128" s="1">
        <v>18861</v>
      </c>
      <c r="S128" t="s">
        <v>12</v>
      </c>
    </row>
    <row r="129" spans="1:19" x14ac:dyDescent="0.55000000000000004">
      <c r="A129" t="s">
        <v>13</v>
      </c>
      <c r="B129">
        <v>1968</v>
      </c>
      <c r="C129">
        <v>3611</v>
      </c>
      <c r="D129" s="2">
        <v>23</v>
      </c>
      <c r="E129" s="3">
        <v>3634</v>
      </c>
      <c r="F129" t="s">
        <v>12</v>
      </c>
      <c r="G129" t="s">
        <v>12</v>
      </c>
      <c r="H129" s="1"/>
      <c r="I129" s="1">
        <v>27515.786577526698</v>
      </c>
      <c r="J129" s="1">
        <v>3654</v>
      </c>
      <c r="K129" s="1"/>
      <c r="L129" s="1"/>
      <c r="M129" s="1"/>
      <c r="N129" s="1"/>
      <c r="O129" s="1"/>
      <c r="P129" s="1"/>
      <c r="Q129" s="1"/>
      <c r="R129" s="1">
        <v>34804</v>
      </c>
      <c r="S129" t="s">
        <v>12</v>
      </c>
    </row>
    <row r="130" spans="1:19" x14ac:dyDescent="0.55000000000000004">
      <c r="A130" t="s">
        <v>13</v>
      </c>
      <c r="B130">
        <v>1967</v>
      </c>
      <c r="C130">
        <v>31695</v>
      </c>
      <c r="D130" s="2">
        <v>0</v>
      </c>
      <c r="E130" s="3">
        <v>31695</v>
      </c>
      <c r="F130" t="s">
        <v>12</v>
      </c>
      <c r="G130" t="s">
        <v>12</v>
      </c>
      <c r="H130" s="1"/>
      <c r="I130" s="1">
        <v>167174.48305994199</v>
      </c>
      <c r="J130" s="1">
        <v>3644.2204507128599</v>
      </c>
      <c r="K130" s="1"/>
      <c r="L130" s="1"/>
      <c r="M130" s="1"/>
      <c r="N130" s="1"/>
      <c r="O130" s="1"/>
      <c r="P130" s="1"/>
      <c r="Q130" s="1"/>
      <c r="R130" s="1">
        <v>202514</v>
      </c>
      <c r="S130" t="s">
        <v>12</v>
      </c>
    </row>
    <row r="131" spans="1:19" x14ac:dyDescent="0.55000000000000004">
      <c r="A131" t="s">
        <v>13</v>
      </c>
      <c r="B131">
        <v>1966</v>
      </c>
      <c r="C131">
        <v>2470</v>
      </c>
      <c r="D131" s="2">
        <v>10</v>
      </c>
      <c r="E131" s="3">
        <v>2480</v>
      </c>
      <c r="F131" t="s">
        <v>12</v>
      </c>
      <c r="G131" t="s">
        <v>12</v>
      </c>
      <c r="H131" s="1"/>
      <c r="I131" s="1">
        <v>17344</v>
      </c>
      <c r="J131" s="1">
        <v>339</v>
      </c>
      <c r="K131" s="1"/>
      <c r="L131" s="1"/>
      <c r="M131" s="1"/>
      <c r="N131" s="1"/>
      <c r="O131" s="1"/>
      <c r="P131" s="1"/>
      <c r="Q131" s="1"/>
      <c r="R131" s="1">
        <v>20163</v>
      </c>
      <c r="S131" t="s">
        <v>12</v>
      </c>
    </row>
    <row r="132" spans="1:19" x14ac:dyDescent="0.55000000000000004">
      <c r="A132" t="s">
        <v>13</v>
      </c>
      <c r="B132">
        <v>1965</v>
      </c>
      <c r="C132">
        <v>2659</v>
      </c>
      <c r="D132" s="2">
        <v>1</v>
      </c>
      <c r="E132" s="3">
        <v>2660</v>
      </c>
      <c r="F132" t="s">
        <v>12</v>
      </c>
      <c r="G132" t="s">
        <v>12</v>
      </c>
      <c r="H132" s="1"/>
      <c r="I132" s="1">
        <v>23986</v>
      </c>
      <c r="J132" s="1">
        <v>646</v>
      </c>
      <c r="K132" s="1"/>
      <c r="L132" s="1"/>
      <c r="M132" s="1"/>
      <c r="N132" s="1"/>
      <c r="O132" s="1"/>
      <c r="P132" s="1"/>
      <c r="Q132" s="1"/>
      <c r="R132" s="1">
        <v>27292</v>
      </c>
      <c r="S132" t="s">
        <v>12</v>
      </c>
    </row>
    <row r="133" spans="1:19" x14ac:dyDescent="0.55000000000000004">
      <c r="A133" t="s">
        <v>13</v>
      </c>
      <c r="B133">
        <v>1964</v>
      </c>
      <c r="C133">
        <v>1500</v>
      </c>
      <c r="D133" s="2">
        <v>0</v>
      </c>
      <c r="E133" s="3">
        <v>1500</v>
      </c>
      <c r="F133" t="s">
        <v>12</v>
      </c>
      <c r="G133" t="s">
        <v>12</v>
      </c>
      <c r="H133" s="1"/>
      <c r="I133" s="1">
        <v>13982</v>
      </c>
      <c r="J133" s="1">
        <v>2196</v>
      </c>
      <c r="K133" s="1"/>
      <c r="L133" s="1"/>
      <c r="M133" s="1"/>
      <c r="N133" s="1"/>
      <c r="O133" s="1"/>
      <c r="P133" s="1"/>
      <c r="Q133" s="1"/>
      <c r="R133" s="1">
        <v>17678</v>
      </c>
      <c r="S133" t="s">
        <v>11</v>
      </c>
    </row>
    <row r="134" spans="1:19" x14ac:dyDescent="0.55000000000000004">
      <c r="A134" t="s">
        <v>13</v>
      </c>
      <c r="B134">
        <v>1963</v>
      </c>
      <c r="C134">
        <v>25141</v>
      </c>
      <c r="D134" s="2">
        <v>3</v>
      </c>
      <c r="E134" s="3">
        <v>25144</v>
      </c>
      <c r="F134" t="s">
        <v>12</v>
      </c>
      <c r="G134" t="s">
        <v>12</v>
      </c>
      <c r="H134" s="1"/>
      <c r="I134" s="1">
        <v>28400</v>
      </c>
      <c r="J134" s="1">
        <v>3081</v>
      </c>
      <c r="K134" s="1"/>
      <c r="L134" s="1"/>
      <c r="M134" s="1"/>
      <c r="N134" s="1"/>
      <c r="O134" s="1"/>
      <c r="P134" s="1"/>
      <c r="Q134" s="1"/>
      <c r="R134" s="1">
        <v>56625</v>
      </c>
      <c r="S134" t="s">
        <v>12</v>
      </c>
    </row>
    <row r="135" spans="1:19" x14ac:dyDescent="0.55000000000000004">
      <c r="A135" t="s">
        <v>13</v>
      </c>
      <c r="B135">
        <v>1962</v>
      </c>
      <c r="C135">
        <v>6286</v>
      </c>
      <c r="D135" s="2">
        <v>6</v>
      </c>
      <c r="E135" s="3">
        <v>6292</v>
      </c>
      <c r="F135" t="s">
        <v>12</v>
      </c>
      <c r="G135" t="s">
        <v>12</v>
      </c>
      <c r="H135" s="1"/>
      <c r="I135" s="1">
        <v>11732</v>
      </c>
      <c r="J135" s="1">
        <v>890</v>
      </c>
      <c r="K135" s="1"/>
      <c r="L135" s="1"/>
      <c r="M135" s="1"/>
      <c r="N135" s="1"/>
      <c r="O135" s="1"/>
      <c r="P135" s="1"/>
      <c r="Q135" s="1"/>
      <c r="R135" s="1">
        <v>18914</v>
      </c>
      <c r="S135" t="s">
        <v>12</v>
      </c>
    </row>
    <row r="136" spans="1:19" x14ac:dyDescent="0.55000000000000004">
      <c r="A136" t="s">
        <v>13</v>
      </c>
      <c r="B136">
        <v>1961</v>
      </c>
      <c r="C136">
        <v>7460</v>
      </c>
      <c r="D136" s="2">
        <v>11</v>
      </c>
      <c r="E136" s="3">
        <v>7471</v>
      </c>
      <c r="F136" t="s">
        <v>12</v>
      </c>
      <c r="G136" t="s">
        <v>12</v>
      </c>
      <c r="H136" s="1"/>
      <c r="I136" s="1">
        <v>37230</v>
      </c>
      <c r="J136" s="1">
        <v>729</v>
      </c>
      <c r="K136" s="1"/>
      <c r="L136" s="1"/>
      <c r="M136" s="1"/>
      <c r="N136" s="1"/>
      <c r="O136" s="1"/>
      <c r="P136" s="1"/>
      <c r="Q136" s="1"/>
      <c r="R136" s="1">
        <v>45430</v>
      </c>
      <c r="S136" t="s">
        <v>12</v>
      </c>
    </row>
    <row r="137" spans="1:19" x14ac:dyDescent="0.55000000000000004">
      <c r="A137" t="s">
        <v>13</v>
      </c>
      <c r="B137">
        <v>1960</v>
      </c>
      <c r="C137">
        <v>7663</v>
      </c>
      <c r="D137" s="2">
        <v>0</v>
      </c>
      <c r="E137" s="3">
        <v>7663</v>
      </c>
      <c r="F137" t="s">
        <v>12</v>
      </c>
      <c r="G137" t="s">
        <v>12</v>
      </c>
      <c r="H137" s="1"/>
      <c r="I137" s="1">
        <v>20737</v>
      </c>
      <c r="J137" s="1">
        <v>1244</v>
      </c>
      <c r="K137" s="1"/>
      <c r="L137" s="1"/>
      <c r="M137" s="1"/>
      <c r="N137" s="1"/>
      <c r="O137" s="1"/>
      <c r="P137" s="1"/>
      <c r="Q137" s="1"/>
      <c r="R137" s="1">
        <v>29644</v>
      </c>
      <c r="S137" t="s">
        <v>11</v>
      </c>
    </row>
    <row r="138" spans="1:19" x14ac:dyDescent="0.55000000000000004">
      <c r="A138" t="s">
        <v>13</v>
      </c>
      <c r="B138">
        <v>1959</v>
      </c>
      <c r="C138">
        <v>29247</v>
      </c>
      <c r="D138" s="2">
        <v>0</v>
      </c>
      <c r="E138" s="3">
        <v>29247</v>
      </c>
      <c r="F138" t="s">
        <v>12</v>
      </c>
      <c r="G138" t="s">
        <v>12</v>
      </c>
      <c r="H138" s="1"/>
      <c r="I138" s="1">
        <v>51248</v>
      </c>
      <c r="J138" s="1">
        <v>1555</v>
      </c>
      <c r="K138" s="1"/>
      <c r="L138" s="1"/>
      <c r="M138" s="1"/>
      <c r="N138" s="1"/>
      <c r="O138" s="1"/>
      <c r="P138" s="1"/>
      <c r="Q138" s="1"/>
      <c r="R138" s="1">
        <v>82050</v>
      </c>
      <c r="S138" t="s">
        <v>12</v>
      </c>
    </row>
    <row r="139" spans="1:19" x14ac:dyDescent="0.55000000000000004">
      <c r="A139" t="s">
        <v>13</v>
      </c>
      <c r="B139">
        <v>1958</v>
      </c>
      <c r="C139">
        <v>14863</v>
      </c>
      <c r="D139" s="2">
        <v>28</v>
      </c>
      <c r="E139" s="3">
        <v>14891</v>
      </c>
      <c r="F139" t="s">
        <v>12</v>
      </c>
      <c r="G139" t="s">
        <v>12</v>
      </c>
      <c r="H139" s="1"/>
      <c r="I139" s="1">
        <v>52372</v>
      </c>
      <c r="J139" s="1">
        <v>748</v>
      </c>
      <c r="K139" s="1"/>
      <c r="L139" s="1"/>
      <c r="M139" s="1"/>
      <c r="N139" s="1"/>
      <c r="O139" s="1"/>
      <c r="P139" s="1"/>
      <c r="Q139" s="1"/>
      <c r="R139" s="1">
        <v>68011</v>
      </c>
      <c r="S139" t="s">
        <v>12</v>
      </c>
    </row>
    <row r="140" spans="1:19" x14ac:dyDescent="0.55000000000000004">
      <c r="A140" t="s">
        <v>13</v>
      </c>
      <c r="B140">
        <v>1957</v>
      </c>
      <c r="C140">
        <v>12011</v>
      </c>
      <c r="D140" s="2">
        <v>58</v>
      </c>
      <c r="E140" s="3">
        <v>12069</v>
      </c>
      <c r="F140" t="s">
        <v>12</v>
      </c>
      <c r="G140" t="s">
        <v>12</v>
      </c>
      <c r="H140" s="1"/>
      <c r="I140" s="1">
        <v>54090</v>
      </c>
      <c r="J140" s="1">
        <v>624</v>
      </c>
      <c r="K140" s="1"/>
      <c r="L140" s="1"/>
      <c r="M140" s="1"/>
      <c r="N140" s="1"/>
      <c r="O140" s="1"/>
      <c r="P140" s="1"/>
      <c r="Q140" s="1"/>
      <c r="R140" s="1">
        <v>66783</v>
      </c>
      <c r="S140" t="s">
        <v>12</v>
      </c>
    </row>
    <row r="141" spans="1:19" x14ac:dyDescent="0.55000000000000004">
      <c r="A141" t="s">
        <v>13</v>
      </c>
      <c r="B141">
        <v>1956</v>
      </c>
      <c r="C141">
        <v>6994</v>
      </c>
      <c r="D141" s="2">
        <v>2</v>
      </c>
      <c r="E141" s="3">
        <v>6996</v>
      </c>
      <c r="F141" t="s">
        <v>12</v>
      </c>
      <c r="G141" t="s">
        <v>12</v>
      </c>
      <c r="H141" s="1"/>
      <c r="I141" s="1">
        <v>26724</v>
      </c>
      <c r="J141" s="1">
        <v>461</v>
      </c>
      <c r="K141" s="1"/>
      <c r="L141" s="1"/>
      <c r="M141" s="1"/>
      <c r="N141" s="1"/>
      <c r="O141" s="1"/>
      <c r="P141" s="1"/>
      <c r="Q141" s="1"/>
      <c r="R141" s="1">
        <v>34181</v>
      </c>
      <c r="S141" t="s">
        <v>12</v>
      </c>
    </row>
    <row r="142" spans="1:19" x14ac:dyDescent="0.55000000000000004">
      <c r="A142" t="s">
        <v>13</v>
      </c>
      <c r="B142">
        <v>1955</v>
      </c>
      <c r="C142">
        <v>9350</v>
      </c>
      <c r="D142" s="2">
        <v>5</v>
      </c>
      <c r="E142" s="3">
        <v>9355</v>
      </c>
      <c r="F142" t="s">
        <v>12</v>
      </c>
      <c r="G142" t="s">
        <v>12</v>
      </c>
      <c r="H142" s="1"/>
      <c r="I142" s="1">
        <v>84439</v>
      </c>
      <c r="J142" s="1">
        <v>2183</v>
      </c>
      <c r="K142" s="1"/>
      <c r="L142" s="1"/>
      <c r="M142" s="1"/>
      <c r="N142" s="1"/>
      <c r="O142" s="1"/>
      <c r="P142" s="1"/>
      <c r="Q142" s="1"/>
      <c r="R142" s="1">
        <v>95977</v>
      </c>
      <c r="S142" t="s">
        <v>11</v>
      </c>
    </row>
    <row r="143" spans="1:19" x14ac:dyDescent="0.55000000000000004">
      <c r="A143" t="s">
        <v>13</v>
      </c>
      <c r="B143">
        <v>1954</v>
      </c>
      <c r="C143">
        <v>10515</v>
      </c>
      <c r="D143" s="2">
        <v>259</v>
      </c>
      <c r="E143" s="3">
        <v>10774</v>
      </c>
      <c r="F143" t="s">
        <v>12</v>
      </c>
      <c r="G143" t="s">
        <v>12</v>
      </c>
      <c r="H143" s="1"/>
      <c r="I143" s="1">
        <v>48910</v>
      </c>
      <c r="J143" s="1">
        <v>1305</v>
      </c>
      <c r="K143" s="1"/>
      <c r="L143" s="1"/>
      <c r="M143" s="1"/>
      <c r="N143" s="1"/>
      <c r="O143" s="1"/>
      <c r="P143" s="1"/>
      <c r="Q143" s="1"/>
      <c r="R143" s="1">
        <v>60989</v>
      </c>
      <c r="S143" t="s">
        <v>12</v>
      </c>
    </row>
    <row r="144" spans="1:19" x14ac:dyDescent="0.55000000000000004">
      <c r="A144" t="s">
        <v>13</v>
      </c>
      <c r="B144">
        <v>1953</v>
      </c>
      <c r="C144">
        <v>13293</v>
      </c>
      <c r="D144" s="2">
        <v>240</v>
      </c>
      <c r="E144" s="3">
        <v>13533</v>
      </c>
      <c r="F144" t="s">
        <v>12</v>
      </c>
      <c r="G144" t="s">
        <v>12</v>
      </c>
      <c r="H144" s="1"/>
      <c r="I144" s="1">
        <v>44858</v>
      </c>
      <c r="J144" s="1">
        <v>1002</v>
      </c>
      <c r="K144" s="1"/>
      <c r="L144" s="1"/>
      <c r="M144" s="1"/>
      <c r="N144" s="1"/>
      <c r="O144" s="1"/>
      <c r="P144" s="1"/>
      <c r="Q144" s="1"/>
      <c r="R144" s="1">
        <v>59393</v>
      </c>
      <c r="S144" t="s">
        <v>12</v>
      </c>
    </row>
    <row r="145" spans="1:19" x14ac:dyDescent="0.55000000000000004">
      <c r="A145" t="s">
        <v>13</v>
      </c>
      <c r="B145">
        <v>1952</v>
      </c>
      <c r="C145">
        <v>18784</v>
      </c>
      <c r="D145" s="2">
        <v>27</v>
      </c>
      <c r="E145" s="3">
        <v>18811</v>
      </c>
      <c r="F145" t="s">
        <v>12</v>
      </c>
      <c r="G145" t="s">
        <v>12</v>
      </c>
      <c r="H145" s="1"/>
      <c r="I145" s="1">
        <v>55661.8109957056</v>
      </c>
      <c r="J145" s="1">
        <v>2195.2115749525601</v>
      </c>
      <c r="K145" s="1"/>
      <c r="L145" s="1"/>
      <c r="M145" s="1"/>
      <c r="N145" s="1"/>
      <c r="O145" s="1"/>
      <c r="P145" s="1"/>
      <c r="Q145" s="1"/>
      <c r="R145" s="1">
        <v>76668</v>
      </c>
      <c r="S145" t="s">
        <v>12</v>
      </c>
    </row>
    <row r="146" spans="1:19" x14ac:dyDescent="0.55000000000000004">
      <c r="A146" t="s">
        <v>14</v>
      </c>
      <c r="B146">
        <v>2023</v>
      </c>
      <c r="C146">
        <v>344615</v>
      </c>
      <c r="D146" s="2">
        <v>902</v>
      </c>
      <c r="E146" s="3">
        <v>345517</v>
      </c>
      <c r="F146" t="s">
        <v>12</v>
      </c>
      <c r="G146" t="s">
        <v>12</v>
      </c>
      <c r="H146" s="1">
        <v>3544.2734438350799</v>
      </c>
      <c r="I146" s="1">
        <v>6613.6972832056199</v>
      </c>
      <c r="J146" s="1">
        <v>16086.9522319069</v>
      </c>
      <c r="K146" s="1"/>
      <c r="L146" s="1">
        <v>86955</v>
      </c>
      <c r="M146" s="1"/>
      <c r="N146" s="1"/>
      <c r="O146" s="1">
        <v>226</v>
      </c>
      <c r="P146" s="1"/>
      <c r="Q146" s="1">
        <v>-213750.71004573701</v>
      </c>
      <c r="R146" s="1">
        <v>458943</v>
      </c>
      <c r="S146" t="s">
        <v>11</v>
      </c>
    </row>
    <row r="147" spans="1:19" x14ac:dyDescent="0.55000000000000004">
      <c r="A147" t="s">
        <v>14</v>
      </c>
      <c r="B147">
        <v>2022</v>
      </c>
      <c r="C147">
        <v>881253</v>
      </c>
      <c r="D147" s="2">
        <v>62</v>
      </c>
      <c r="E147" s="3">
        <v>881315</v>
      </c>
      <c r="F147" t="s">
        <v>12</v>
      </c>
      <c r="G147" t="s">
        <v>12</v>
      </c>
      <c r="H147" s="1">
        <v>32406.385495948802</v>
      </c>
      <c r="I147" s="1">
        <v>277118.17526117997</v>
      </c>
      <c r="J147" s="1">
        <v>122646.197919517</v>
      </c>
      <c r="K147" s="1"/>
      <c r="L147" s="1">
        <v>293751</v>
      </c>
      <c r="M147" s="1"/>
      <c r="N147" s="1"/>
      <c r="O147" s="1">
        <v>21</v>
      </c>
      <c r="P147" s="1"/>
      <c r="Q147" s="1">
        <v>-278572.98380296398</v>
      </c>
      <c r="R147" s="1">
        <v>1607258</v>
      </c>
      <c r="S147" t="s">
        <v>11</v>
      </c>
    </row>
    <row r="148" spans="1:19" x14ac:dyDescent="0.55000000000000004">
      <c r="A148" t="s">
        <v>14</v>
      </c>
      <c r="B148">
        <v>2021</v>
      </c>
      <c r="C148">
        <v>900055</v>
      </c>
      <c r="D148" s="2">
        <v>17806</v>
      </c>
      <c r="E148" s="3">
        <v>917861</v>
      </c>
      <c r="F148" t="s">
        <v>12</v>
      </c>
      <c r="G148" t="s">
        <v>12</v>
      </c>
      <c r="H148" s="1">
        <v>49686.345267609096</v>
      </c>
      <c r="I148" s="1">
        <v>6875.2323354229002</v>
      </c>
      <c r="J148" s="1">
        <v>63148.979804300703</v>
      </c>
      <c r="K148" s="1"/>
      <c r="L148" s="1">
        <v>100006</v>
      </c>
      <c r="M148" s="1"/>
      <c r="N148" s="1"/>
      <c r="O148" s="1">
        <v>1978</v>
      </c>
      <c r="P148" s="1"/>
      <c r="Q148" s="1">
        <v>-106736.652443996</v>
      </c>
      <c r="R148" s="1">
        <v>1139556</v>
      </c>
      <c r="S148" t="s">
        <v>11</v>
      </c>
    </row>
    <row r="149" spans="1:19" x14ac:dyDescent="0.55000000000000004">
      <c r="A149" t="s">
        <v>14</v>
      </c>
      <c r="B149">
        <v>2020</v>
      </c>
      <c r="C149">
        <v>54513</v>
      </c>
      <c r="D149" s="2">
        <v>977</v>
      </c>
      <c r="E149" s="3">
        <v>55490</v>
      </c>
      <c r="F149" t="s">
        <v>12</v>
      </c>
      <c r="G149" t="s">
        <v>12</v>
      </c>
      <c r="H149" s="1">
        <v>4860.0662851594998</v>
      </c>
      <c r="I149" s="1">
        <v>703.84142847424005</v>
      </c>
      <c r="J149" s="1">
        <v>6664.9066325711601</v>
      </c>
      <c r="K149" s="1"/>
      <c r="L149" s="1">
        <v>9620</v>
      </c>
      <c r="M149" s="1"/>
      <c r="N149" s="1"/>
      <c r="O149" s="1">
        <v>172</v>
      </c>
      <c r="P149" s="1"/>
      <c r="Q149" s="1">
        <v>-5852.5900904910804</v>
      </c>
      <c r="R149" s="1">
        <v>77511</v>
      </c>
      <c r="S149" t="s">
        <v>11</v>
      </c>
    </row>
    <row r="150" spans="1:19" x14ac:dyDescent="0.55000000000000004">
      <c r="A150" t="s">
        <v>14</v>
      </c>
      <c r="B150">
        <v>2019</v>
      </c>
      <c r="C150">
        <v>169653</v>
      </c>
      <c r="D150" s="2">
        <v>224</v>
      </c>
      <c r="E150" s="3">
        <v>169877</v>
      </c>
      <c r="F150" t="s">
        <v>12</v>
      </c>
      <c r="G150" t="s">
        <v>12</v>
      </c>
      <c r="H150" s="1">
        <v>44806.0313461279</v>
      </c>
      <c r="I150" s="1">
        <v>3081.0649775231</v>
      </c>
      <c r="J150" s="1">
        <v>5511.0142682402502</v>
      </c>
      <c r="K150" s="1"/>
      <c r="L150" s="1">
        <v>29939</v>
      </c>
      <c r="M150" s="1"/>
      <c r="N150" s="1"/>
      <c r="O150" s="1">
        <v>40</v>
      </c>
      <c r="P150" s="1"/>
      <c r="Q150" s="1">
        <v>-27413.912011836401</v>
      </c>
      <c r="R150" s="1">
        <v>253254</v>
      </c>
      <c r="S150" t="s">
        <v>11</v>
      </c>
    </row>
    <row r="151" spans="1:19" x14ac:dyDescent="0.55000000000000004">
      <c r="A151" t="s">
        <v>14</v>
      </c>
      <c r="B151">
        <v>2018</v>
      </c>
      <c r="C151">
        <v>618365</v>
      </c>
      <c r="D151" s="2">
        <v>1258</v>
      </c>
      <c r="E151" s="3">
        <v>619623</v>
      </c>
      <c r="F151" t="s">
        <v>12</v>
      </c>
      <c r="G151" t="s">
        <v>12</v>
      </c>
      <c r="H151" s="1">
        <v>6896.5151587821001</v>
      </c>
      <c r="I151" s="1">
        <v>742901.86992555798</v>
      </c>
      <c r="J151" s="1">
        <v>129073.546547474</v>
      </c>
      <c r="K151" s="1"/>
      <c r="L151" s="1">
        <v>109140</v>
      </c>
      <c r="M151" s="1">
        <v>93</v>
      </c>
      <c r="N151" s="1">
        <v>824</v>
      </c>
      <c r="O151" s="1">
        <v>222</v>
      </c>
      <c r="P151" s="1"/>
      <c r="Q151" s="1">
        <v>86522.454839896498</v>
      </c>
      <c r="R151" s="1">
        <v>1608774</v>
      </c>
      <c r="S151" t="s">
        <v>11</v>
      </c>
    </row>
    <row r="152" spans="1:19" x14ac:dyDescent="0.55000000000000004">
      <c r="A152" t="s">
        <v>14</v>
      </c>
      <c r="B152">
        <v>2017</v>
      </c>
      <c r="C152">
        <v>369573</v>
      </c>
      <c r="D152" s="2">
        <v>2639</v>
      </c>
      <c r="E152" s="3">
        <v>372212</v>
      </c>
      <c r="F152" t="s">
        <v>12</v>
      </c>
      <c r="G152" t="s">
        <v>12</v>
      </c>
      <c r="H152" s="1">
        <v>7942.2414770537698</v>
      </c>
      <c r="I152" s="1">
        <v>8035.4070790211299</v>
      </c>
      <c r="J152" s="1">
        <v>33698.1398897443</v>
      </c>
      <c r="K152" s="1"/>
      <c r="L152" s="1">
        <v>41064</v>
      </c>
      <c r="M152" s="1"/>
      <c r="N152" s="1">
        <v>13</v>
      </c>
      <c r="O152" s="1">
        <v>293</v>
      </c>
      <c r="P152" s="1"/>
      <c r="Q152" s="1">
        <v>-96381.277830052306</v>
      </c>
      <c r="R152" s="1">
        <v>463258</v>
      </c>
      <c r="S152" t="s">
        <v>11</v>
      </c>
    </row>
    <row r="153" spans="1:19" x14ac:dyDescent="0.55000000000000004">
      <c r="A153" t="s">
        <v>14</v>
      </c>
      <c r="B153">
        <v>2016</v>
      </c>
      <c r="C153">
        <v>154918</v>
      </c>
      <c r="D153" s="2">
        <v>769</v>
      </c>
      <c r="E153" s="3">
        <v>155687</v>
      </c>
      <c r="F153" t="s">
        <v>12</v>
      </c>
      <c r="G153" t="s">
        <v>12</v>
      </c>
      <c r="H153" s="1">
        <v>21207.703136887099</v>
      </c>
      <c r="I153" s="1">
        <v>30518.0425160384</v>
      </c>
      <c r="J153" s="1">
        <v>51970.675607459503</v>
      </c>
      <c r="K153" s="1"/>
      <c r="L153" s="1">
        <v>27349</v>
      </c>
      <c r="M153" s="1">
        <v>61</v>
      </c>
      <c r="N153" s="1">
        <v>696</v>
      </c>
      <c r="O153" s="1">
        <v>136</v>
      </c>
      <c r="P153" s="1"/>
      <c r="Q153" s="1">
        <v>-63376.510233971603</v>
      </c>
      <c r="R153" s="1">
        <v>287625</v>
      </c>
      <c r="S153" t="s">
        <v>11</v>
      </c>
    </row>
    <row r="154" spans="1:19" x14ac:dyDescent="0.55000000000000004">
      <c r="A154" t="s">
        <v>14</v>
      </c>
      <c r="B154">
        <v>2015</v>
      </c>
      <c r="C154">
        <v>660600</v>
      </c>
      <c r="D154" s="2">
        <v>2107</v>
      </c>
      <c r="E154" s="3">
        <v>662707</v>
      </c>
      <c r="F154" t="s">
        <v>12</v>
      </c>
      <c r="G154" t="s">
        <v>12</v>
      </c>
      <c r="H154" s="1">
        <v>53138.454523302098</v>
      </c>
      <c r="I154" s="1">
        <v>79178.329888353896</v>
      </c>
      <c r="J154" s="1">
        <v>74758.8029785689</v>
      </c>
      <c r="K154" s="1">
        <v>12387</v>
      </c>
      <c r="L154" s="1">
        <v>116576</v>
      </c>
      <c r="M154" s="1"/>
      <c r="N154" s="1">
        <v>2551</v>
      </c>
      <c r="O154" s="1">
        <v>372</v>
      </c>
      <c r="P154" s="1"/>
      <c r="Q154" s="1">
        <v>-175142.23726087599</v>
      </c>
      <c r="R154" s="1">
        <v>1001669</v>
      </c>
      <c r="S154" t="s">
        <v>11</v>
      </c>
    </row>
    <row r="155" spans="1:19" x14ac:dyDescent="0.55000000000000004">
      <c r="A155" t="s">
        <v>14</v>
      </c>
      <c r="B155">
        <v>2014</v>
      </c>
      <c r="C155">
        <v>1030506</v>
      </c>
      <c r="D155" s="2">
        <v>3744</v>
      </c>
      <c r="E155" s="3">
        <v>1034250</v>
      </c>
      <c r="F155" t="s">
        <v>12</v>
      </c>
      <c r="G155" t="s">
        <v>12</v>
      </c>
      <c r="H155" s="1">
        <v>31531.392481030602</v>
      </c>
      <c r="I155" s="1">
        <v>1327667.7858623499</v>
      </c>
      <c r="J155" s="1">
        <v>217334.826869326</v>
      </c>
      <c r="K155" s="1"/>
      <c r="L155" s="1">
        <v>257626</v>
      </c>
      <c r="M155" s="1"/>
      <c r="N155" s="1"/>
      <c r="O155" s="1">
        <v>936</v>
      </c>
      <c r="P155" s="1"/>
      <c r="Q155" s="1">
        <v>-4200.8397507568197</v>
      </c>
      <c r="R155" s="1">
        <v>2869346</v>
      </c>
      <c r="S155" t="s">
        <v>11</v>
      </c>
    </row>
    <row r="156" spans="1:19" x14ac:dyDescent="0.55000000000000004">
      <c r="A156" t="s">
        <v>14</v>
      </c>
      <c r="B156">
        <v>2013</v>
      </c>
      <c r="C156">
        <v>1197721</v>
      </c>
      <c r="D156" s="2">
        <v>37501</v>
      </c>
      <c r="E156" s="3">
        <v>1235222</v>
      </c>
      <c r="F156" t="s">
        <v>12</v>
      </c>
      <c r="G156" t="s">
        <v>12</v>
      </c>
      <c r="H156" s="1">
        <v>22860.013501702098</v>
      </c>
      <c r="I156" s="1">
        <v>134924.56696709499</v>
      </c>
      <c r="J156" s="1">
        <v>136706.584173084</v>
      </c>
      <c r="K156" s="1"/>
      <c r="L156" s="1">
        <v>211365</v>
      </c>
      <c r="M156" s="1"/>
      <c r="N156" s="1"/>
      <c r="O156" s="1">
        <v>6618</v>
      </c>
      <c r="P156" s="1"/>
      <c r="Q156" s="1">
        <v>100624.251934302</v>
      </c>
      <c r="R156" s="1">
        <v>1747696</v>
      </c>
      <c r="S156" t="s">
        <v>11</v>
      </c>
    </row>
    <row r="157" spans="1:19" x14ac:dyDescent="0.55000000000000004">
      <c r="A157" t="s">
        <v>14</v>
      </c>
      <c r="B157">
        <v>2012</v>
      </c>
      <c r="C157">
        <v>245525</v>
      </c>
      <c r="D157" s="2">
        <v>1080</v>
      </c>
      <c r="E157" s="3">
        <v>246605</v>
      </c>
      <c r="F157" t="s">
        <v>12</v>
      </c>
      <c r="G157" t="s">
        <v>12</v>
      </c>
      <c r="H157" s="1">
        <v>4921.2646086142904</v>
      </c>
      <c r="I157" s="1">
        <v>107061.12031345</v>
      </c>
      <c r="J157" s="1">
        <v>144867.12845978799</v>
      </c>
      <c r="K157" s="1">
        <v>4179</v>
      </c>
      <c r="L157" s="1">
        <v>43343</v>
      </c>
      <c r="M157" s="1">
        <v>90</v>
      </c>
      <c r="N157" s="1"/>
      <c r="O157" s="1">
        <v>191</v>
      </c>
      <c r="P157" s="1"/>
      <c r="Q157" s="1">
        <v>-10527.2204745051</v>
      </c>
      <c r="R157" s="1">
        <v>551258</v>
      </c>
      <c r="S157" t="s">
        <v>11</v>
      </c>
    </row>
    <row r="158" spans="1:19" x14ac:dyDescent="0.55000000000000004">
      <c r="A158" t="s">
        <v>14</v>
      </c>
      <c r="B158">
        <v>2011</v>
      </c>
      <c r="C158">
        <v>916643</v>
      </c>
      <c r="D158" s="2">
        <v>2611</v>
      </c>
      <c r="E158" s="3">
        <v>919254</v>
      </c>
      <c r="F158" t="s">
        <v>12</v>
      </c>
      <c r="G158" t="s">
        <v>12</v>
      </c>
      <c r="H158" s="1">
        <v>8190.8244546858796</v>
      </c>
      <c r="I158" s="1">
        <v>410347.835170265</v>
      </c>
      <c r="J158" s="1">
        <v>252533.34574305499</v>
      </c>
      <c r="K158" s="1"/>
      <c r="L158" s="1">
        <v>101849</v>
      </c>
      <c r="M158" s="1"/>
      <c r="N158" s="1"/>
      <c r="O158" s="1">
        <v>290</v>
      </c>
      <c r="P158" s="1"/>
      <c r="Q158" s="1">
        <v>355006.457877382</v>
      </c>
      <c r="R158" s="1">
        <v>1692465</v>
      </c>
      <c r="S158" t="s">
        <v>11</v>
      </c>
    </row>
    <row r="159" spans="1:19" x14ac:dyDescent="0.55000000000000004">
      <c r="A159" t="s">
        <v>14</v>
      </c>
      <c r="B159">
        <v>2010</v>
      </c>
      <c r="C159">
        <v>2459946</v>
      </c>
      <c r="D159" s="2">
        <v>3029</v>
      </c>
      <c r="E159" s="3">
        <v>2462975</v>
      </c>
      <c r="F159" t="s">
        <v>12</v>
      </c>
      <c r="G159" t="s">
        <v>12</v>
      </c>
      <c r="H159" s="1">
        <v>0</v>
      </c>
      <c r="I159" s="1">
        <v>1491500.3880187101</v>
      </c>
      <c r="J159" s="1"/>
      <c r="K159" s="1"/>
      <c r="L159" s="1">
        <v>273327</v>
      </c>
      <c r="M159" s="1"/>
      <c r="N159" s="1">
        <v>1798</v>
      </c>
      <c r="O159" s="1">
        <v>337</v>
      </c>
      <c r="P159" s="1"/>
      <c r="Q159" s="1">
        <v>-4280.6908854486801</v>
      </c>
      <c r="R159" s="1">
        <v>4229937</v>
      </c>
      <c r="S159" t="s">
        <v>11</v>
      </c>
    </row>
    <row r="160" spans="1:19" x14ac:dyDescent="0.55000000000000004">
      <c r="A160" t="s">
        <v>14</v>
      </c>
      <c r="B160">
        <v>2009</v>
      </c>
      <c r="C160">
        <v>213379</v>
      </c>
      <c r="D160" s="2">
        <v>4399</v>
      </c>
      <c r="E160" s="3">
        <v>217778</v>
      </c>
      <c r="F160" t="s">
        <v>12</v>
      </c>
      <c r="G160" t="s">
        <v>12</v>
      </c>
      <c r="H160" s="1">
        <v>1716.6830849427099</v>
      </c>
      <c r="I160" s="1">
        <v>10654.6155908984</v>
      </c>
      <c r="J160" s="1">
        <v>24093.466696955998</v>
      </c>
      <c r="K160" s="1"/>
      <c r="L160" s="1">
        <v>53345</v>
      </c>
      <c r="M160" s="1"/>
      <c r="N160" s="1">
        <v>178</v>
      </c>
      <c r="O160" s="1">
        <v>1100</v>
      </c>
      <c r="P160" s="1"/>
      <c r="Q160" s="1">
        <v>-8679.3741324679704</v>
      </c>
      <c r="R160" s="1">
        <v>308866</v>
      </c>
      <c r="S160" t="s">
        <v>11</v>
      </c>
    </row>
    <row r="161" spans="1:19" x14ac:dyDescent="0.55000000000000004">
      <c r="A161" t="s">
        <v>14</v>
      </c>
      <c r="B161">
        <v>2008</v>
      </c>
      <c r="C161">
        <v>249863</v>
      </c>
      <c r="D161" s="2">
        <v>720</v>
      </c>
      <c r="E161" s="3">
        <v>250583</v>
      </c>
      <c r="F161" t="s">
        <v>12</v>
      </c>
      <c r="G161" t="s">
        <v>12</v>
      </c>
      <c r="H161" s="1">
        <v>387.17038446707602</v>
      </c>
      <c r="I161" s="1">
        <v>79025.244627924898</v>
      </c>
      <c r="J161" s="1">
        <v>113742.01691462701</v>
      </c>
      <c r="K161" s="1"/>
      <c r="L161" s="1"/>
      <c r="M161" s="1"/>
      <c r="N161" s="1"/>
      <c r="O161" s="1"/>
      <c r="P161" s="1"/>
      <c r="Q161" s="1">
        <v>-24931.305462473301</v>
      </c>
      <c r="R161" s="1">
        <v>468669</v>
      </c>
      <c r="S161" t="s">
        <v>9</v>
      </c>
    </row>
    <row r="162" spans="1:19" x14ac:dyDescent="0.55000000000000004">
      <c r="A162" t="s">
        <v>14</v>
      </c>
      <c r="B162">
        <v>2007</v>
      </c>
      <c r="C162">
        <v>305853</v>
      </c>
      <c r="D162" s="2">
        <v>854</v>
      </c>
      <c r="E162" s="3">
        <v>306707</v>
      </c>
      <c r="F162" t="s">
        <v>12</v>
      </c>
      <c r="G162" t="s">
        <v>12</v>
      </c>
      <c r="H162" s="1">
        <v>44084.479381312201</v>
      </c>
      <c r="I162" s="1">
        <v>32743.131428040899</v>
      </c>
      <c r="J162" s="1">
        <v>66090.347397806006</v>
      </c>
      <c r="K162" s="1"/>
      <c r="L162" s="1"/>
      <c r="M162" s="1"/>
      <c r="N162" s="1"/>
      <c r="O162" s="1"/>
      <c r="P162" s="1"/>
      <c r="Q162" s="1">
        <v>-16745.873733717901</v>
      </c>
      <c r="R162" s="1">
        <v>466371</v>
      </c>
      <c r="S162" t="s">
        <v>9</v>
      </c>
    </row>
    <row r="163" spans="1:19" x14ac:dyDescent="0.55000000000000004">
      <c r="A163" t="s">
        <v>14</v>
      </c>
      <c r="B163">
        <v>2006</v>
      </c>
      <c r="C163">
        <v>468947</v>
      </c>
      <c r="D163" s="2">
        <v>557</v>
      </c>
      <c r="E163" s="3">
        <v>469504</v>
      </c>
      <c r="F163" t="s">
        <v>12</v>
      </c>
      <c r="G163" t="s">
        <v>12</v>
      </c>
      <c r="H163" s="1">
        <v>1426.2658251038399</v>
      </c>
      <c r="I163" s="1">
        <v>525950.45837089699</v>
      </c>
      <c r="J163" s="1">
        <v>131350.55673185401</v>
      </c>
      <c r="K163" s="1"/>
      <c r="L163" s="1"/>
      <c r="M163" s="1"/>
      <c r="N163" s="1"/>
      <c r="O163" s="1"/>
      <c r="P163" s="1"/>
      <c r="Q163" s="1">
        <v>-103197.945656008</v>
      </c>
      <c r="R163" s="1">
        <v>1231429</v>
      </c>
      <c r="S163" t="s">
        <v>9</v>
      </c>
    </row>
    <row r="164" spans="1:19" x14ac:dyDescent="0.55000000000000004">
      <c r="A164" t="s">
        <v>14</v>
      </c>
      <c r="B164">
        <v>2005</v>
      </c>
      <c r="C164">
        <v>535967</v>
      </c>
      <c r="D164" s="2">
        <v>4514</v>
      </c>
      <c r="E164" s="3">
        <v>540481</v>
      </c>
      <c r="F164" t="s">
        <v>12</v>
      </c>
      <c r="G164" t="s">
        <v>12</v>
      </c>
      <c r="H164" s="1">
        <v>50845.718655771103</v>
      </c>
      <c r="I164" s="1">
        <v>159063.34712698299</v>
      </c>
      <c r="J164" s="1">
        <v>119898.10856348999</v>
      </c>
      <c r="K164" s="1"/>
      <c r="L164" s="1"/>
      <c r="M164" s="1"/>
      <c r="N164" s="1"/>
      <c r="O164" s="1"/>
      <c r="P164" s="1"/>
      <c r="Q164" s="1">
        <v>-177746.46342076501</v>
      </c>
      <c r="R164" s="1">
        <v>1048035</v>
      </c>
      <c r="S164" t="s">
        <v>9</v>
      </c>
    </row>
    <row r="165" spans="1:19" x14ac:dyDescent="0.55000000000000004">
      <c r="A165" t="s">
        <v>14</v>
      </c>
      <c r="B165">
        <v>2004</v>
      </c>
      <c r="C165">
        <v>91909</v>
      </c>
      <c r="D165" s="2">
        <v>234</v>
      </c>
      <c r="E165" s="3">
        <v>92143</v>
      </c>
      <c r="F165" t="s">
        <v>12</v>
      </c>
      <c r="G165" t="s">
        <v>12</v>
      </c>
      <c r="H165" s="1">
        <v>11943.786282766099</v>
      </c>
      <c r="I165" s="1">
        <v>288728.67295604403</v>
      </c>
      <c r="J165" s="1">
        <v>77990.558928170198</v>
      </c>
      <c r="K165" s="1"/>
      <c r="L165" s="1"/>
      <c r="M165" s="1"/>
      <c r="N165" s="1"/>
      <c r="O165" s="1"/>
      <c r="P165" s="1"/>
      <c r="Q165" s="1">
        <v>-128862.23235720499</v>
      </c>
      <c r="R165" s="1">
        <v>599668</v>
      </c>
      <c r="S165" t="s">
        <v>9</v>
      </c>
    </row>
    <row r="166" spans="1:19" x14ac:dyDescent="0.55000000000000004">
      <c r="A166" t="s">
        <v>14</v>
      </c>
      <c r="B166">
        <v>2003</v>
      </c>
      <c r="C166">
        <v>608321</v>
      </c>
      <c r="D166" s="2">
        <v>3918</v>
      </c>
      <c r="E166" s="3">
        <v>612239</v>
      </c>
      <c r="F166" t="s">
        <v>12</v>
      </c>
      <c r="G166" t="s">
        <v>12</v>
      </c>
      <c r="H166" s="1">
        <v>21671.712222235899</v>
      </c>
      <c r="I166" s="1">
        <v>675394.24771828903</v>
      </c>
      <c r="J166" s="1">
        <v>208746.98642443999</v>
      </c>
      <c r="K166" s="1"/>
      <c r="L166" s="1"/>
      <c r="M166" s="1"/>
      <c r="N166" s="1"/>
      <c r="O166" s="1"/>
      <c r="P166" s="1"/>
      <c r="Q166" s="1">
        <v>-111047.96439642301</v>
      </c>
      <c r="R166" s="1">
        <v>1629100</v>
      </c>
      <c r="S166" t="s">
        <v>9</v>
      </c>
    </row>
    <row r="167" spans="1:19" x14ac:dyDescent="0.55000000000000004">
      <c r="A167" t="s">
        <v>14</v>
      </c>
      <c r="B167">
        <v>2002</v>
      </c>
      <c r="C167">
        <v>382753</v>
      </c>
      <c r="D167" s="2">
        <v>2289</v>
      </c>
      <c r="E167" s="3">
        <v>385042</v>
      </c>
      <c r="F167" t="s">
        <v>12</v>
      </c>
      <c r="G167" t="s">
        <v>12</v>
      </c>
      <c r="H167" s="1">
        <v>45.223905053636798</v>
      </c>
      <c r="I167" s="1">
        <v>192737.19090833899</v>
      </c>
      <c r="J167" s="1">
        <v>59153.805463320103</v>
      </c>
      <c r="K167" s="1"/>
      <c r="L167" s="1"/>
      <c r="M167" s="1"/>
      <c r="N167" s="1"/>
      <c r="O167" s="1"/>
      <c r="P167" s="1"/>
      <c r="Q167" s="1">
        <v>1949.00684737711</v>
      </c>
      <c r="R167" s="1">
        <v>636978</v>
      </c>
      <c r="S167" t="s">
        <v>9</v>
      </c>
    </row>
    <row r="168" spans="1:19" x14ac:dyDescent="0.55000000000000004">
      <c r="A168" t="s">
        <v>14</v>
      </c>
      <c r="B168">
        <v>2001</v>
      </c>
      <c r="C168">
        <v>668671</v>
      </c>
      <c r="D168" s="2">
        <v>1249</v>
      </c>
      <c r="E168" s="3">
        <v>669920</v>
      </c>
      <c r="F168" t="s">
        <v>12</v>
      </c>
      <c r="G168" t="s">
        <v>12</v>
      </c>
      <c r="H168" s="1">
        <v>4698.1217632658099</v>
      </c>
      <c r="I168" s="1">
        <v>130849.01123033999</v>
      </c>
      <c r="J168" s="1">
        <v>63444.368692431999</v>
      </c>
      <c r="K168" s="1"/>
      <c r="L168" s="1"/>
      <c r="M168" s="1"/>
      <c r="N168" s="1"/>
      <c r="O168" s="1"/>
      <c r="P168" s="1"/>
      <c r="Q168" s="1">
        <v>170242.13187826899</v>
      </c>
      <c r="R168" s="1">
        <v>868912</v>
      </c>
      <c r="S168" t="s">
        <v>9</v>
      </c>
    </row>
    <row r="169" spans="1:19" x14ac:dyDescent="0.55000000000000004">
      <c r="A169" t="s">
        <v>14</v>
      </c>
      <c r="B169">
        <v>2000</v>
      </c>
      <c r="C169">
        <v>758941</v>
      </c>
      <c r="D169" s="2">
        <v>222</v>
      </c>
      <c r="E169" s="3">
        <v>759163</v>
      </c>
      <c r="F169" t="s">
        <v>12</v>
      </c>
      <c r="G169" t="s">
        <v>12</v>
      </c>
      <c r="H169" s="1">
        <v>707.43907383916701</v>
      </c>
      <c r="I169" s="1">
        <v>540339.50947784202</v>
      </c>
      <c r="J169" s="1">
        <v>155625.18781366001</v>
      </c>
      <c r="K169" s="1"/>
      <c r="L169" s="1"/>
      <c r="M169" s="1"/>
      <c r="N169" s="1"/>
      <c r="O169" s="1"/>
      <c r="P169" s="1"/>
      <c r="Q169" s="1">
        <v>296766.29916957801</v>
      </c>
      <c r="R169" s="1">
        <v>1455835</v>
      </c>
      <c r="S169" t="s">
        <v>9</v>
      </c>
    </row>
    <row r="170" spans="1:19" x14ac:dyDescent="0.55000000000000004">
      <c r="A170" t="s">
        <v>14</v>
      </c>
      <c r="B170">
        <v>1999</v>
      </c>
      <c r="C170">
        <v>891567</v>
      </c>
      <c r="D170" s="2">
        <v>355</v>
      </c>
      <c r="E170" s="3">
        <v>891922</v>
      </c>
      <c r="F170" t="s">
        <v>12</v>
      </c>
      <c r="G170" t="s">
        <v>12</v>
      </c>
      <c r="H170" s="1">
        <v>708.67708602148105</v>
      </c>
      <c r="I170" s="1">
        <v>91620.724476501797</v>
      </c>
      <c r="J170" s="1">
        <v>87671.565085270398</v>
      </c>
      <c r="K170" s="1"/>
      <c r="L170" s="1"/>
      <c r="M170" s="1"/>
      <c r="N170" s="1"/>
      <c r="O170" s="1"/>
      <c r="P170" s="1"/>
      <c r="Q170" s="1">
        <v>32120.574523752301</v>
      </c>
      <c r="R170" s="1">
        <v>1071923</v>
      </c>
      <c r="S170" t="s">
        <v>9</v>
      </c>
    </row>
    <row r="171" spans="1:19" x14ac:dyDescent="0.55000000000000004">
      <c r="A171" t="s">
        <v>14</v>
      </c>
      <c r="B171">
        <v>1998</v>
      </c>
      <c r="C171">
        <v>879010</v>
      </c>
      <c r="D171" s="2">
        <v>1934</v>
      </c>
      <c r="E171" s="3">
        <v>880944</v>
      </c>
      <c r="F171" t="s">
        <v>12</v>
      </c>
      <c r="G171" t="s">
        <v>12</v>
      </c>
      <c r="H171" s="1">
        <v>32131.430865947699</v>
      </c>
      <c r="I171" s="1">
        <v>479336.82479772798</v>
      </c>
      <c r="J171" s="1">
        <v>161095.401837285</v>
      </c>
      <c r="K171" s="1"/>
      <c r="L171" s="1"/>
      <c r="M171" s="1"/>
      <c r="N171" s="1"/>
      <c r="O171" s="1"/>
      <c r="P171" s="1"/>
      <c r="Q171" s="1">
        <v>-289824.92197160702</v>
      </c>
      <c r="R171" s="1">
        <v>1843333</v>
      </c>
      <c r="S171" t="s">
        <v>9</v>
      </c>
    </row>
    <row r="172" spans="1:19" x14ac:dyDescent="0.55000000000000004">
      <c r="A172" t="s">
        <v>14</v>
      </c>
      <c r="B172">
        <v>1997</v>
      </c>
      <c r="C172">
        <v>985827</v>
      </c>
      <c r="D172" s="2">
        <v>7427</v>
      </c>
      <c r="E172" s="3">
        <v>993254</v>
      </c>
      <c r="F172" t="s">
        <v>12</v>
      </c>
      <c r="G172" t="s">
        <v>12</v>
      </c>
      <c r="H172" s="1">
        <v>52282.719860271303</v>
      </c>
      <c r="I172" s="1">
        <v>2397147.11797775</v>
      </c>
      <c r="J172" s="1">
        <v>98786.098488462696</v>
      </c>
      <c r="K172" s="1"/>
      <c r="L172" s="1"/>
      <c r="M172" s="1"/>
      <c r="N172" s="1"/>
      <c r="O172" s="1"/>
      <c r="P172" s="1"/>
      <c r="Q172" s="1">
        <v>44826.486202111402</v>
      </c>
      <c r="R172" s="1">
        <v>3541470</v>
      </c>
      <c r="S172" t="s">
        <v>9</v>
      </c>
    </row>
    <row r="173" spans="1:19" x14ac:dyDescent="0.55000000000000004">
      <c r="A173" t="s">
        <v>14</v>
      </c>
      <c r="B173">
        <v>1996</v>
      </c>
      <c r="C173">
        <v>974846</v>
      </c>
      <c r="D173" s="2">
        <v>14576</v>
      </c>
      <c r="E173" s="3">
        <v>989422</v>
      </c>
      <c r="F173" t="s">
        <v>12</v>
      </c>
      <c r="G173" t="s">
        <v>12</v>
      </c>
      <c r="H173" s="1">
        <v>11065.9500312979</v>
      </c>
      <c r="I173" s="1">
        <v>696688.07347045396</v>
      </c>
      <c r="J173" s="1">
        <v>246140.93419460001</v>
      </c>
      <c r="K173" s="1"/>
      <c r="L173" s="1"/>
      <c r="M173" s="1"/>
      <c r="N173" s="1"/>
      <c r="O173" s="1"/>
      <c r="P173" s="1"/>
      <c r="Q173" s="1">
        <v>430318.55819896498</v>
      </c>
      <c r="R173" s="1">
        <v>1943317</v>
      </c>
      <c r="S173" t="s">
        <v>9</v>
      </c>
    </row>
    <row r="174" spans="1:19" x14ac:dyDescent="0.55000000000000004">
      <c r="A174" t="s">
        <v>14</v>
      </c>
      <c r="B174">
        <v>1995</v>
      </c>
      <c r="C174">
        <v>544364</v>
      </c>
      <c r="D174" s="2">
        <v>3391</v>
      </c>
      <c r="E174" s="3">
        <v>547755</v>
      </c>
      <c r="F174" t="s">
        <v>12</v>
      </c>
      <c r="G174" t="s">
        <v>12</v>
      </c>
      <c r="H174" s="1">
        <v>2470.0636731845102</v>
      </c>
      <c r="I174" s="1">
        <v>460575.25263449003</v>
      </c>
      <c r="J174" s="1">
        <v>314882.57845407998</v>
      </c>
      <c r="K174" s="1"/>
      <c r="L174" s="1"/>
      <c r="M174" s="1"/>
      <c r="N174" s="1"/>
      <c r="O174" s="1"/>
      <c r="P174" s="1"/>
      <c r="Q174" s="1">
        <v>86694.7015189636</v>
      </c>
      <c r="R174" s="1">
        <v>1325683</v>
      </c>
      <c r="S174" t="s">
        <v>9</v>
      </c>
    </row>
    <row r="175" spans="1:19" x14ac:dyDescent="0.55000000000000004">
      <c r="A175" t="s">
        <v>14</v>
      </c>
      <c r="B175">
        <v>1994</v>
      </c>
      <c r="C175">
        <v>450745</v>
      </c>
      <c r="D175" s="2">
        <v>1494</v>
      </c>
      <c r="E175" s="3">
        <v>452239</v>
      </c>
      <c r="F175" t="s">
        <v>12</v>
      </c>
      <c r="G175" t="s">
        <v>12</v>
      </c>
      <c r="H175" s="1">
        <v>29900.780594589</v>
      </c>
      <c r="I175" s="1">
        <v>1528485.1282349499</v>
      </c>
      <c r="J175" s="1">
        <v>205463.925401594</v>
      </c>
      <c r="K175" s="1"/>
      <c r="L175" s="1"/>
      <c r="M175" s="1"/>
      <c r="N175" s="1"/>
      <c r="O175" s="1"/>
      <c r="P175" s="1"/>
      <c r="Q175" s="1">
        <v>-137355.66119184199</v>
      </c>
      <c r="R175" s="1">
        <v>2353444</v>
      </c>
      <c r="S175" t="s">
        <v>9</v>
      </c>
    </row>
    <row r="176" spans="1:19" x14ac:dyDescent="0.55000000000000004">
      <c r="A176" t="s">
        <v>14</v>
      </c>
      <c r="B176">
        <v>1993</v>
      </c>
      <c r="C176">
        <v>555226</v>
      </c>
      <c r="D176" s="2">
        <v>6639</v>
      </c>
      <c r="E176" s="3">
        <v>561865</v>
      </c>
      <c r="F176" t="s">
        <v>12</v>
      </c>
      <c r="G176" t="s">
        <v>12</v>
      </c>
      <c r="H176" s="1">
        <v>8947.4625382457398</v>
      </c>
      <c r="I176" s="1">
        <v>2696116.2908257698</v>
      </c>
      <c r="J176" s="1">
        <v>74735</v>
      </c>
      <c r="K176" s="1"/>
      <c r="L176" s="1"/>
      <c r="M176" s="1"/>
      <c r="N176" s="1"/>
      <c r="O176" s="1"/>
      <c r="P176" s="1"/>
      <c r="Q176" s="1">
        <v>-16245.930253762101</v>
      </c>
      <c r="R176" s="1">
        <v>3357910</v>
      </c>
      <c r="S176" t="s">
        <v>9</v>
      </c>
    </row>
    <row r="177" spans="1:19" x14ac:dyDescent="0.55000000000000004">
      <c r="A177" t="s">
        <v>14</v>
      </c>
      <c r="B177">
        <v>1992</v>
      </c>
      <c r="C177">
        <v>511267</v>
      </c>
      <c r="D177" s="2">
        <v>4396</v>
      </c>
      <c r="E177" s="3">
        <v>515663</v>
      </c>
      <c r="F177" t="s">
        <v>12</v>
      </c>
      <c r="G177" t="s">
        <v>12</v>
      </c>
      <c r="H177" s="1">
        <v>34698.7564149791</v>
      </c>
      <c r="I177" s="1">
        <v>2416755.24056132</v>
      </c>
      <c r="J177" s="1">
        <v>165400.900073475</v>
      </c>
      <c r="K177" s="1"/>
      <c r="L177" s="1"/>
      <c r="M177" s="1"/>
      <c r="N177" s="1"/>
      <c r="O177" s="1"/>
      <c r="P177" s="1"/>
      <c r="Q177" s="1">
        <v>-160954.69479730501</v>
      </c>
      <c r="R177" s="1">
        <v>3293473</v>
      </c>
      <c r="S177" t="s">
        <v>9</v>
      </c>
    </row>
    <row r="178" spans="1:19" x14ac:dyDescent="0.55000000000000004">
      <c r="A178" t="s">
        <v>14</v>
      </c>
      <c r="B178">
        <v>1991</v>
      </c>
      <c r="C178">
        <v>1037737</v>
      </c>
      <c r="D178" s="2">
        <v>1887</v>
      </c>
      <c r="E178" s="3">
        <v>1039624</v>
      </c>
      <c r="F178" t="s">
        <v>12</v>
      </c>
      <c r="G178" t="s">
        <v>12</v>
      </c>
      <c r="H178" s="1">
        <v>21123.358766465499</v>
      </c>
      <c r="I178" s="1">
        <v>2777679.9525351599</v>
      </c>
      <c r="J178" s="1">
        <v>191387</v>
      </c>
      <c r="K178" s="1"/>
      <c r="L178" s="1"/>
      <c r="M178" s="1"/>
      <c r="N178" s="1"/>
      <c r="O178" s="1"/>
      <c r="P178" s="1"/>
      <c r="Q178" s="1">
        <v>152559.07508988501</v>
      </c>
      <c r="R178" s="1">
        <v>4029814</v>
      </c>
      <c r="S178" t="s">
        <v>9</v>
      </c>
    </row>
    <row r="179" spans="1:19" x14ac:dyDescent="0.55000000000000004">
      <c r="A179" t="s">
        <v>14</v>
      </c>
      <c r="B179">
        <v>1990</v>
      </c>
      <c r="C179">
        <v>825837</v>
      </c>
      <c r="D179" s="2">
        <v>7476</v>
      </c>
      <c r="E179" s="3">
        <v>833313</v>
      </c>
      <c r="F179" t="s">
        <v>12</v>
      </c>
      <c r="G179" t="s">
        <v>12</v>
      </c>
      <c r="H179" s="1">
        <v>43932.204309752597</v>
      </c>
      <c r="I179" s="1">
        <v>3519414.0598073299</v>
      </c>
      <c r="J179" s="1">
        <v>202077</v>
      </c>
      <c r="K179" s="1"/>
      <c r="L179" s="1"/>
      <c r="M179" s="1"/>
      <c r="N179" s="1"/>
      <c r="O179" s="1"/>
      <c r="P179" s="1"/>
      <c r="Q179" s="1">
        <v>-141924.261991195</v>
      </c>
      <c r="R179" s="1">
        <v>4740661</v>
      </c>
      <c r="S179" t="s">
        <v>9</v>
      </c>
    </row>
    <row r="180" spans="1:19" x14ac:dyDescent="0.55000000000000004">
      <c r="A180" t="s">
        <v>14</v>
      </c>
      <c r="B180">
        <v>1989</v>
      </c>
      <c r="C180">
        <v>63268</v>
      </c>
      <c r="D180" s="2">
        <v>15379</v>
      </c>
      <c r="E180" s="3">
        <v>78647</v>
      </c>
      <c r="F180" t="s">
        <v>12</v>
      </c>
      <c r="G180" t="s">
        <v>12</v>
      </c>
      <c r="H180" s="1">
        <v>2246.1657996542899</v>
      </c>
      <c r="I180" s="1">
        <v>474915.81827728898</v>
      </c>
      <c r="J180" s="1">
        <v>20800.307884371901</v>
      </c>
      <c r="K180" s="1"/>
      <c r="L180" s="1"/>
      <c r="M180" s="1"/>
      <c r="N180" s="1"/>
      <c r="O180" s="1"/>
      <c r="P180" s="1"/>
      <c r="Q180" s="1">
        <v>-7991.8510321723097</v>
      </c>
      <c r="R180" s="1">
        <v>584601</v>
      </c>
      <c r="S180" t="s">
        <v>9</v>
      </c>
    </row>
    <row r="181" spans="1:19" x14ac:dyDescent="0.55000000000000004">
      <c r="A181" t="s">
        <v>14</v>
      </c>
      <c r="B181">
        <v>1988</v>
      </c>
      <c r="C181">
        <v>363389</v>
      </c>
      <c r="D181" s="2">
        <v>2401</v>
      </c>
      <c r="E181" s="3">
        <v>365790</v>
      </c>
      <c r="F181" t="s">
        <v>12</v>
      </c>
      <c r="G181" t="s">
        <v>12</v>
      </c>
      <c r="H181" s="1">
        <v>0</v>
      </c>
      <c r="I181" s="1">
        <v>349317.35542963998</v>
      </c>
      <c r="J181" s="1">
        <v>133330.37728388101</v>
      </c>
      <c r="K181" s="1"/>
      <c r="L181" s="1"/>
      <c r="M181" s="1"/>
      <c r="N181" s="1"/>
      <c r="O181" s="1"/>
      <c r="P181" s="1"/>
      <c r="Q181" s="1">
        <v>123614.44495903399</v>
      </c>
      <c r="R181" s="1">
        <v>848438</v>
      </c>
      <c r="S181" t="s">
        <v>9</v>
      </c>
    </row>
    <row r="182" spans="1:19" x14ac:dyDescent="0.55000000000000004">
      <c r="A182" t="s">
        <v>14</v>
      </c>
      <c r="B182">
        <v>1987</v>
      </c>
      <c r="C182">
        <v>421015</v>
      </c>
      <c r="D182" s="2">
        <v>9477</v>
      </c>
      <c r="E182" s="3">
        <v>430492</v>
      </c>
      <c r="F182" t="s">
        <v>12</v>
      </c>
      <c r="G182" t="s">
        <v>12</v>
      </c>
      <c r="H182" s="1">
        <v>739.76620986769103</v>
      </c>
      <c r="I182" s="1">
        <v>1372530.2070772201</v>
      </c>
      <c r="J182" s="1">
        <v>143515.71647440101</v>
      </c>
      <c r="K182" s="1"/>
      <c r="L182" s="1"/>
      <c r="M182" s="1"/>
      <c r="N182" s="1"/>
      <c r="O182" s="1"/>
      <c r="P182" s="1"/>
      <c r="Q182" s="1">
        <v>172817.916041927</v>
      </c>
      <c r="R182" s="1">
        <v>1947278</v>
      </c>
      <c r="S182" t="s">
        <v>9</v>
      </c>
    </row>
    <row r="183" spans="1:19" x14ac:dyDescent="0.55000000000000004">
      <c r="A183" t="s">
        <v>14</v>
      </c>
      <c r="B183">
        <v>1986</v>
      </c>
      <c r="C183">
        <v>293804</v>
      </c>
      <c r="D183" s="2">
        <v>30167</v>
      </c>
      <c r="E183" s="3">
        <v>323971</v>
      </c>
      <c r="F183" t="s">
        <v>12</v>
      </c>
      <c r="G183" t="s">
        <v>12</v>
      </c>
      <c r="H183" s="1">
        <v>0</v>
      </c>
      <c r="I183" s="1">
        <v>1030682.073421</v>
      </c>
      <c r="J183" s="1">
        <v>148064.34887123801</v>
      </c>
      <c r="K183" s="1"/>
      <c r="L183" s="1"/>
      <c r="M183" s="1"/>
      <c r="N183" s="1"/>
      <c r="O183" s="1"/>
      <c r="P183" s="1"/>
      <c r="Q183" s="1">
        <v>37716.487579301902</v>
      </c>
      <c r="R183" s="1">
        <v>1502717</v>
      </c>
      <c r="S183" t="s">
        <v>9</v>
      </c>
    </row>
    <row r="184" spans="1:19" x14ac:dyDescent="0.55000000000000004">
      <c r="A184" t="s">
        <v>14</v>
      </c>
      <c r="B184">
        <v>1985</v>
      </c>
      <c r="C184">
        <v>71975</v>
      </c>
      <c r="D184" s="2">
        <v>16145</v>
      </c>
      <c r="E184" s="3">
        <v>88120</v>
      </c>
      <c r="F184" t="s">
        <v>12</v>
      </c>
      <c r="G184" t="s">
        <v>12</v>
      </c>
      <c r="H184" s="1">
        <v>323.48637108959599</v>
      </c>
      <c r="I184" s="1">
        <v>589613.75343669998</v>
      </c>
      <c r="J184" s="1">
        <v>23836.292531751798</v>
      </c>
      <c r="K184" s="1"/>
      <c r="L184" s="1"/>
      <c r="M184" s="1"/>
      <c r="N184" s="1"/>
      <c r="O184" s="1"/>
      <c r="P184" s="1"/>
      <c r="Q184" s="1">
        <v>11042.384158194</v>
      </c>
      <c r="R184" s="1">
        <v>701894</v>
      </c>
      <c r="S184" t="s">
        <v>9</v>
      </c>
    </row>
    <row r="185" spans="1:19" x14ac:dyDescent="0.55000000000000004">
      <c r="A185" t="s">
        <v>14</v>
      </c>
      <c r="B185">
        <v>1984</v>
      </c>
      <c r="C185">
        <v>580179</v>
      </c>
      <c r="D185" s="2">
        <v>485</v>
      </c>
      <c r="E185" s="3">
        <v>580664</v>
      </c>
      <c r="F185" t="s">
        <v>12</v>
      </c>
      <c r="G185" t="s">
        <v>12</v>
      </c>
      <c r="H185" s="1">
        <v>0</v>
      </c>
      <c r="I185" s="1">
        <v>3181205.90656339</v>
      </c>
      <c r="J185" s="1">
        <v>239346.36878593301</v>
      </c>
      <c r="K185" s="1"/>
      <c r="L185" s="1"/>
      <c r="M185" s="1"/>
      <c r="N185" s="1"/>
      <c r="O185" s="1"/>
      <c r="P185" s="1"/>
      <c r="Q185" s="1">
        <v>100565.84363804699</v>
      </c>
      <c r="R185" s="1">
        <v>4001216</v>
      </c>
      <c r="S185" t="s">
        <v>9</v>
      </c>
    </row>
    <row r="186" spans="1:19" x14ac:dyDescent="0.55000000000000004">
      <c r="A186" t="s">
        <v>14</v>
      </c>
      <c r="B186">
        <v>1983</v>
      </c>
      <c r="C186">
        <v>382833</v>
      </c>
      <c r="D186" s="2">
        <v>3738</v>
      </c>
      <c r="E186" s="3">
        <v>386571</v>
      </c>
      <c r="F186" t="s">
        <v>12</v>
      </c>
      <c r="G186" t="s">
        <v>12</v>
      </c>
      <c r="H186" s="1">
        <v>5246.8739609227996</v>
      </c>
      <c r="I186" s="1">
        <v>1122529.1854717601</v>
      </c>
      <c r="J186" s="1">
        <v>176337.46676645699</v>
      </c>
      <c r="K186" s="1"/>
      <c r="L186" s="1"/>
      <c r="M186" s="1"/>
      <c r="N186" s="1"/>
      <c r="O186" s="1"/>
      <c r="P186" s="1"/>
      <c r="Q186" s="1">
        <v>51757.522968094803</v>
      </c>
      <c r="R186" s="1">
        <v>1690685</v>
      </c>
      <c r="S186" t="s">
        <v>9</v>
      </c>
    </row>
    <row r="187" spans="1:19" x14ac:dyDescent="0.55000000000000004">
      <c r="A187" t="s">
        <v>14</v>
      </c>
      <c r="B187">
        <v>1982</v>
      </c>
      <c r="C187">
        <v>249578</v>
      </c>
      <c r="D187" s="2">
        <v>3973</v>
      </c>
      <c r="E187" s="3">
        <v>253551</v>
      </c>
      <c r="F187" t="s">
        <v>12</v>
      </c>
      <c r="G187" t="s">
        <v>12</v>
      </c>
      <c r="H187" s="1"/>
      <c r="I187" s="1">
        <v>837773.23237609304</v>
      </c>
      <c r="J187" s="1">
        <v>94261.497712804106</v>
      </c>
      <c r="K187" s="1"/>
      <c r="L187" s="1"/>
      <c r="M187" s="1"/>
      <c r="N187" s="1"/>
      <c r="O187" s="1"/>
      <c r="P187" s="1"/>
      <c r="Q187" s="1">
        <v>96015.535186909605</v>
      </c>
      <c r="R187" s="1">
        <v>1185586</v>
      </c>
      <c r="S187" t="s">
        <v>9</v>
      </c>
    </row>
    <row r="188" spans="1:19" x14ac:dyDescent="0.55000000000000004">
      <c r="A188" t="s">
        <v>14</v>
      </c>
      <c r="B188">
        <v>1981</v>
      </c>
      <c r="C188">
        <v>34540</v>
      </c>
      <c r="D188" s="2">
        <v>1609</v>
      </c>
      <c r="E188" s="3">
        <v>36149</v>
      </c>
      <c r="F188" t="s">
        <v>12</v>
      </c>
      <c r="G188" t="s">
        <v>12</v>
      </c>
      <c r="H188" s="1"/>
      <c r="I188" s="1">
        <v>186736.177788639</v>
      </c>
      <c r="J188" s="1">
        <v>13564.0078577733</v>
      </c>
      <c r="K188" s="1"/>
      <c r="L188" s="1"/>
      <c r="M188" s="1"/>
      <c r="N188" s="1"/>
      <c r="O188" s="1"/>
      <c r="P188" s="1"/>
      <c r="Q188" s="1">
        <v>-21727.766358719098</v>
      </c>
      <c r="R188" s="1">
        <v>258177</v>
      </c>
      <c r="S188" t="s">
        <v>9</v>
      </c>
    </row>
    <row r="189" spans="1:19" x14ac:dyDescent="0.55000000000000004">
      <c r="A189" t="s">
        <v>14</v>
      </c>
      <c r="B189">
        <v>1980</v>
      </c>
      <c r="C189">
        <v>497759</v>
      </c>
      <c r="D189" s="2">
        <v>1067</v>
      </c>
      <c r="E189" s="3">
        <v>498826</v>
      </c>
      <c r="F189" t="s">
        <v>12</v>
      </c>
      <c r="G189" t="s">
        <v>12</v>
      </c>
      <c r="H189" s="1"/>
      <c r="I189" s="1">
        <v>1075824.0477829101</v>
      </c>
      <c r="J189" s="1">
        <v>98822.641824995502</v>
      </c>
      <c r="K189" s="1"/>
      <c r="L189" s="1"/>
      <c r="M189" s="1"/>
      <c r="N189" s="1"/>
      <c r="O189" s="1"/>
      <c r="P189" s="1"/>
      <c r="Q189" s="1">
        <v>-18952.526767499501</v>
      </c>
      <c r="R189" s="1">
        <v>1692425</v>
      </c>
      <c r="S189" t="s">
        <v>9</v>
      </c>
    </row>
    <row r="190" spans="1:19" x14ac:dyDescent="0.55000000000000004">
      <c r="A190" t="s">
        <v>14</v>
      </c>
      <c r="B190">
        <v>1979</v>
      </c>
      <c r="C190">
        <v>258391</v>
      </c>
      <c r="D190" s="2">
        <v>14303</v>
      </c>
      <c r="E190" s="3">
        <v>272694</v>
      </c>
      <c r="F190" t="s">
        <v>12</v>
      </c>
      <c r="G190" t="s">
        <v>12</v>
      </c>
      <c r="H190" s="1"/>
      <c r="I190" s="1">
        <v>1120831.73427746</v>
      </c>
      <c r="J190" s="1">
        <v>67178.738672374704</v>
      </c>
      <c r="K190" s="1"/>
      <c r="L190" s="1"/>
      <c r="M190" s="1"/>
      <c r="N190" s="1"/>
      <c r="O190" s="1"/>
      <c r="P190" s="1"/>
      <c r="Q190" s="1">
        <v>-158669.871725415</v>
      </c>
      <c r="R190" s="1">
        <v>1619374</v>
      </c>
      <c r="S190" t="s">
        <v>9</v>
      </c>
    </row>
    <row r="191" spans="1:19" x14ac:dyDescent="0.55000000000000004">
      <c r="A191" t="s">
        <v>14</v>
      </c>
      <c r="B191">
        <v>1978</v>
      </c>
      <c r="C191">
        <v>146842</v>
      </c>
      <c r="D191" s="2">
        <v>12332</v>
      </c>
      <c r="E191" s="3">
        <v>159174</v>
      </c>
      <c r="F191" t="s">
        <v>12</v>
      </c>
      <c r="G191" t="s">
        <v>12</v>
      </c>
      <c r="H191" s="1"/>
      <c r="I191" s="1">
        <v>499794.90122476802</v>
      </c>
      <c r="J191" s="1">
        <v>45448.429161009997</v>
      </c>
      <c r="K191" s="1"/>
      <c r="L191" s="1"/>
      <c r="M191" s="1"/>
      <c r="N191" s="1"/>
      <c r="O191" s="1"/>
      <c r="P191" s="1"/>
      <c r="Q191" s="1">
        <v>46195.541783751003</v>
      </c>
      <c r="R191" s="1">
        <v>704417</v>
      </c>
      <c r="S191" t="s">
        <v>9</v>
      </c>
    </row>
    <row r="192" spans="1:19" x14ac:dyDescent="0.55000000000000004">
      <c r="A192" t="s">
        <v>14</v>
      </c>
      <c r="B192">
        <v>1977</v>
      </c>
      <c r="C192">
        <v>51330</v>
      </c>
      <c r="D192" s="2">
        <v>5452</v>
      </c>
      <c r="E192" s="3">
        <v>56782</v>
      </c>
      <c r="F192" t="s">
        <v>12</v>
      </c>
      <c r="G192" t="s">
        <v>12</v>
      </c>
      <c r="H192" s="1"/>
      <c r="I192" s="1">
        <v>271707.98703659</v>
      </c>
      <c r="J192" s="1">
        <v>16797.902037524898</v>
      </c>
      <c r="K192" s="1"/>
      <c r="L192" s="1"/>
      <c r="M192" s="1"/>
      <c r="N192" s="1"/>
      <c r="O192" s="1"/>
      <c r="P192" s="1"/>
      <c r="Q192" s="1">
        <v>7950.6747213776198</v>
      </c>
      <c r="R192" s="1">
        <v>345288</v>
      </c>
      <c r="S192" t="s">
        <v>9</v>
      </c>
    </row>
    <row r="193" spans="1:19" x14ac:dyDescent="0.55000000000000004">
      <c r="A193" t="s">
        <v>14</v>
      </c>
      <c r="B193">
        <v>1976</v>
      </c>
      <c r="C193">
        <v>384390</v>
      </c>
      <c r="D193" s="2">
        <v>3077</v>
      </c>
      <c r="E193" s="3">
        <v>387467</v>
      </c>
      <c r="F193" t="s">
        <v>12</v>
      </c>
      <c r="G193" t="s">
        <v>12</v>
      </c>
      <c r="H193" s="1"/>
      <c r="I193" s="1">
        <v>1474859</v>
      </c>
      <c r="J193" s="1">
        <v>135864</v>
      </c>
      <c r="K193" s="1"/>
      <c r="L193" s="1"/>
      <c r="M193" s="1"/>
      <c r="N193" s="1"/>
      <c r="O193" s="1"/>
      <c r="P193" s="1"/>
      <c r="Q193" s="1"/>
      <c r="R193" s="1">
        <v>1998190</v>
      </c>
      <c r="S193" t="s">
        <v>12</v>
      </c>
    </row>
    <row r="194" spans="1:19" x14ac:dyDescent="0.55000000000000004">
      <c r="A194" t="s">
        <v>14</v>
      </c>
      <c r="B194">
        <v>1975</v>
      </c>
      <c r="C194">
        <v>244631</v>
      </c>
      <c r="D194" s="2">
        <v>31067</v>
      </c>
      <c r="E194" s="3">
        <v>275698</v>
      </c>
      <c r="F194" t="s">
        <v>12</v>
      </c>
      <c r="G194" t="s">
        <v>12</v>
      </c>
      <c r="H194" s="1"/>
      <c r="I194" s="1">
        <v>474559</v>
      </c>
      <c r="J194" s="1">
        <v>88139</v>
      </c>
      <c r="K194" s="1"/>
      <c r="L194" s="1"/>
      <c r="M194" s="1"/>
      <c r="N194" s="1"/>
      <c r="O194" s="1"/>
      <c r="P194" s="1"/>
      <c r="Q194" s="1"/>
      <c r="R194" s="1">
        <v>838396</v>
      </c>
      <c r="S194" t="s">
        <v>11</v>
      </c>
    </row>
    <row r="195" spans="1:19" x14ac:dyDescent="0.55000000000000004">
      <c r="A195" t="s">
        <v>14</v>
      </c>
      <c r="B195">
        <v>1974</v>
      </c>
      <c r="C195">
        <v>110026</v>
      </c>
      <c r="D195" s="2">
        <v>32569</v>
      </c>
      <c r="E195" s="3">
        <v>142595</v>
      </c>
      <c r="F195" t="s">
        <v>12</v>
      </c>
      <c r="G195" t="s">
        <v>12</v>
      </c>
      <c r="H195" s="1"/>
      <c r="I195" s="1">
        <v>544166</v>
      </c>
      <c r="J195" s="1">
        <v>55455</v>
      </c>
      <c r="K195" s="1"/>
      <c r="L195" s="1"/>
      <c r="M195" s="1"/>
      <c r="N195" s="1"/>
      <c r="O195" s="1"/>
      <c r="P195" s="1"/>
      <c r="Q195" s="1"/>
      <c r="R195" s="1">
        <v>742216</v>
      </c>
      <c r="S195" t="s">
        <v>12</v>
      </c>
    </row>
    <row r="196" spans="1:19" x14ac:dyDescent="0.55000000000000004">
      <c r="A196" t="s">
        <v>14</v>
      </c>
      <c r="B196">
        <v>1973</v>
      </c>
      <c r="C196">
        <v>55675</v>
      </c>
      <c r="D196" s="2">
        <v>6032</v>
      </c>
      <c r="E196" s="3">
        <v>61707</v>
      </c>
      <c r="F196" t="s">
        <v>12</v>
      </c>
      <c r="G196" t="s">
        <v>12</v>
      </c>
      <c r="H196" s="1"/>
      <c r="I196" s="1">
        <v>389756</v>
      </c>
      <c r="J196" s="1">
        <v>13066</v>
      </c>
      <c r="K196" s="1"/>
      <c r="L196" s="1"/>
      <c r="M196" s="1"/>
      <c r="N196" s="1"/>
      <c r="O196" s="1"/>
      <c r="P196" s="1"/>
      <c r="Q196" s="1"/>
      <c r="R196" s="1">
        <v>464529</v>
      </c>
      <c r="S196" t="s">
        <v>12</v>
      </c>
    </row>
    <row r="197" spans="1:19" x14ac:dyDescent="0.55000000000000004">
      <c r="A197" t="s">
        <v>14</v>
      </c>
      <c r="B197">
        <v>1972</v>
      </c>
      <c r="C197">
        <v>562650</v>
      </c>
      <c r="D197" s="2">
        <v>1815</v>
      </c>
      <c r="E197" s="3">
        <v>564465</v>
      </c>
      <c r="F197" t="s">
        <v>12</v>
      </c>
      <c r="G197" t="s">
        <v>12</v>
      </c>
      <c r="H197" s="1"/>
      <c r="I197" s="1">
        <v>1747708</v>
      </c>
      <c r="J197" s="1">
        <v>77900</v>
      </c>
      <c r="K197" s="1"/>
      <c r="L197" s="1"/>
      <c r="M197" s="1"/>
      <c r="N197" s="1"/>
      <c r="O197" s="1"/>
      <c r="P197" s="1"/>
      <c r="Q197" s="1"/>
      <c r="R197" s="1">
        <v>2390073</v>
      </c>
      <c r="S197" t="s">
        <v>12</v>
      </c>
    </row>
    <row r="198" spans="1:19" x14ac:dyDescent="0.55000000000000004">
      <c r="A198" t="s">
        <v>14</v>
      </c>
      <c r="B198">
        <v>1971</v>
      </c>
      <c r="C198">
        <v>168396</v>
      </c>
      <c r="D198" s="2">
        <v>18193</v>
      </c>
      <c r="E198" s="3">
        <v>186589</v>
      </c>
      <c r="F198" t="s">
        <v>12</v>
      </c>
      <c r="G198" t="s">
        <v>12</v>
      </c>
      <c r="H198" s="1"/>
      <c r="I198" s="1">
        <v>1881606</v>
      </c>
      <c r="J198" s="1">
        <v>46505</v>
      </c>
      <c r="K198" s="1"/>
      <c r="L198" s="1"/>
      <c r="M198" s="1"/>
      <c r="N198" s="1"/>
      <c r="O198" s="1"/>
      <c r="P198" s="1"/>
      <c r="Q198" s="1"/>
      <c r="R198" s="1">
        <v>2114700</v>
      </c>
      <c r="S198" t="s">
        <v>12</v>
      </c>
    </row>
    <row r="199" spans="1:19" x14ac:dyDescent="0.55000000000000004">
      <c r="A199" t="s">
        <v>14</v>
      </c>
      <c r="B199">
        <v>1970</v>
      </c>
      <c r="C199">
        <v>135388</v>
      </c>
      <c r="D199" s="2">
        <v>9661</v>
      </c>
      <c r="E199" s="3">
        <v>145049</v>
      </c>
      <c r="F199" t="s">
        <v>12</v>
      </c>
      <c r="G199" t="s">
        <v>12</v>
      </c>
      <c r="H199" s="1"/>
      <c r="I199" s="1">
        <v>594047.99999999895</v>
      </c>
      <c r="J199" s="1">
        <v>52405</v>
      </c>
      <c r="K199" s="1"/>
      <c r="L199" s="1"/>
      <c r="M199" s="1"/>
      <c r="N199" s="1"/>
      <c r="O199" s="1"/>
      <c r="P199" s="1"/>
      <c r="Q199" s="1"/>
      <c r="R199" s="1">
        <v>791502</v>
      </c>
      <c r="S199" t="s">
        <v>12</v>
      </c>
    </row>
    <row r="200" spans="1:19" x14ac:dyDescent="0.55000000000000004">
      <c r="A200" t="s">
        <v>14</v>
      </c>
      <c r="B200">
        <v>1969</v>
      </c>
      <c r="C200">
        <v>70902</v>
      </c>
      <c r="D200" s="2">
        <v>5616</v>
      </c>
      <c r="E200" s="3">
        <v>76518</v>
      </c>
      <c r="F200" t="s">
        <v>12</v>
      </c>
      <c r="G200" t="s">
        <v>12</v>
      </c>
      <c r="H200" s="1"/>
      <c r="I200" s="1">
        <v>298166</v>
      </c>
      <c r="J200" s="1">
        <v>5517</v>
      </c>
      <c r="K200" s="1"/>
      <c r="L200" s="1"/>
      <c r="M200" s="1"/>
      <c r="N200" s="1"/>
      <c r="O200" s="1"/>
      <c r="P200" s="1"/>
      <c r="Q200" s="1"/>
      <c r="R200" s="1">
        <v>380201</v>
      </c>
      <c r="S200" t="s">
        <v>12</v>
      </c>
    </row>
    <row r="201" spans="1:19" x14ac:dyDescent="0.55000000000000004">
      <c r="A201" t="s">
        <v>14</v>
      </c>
      <c r="B201">
        <v>1968</v>
      </c>
      <c r="C201">
        <v>413862</v>
      </c>
      <c r="D201" s="2">
        <v>584</v>
      </c>
      <c r="E201" s="3">
        <v>414446</v>
      </c>
      <c r="F201" t="s">
        <v>12</v>
      </c>
      <c r="G201" t="s">
        <v>12</v>
      </c>
      <c r="H201" s="1"/>
      <c r="I201" s="1">
        <v>1385071.43750142</v>
      </c>
      <c r="J201" s="1">
        <v>76303</v>
      </c>
      <c r="K201" s="1"/>
      <c r="L201" s="1"/>
      <c r="M201" s="1"/>
      <c r="N201" s="1"/>
      <c r="O201" s="1"/>
      <c r="P201" s="1"/>
      <c r="Q201" s="1"/>
      <c r="R201" s="1">
        <v>1875820</v>
      </c>
      <c r="S201" t="s">
        <v>12</v>
      </c>
    </row>
    <row r="202" spans="1:19" x14ac:dyDescent="0.55000000000000004">
      <c r="A202" t="s">
        <v>14</v>
      </c>
      <c r="B202">
        <v>1967</v>
      </c>
      <c r="C202">
        <v>174715</v>
      </c>
      <c r="D202" s="2">
        <v>1622</v>
      </c>
      <c r="E202" s="3">
        <v>176337</v>
      </c>
      <c r="F202" t="s">
        <v>12</v>
      </c>
      <c r="G202" t="s">
        <v>12</v>
      </c>
      <c r="H202" s="1"/>
      <c r="I202" s="1">
        <v>938139.39257095999</v>
      </c>
      <c r="J202" s="1">
        <v>23885</v>
      </c>
      <c r="K202" s="1"/>
      <c r="L202" s="1"/>
      <c r="M202" s="1"/>
      <c r="N202" s="1"/>
      <c r="O202" s="1"/>
      <c r="P202" s="1"/>
      <c r="Q202" s="1"/>
      <c r="R202" s="1">
        <v>1138361</v>
      </c>
      <c r="S202" t="s">
        <v>12</v>
      </c>
    </row>
    <row r="203" spans="1:19" x14ac:dyDescent="0.55000000000000004">
      <c r="A203" t="s">
        <v>14</v>
      </c>
      <c r="B203">
        <v>1966</v>
      </c>
      <c r="C203">
        <v>209619</v>
      </c>
      <c r="D203" s="2">
        <v>17083</v>
      </c>
      <c r="E203" s="3">
        <v>226702</v>
      </c>
      <c r="F203" t="s">
        <v>12</v>
      </c>
      <c r="G203" t="s">
        <v>12</v>
      </c>
      <c r="H203" s="1"/>
      <c r="I203" s="1">
        <v>755909.44426887098</v>
      </c>
      <c r="J203" s="1">
        <v>31629</v>
      </c>
      <c r="K203" s="1"/>
      <c r="L203" s="1"/>
      <c r="M203" s="1"/>
      <c r="N203" s="1"/>
      <c r="O203" s="1"/>
      <c r="P203" s="1"/>
      <c r="Q203" s="1"/>
      <c r="R203" s="1">
        <v>1014240</v>
      </c>
      <c r="S203" t="s">
        <v>12</v>
      </c>
    </row>
    <row r="204" spans="1:19" x14ac:dyDescent="0.55000000000000004">
      <c r="A204" t="s">
        <v>14</v>
      </c>
      <c r="B204">
        <v>1965</v>
      </c>
      <c r="C204">
        <v>35335</v>
      </c>
      <c r="D204" s="2">
        <v>4567</v>
      </c>
      <c r="E204" s="3">
        <v>39902</v>
      </c>
      <c r="F204" t="s">
        <v>12</v>
      </c>
      <c r="G204" t="s">
        <v>12</v>
      </c>
      <c r="H204" s="1"/>
      <c r="I204" s="1">
        <v>106133</v>
      </c>
      <c r="J204" s="1">
        <v>5685</v>
      </c>
      <c r="K204" s="1"/>
      <c r="L204" s="1"/>
      <c r="M204" s="1"/>
      <c r="N204" s="1"/>
      <c r="O204" s="1"/>
      <c r="P204" s="1"/>
      <c r="Q204" s="1"/>
      <c r="R204" s="1">
        <v>151720</v>
      </c>
      <c r="S204" t="s">
        <v>12</v>
      </c>
    </row>
    <row r="205" spans="1:19" x14ac:dyDescent="0.55000000000000004">
      <c r="A205" t="s">
        <v>14</v>
      </c>
      <c r="B205">
        <v>1964</v>
      </c>
      <c r="C205">
        <v>238272</v>
      </c>
      <c r="D205" s="2">
        <v>329</v>
      </c>
      <c r="E205" s="3">
        <v>238601</v>
      </c>
      <c r="F205" t="s">
        <v>12</v>
      </c>
      <c r="G205" t="s">
        <v>12</v>
      </c>
      <c r="H205" s="1"/>
      <c r="I205" s="1">
        <v>647466.40377206204</v>
      </c>
      <c r="J205" s="1">
        <v>95871</v>
      </c>
      <c r="K205" s="1"/>
      <c r="L205" s="1"/>
      <c r="M205" s="1"/>
      <c r="N205" s="1"/>
      <c r="O205" s="1"/>
      <c r="P205" s="1"/>
      <c r="Q205" s="1"/>
      <c r="R205" s="1">
        <v>981938</v>
      </c>
      <c r="S205" t="s">
        <v>11</v>
      </c>
    </row>
    <row r="206" spans="1:19" x14ac:dyDescent="0.55000000000000004">
      <c r="A206" t="s">
        <v>14</v>
      </c>
      <c r="B206">
        <v>1963</v>
      </c>
      <c r="C206">
        <v>998231</v>
      </c>
      <c r="D206" s="2">
        <v>4021</v>
      </c>
      <c r="E206" s="3">
        <v>1002252</v>
      </c>
      <c r="F206" t="s">
        <v>12</v>
      </c>
      <c r="G206" t="s">
        <v>12</v>
      </c>
      <c r="H206" s="1"/>
      <c r="I206" s="1">
        <v>1112584.6098567499</v>
      </c>
      <c r="J206" s="1">
        <v>116597</v>
      </c>
      <c r="K206" s="1"/>
      <c r="L206" s="1"/>
      <c r="M206" s="1"/>
      <c r="N206" s="1"/>
      <c r="O206" s="1"/>
      <c r="P206" s="1"/>
      <c r="Q206" s="1"/>
      <c r="R206" s="1">
        <v>2231434</v>
      </c>
      <c r="S206" t="s">
        <v>12</v>
      </c>
    </row>
    <row r="207" spans="1:19" x14ac:dyDescent="0.55000000000000004">
      <c r="A207" t="s">
        <v>14</v>
      </c>
      <c r="B207">
        <v>1962</v>
      </c>
      <c r="C207">
        <v>77713</v>
      </c>
      <c r="D207" s="2">
        <v>14754</v>
      </c>
      <c r="E207" s="3">
        <v>92467</v>
      </c>
      <c r="F207" t="s">
        <v>12</v>
      </c>
      <c r="G207" t="s">
        <v>12</v>
      </c>
      <c r="H207" s="1"/>
      <c r="I207" s="1">
        <v>208949.80106522</v>
      </c>
      <c r="J207" s="1">
        <v>23276</v>
      </c>
      <c r="K207" s="1"/>
      <c r="L207" s="1"/>
      <c r="M207" s="1"/>
      <c r="N207" s="1"/>
      <c r="O207" s="1"/>
      <c r="P207" s="1"/>
      <c r="Q207" s="1"/>
      <c r="R207" s="1">
        <v>324693</v>
      </c>
      <c r="S207" t="s">
        <v>12</v>
      </c>
    </row>
    <row r="208" spans="1:19" x14ac:dyDescent="0.55000000000000004">
      <c r="A208" t="s">
        <v>14</v>
      </c>
      <c r="B208">
        <v>1961</v>
      </c>
      <c r="C208">
        <v>39101</v>
      </c>
      <c r="D208" s="2">
        <v>1214</v>
      </c>
      <c r="E208" s="3">
        <v>40315</v>
      </c>
      <c r="F208" t="s">
        <v>12</v>
      </c>
      <c r="G208" t="s">
        <v>12</v>
      </c>
      <c r="H208" s="1"/>
      <c r="I208" s="1">
        <v>95782</v>
      </c>
      <c r="J208" s="1">
        <v>7668</v>
      </c>
      <c r="K208" s="1"/>
      <c r="L208" s="1"/>
      <c r="M208" s="1"/>
      <c r="N208" s="1"/>
      <c r="O208" s="1"/>
      <c r="P208" s="1"/>
      <c r="Q208" s="1"/>
      <c r="R208" s="1">
        <v>143765</v>
      </c>
      <c r="S208" t="s">
        <v>12</v>
      </c>
    </row>
    <row r="209" spans="1:19" x14ac:dyDescent="0.55000000000000004">
      <c r="A209" t="s">
        <v>14</v>
      </c>
      <c r="B209">
        <v>1960</v>
      </c>
      <c r="C209">
        <v>426546</v>
      </c>
      <c r="D209" s="2">
        <v>61</v>
      </c>
      <c r="E209" s="3">
        <v>426607</v>
      </c>
      <c r="F209" t="s">
        <v>12</v>
      </c>
      <c r="G209" t="s">
        <v>12</v>
      </c>
      <c r="H209" s="1"/>
      <c r="I209" s="1">
        <v>1807823</v>
      </c>
      <c r="J209" s="1">
        <v>60250</v>
      </c>
      <c r="K209" s="1"/>
      <c r="L209" s="1"/>
      <c r="M209" s="1"/>
      <c r="N209" s="1"/>
      <c r="O209" s="1"/>
      <c r="P209" s="1"/>
      <c r="Q209" s="1"/>
      <c r="R209" s="1">
        <v>2294680</v>
      </c>
      <c r="S209" t="s">
        <v>11</v>
      </c>
    </row>
    <row r="210" spans="1:19" x14ac:dyDescent="0.55000000000000004">
      <c r="A210" t="s">
        <v>14</v>
      </c>
      <c r="B210">
        <v>1959</v>
      </c>
      <c r="C210">
        <v>463060</v>
      </c>
      <c r="D210" s="2">
        <v>8102</v>
      </c>
      <c r="E210" s="3">
        <v>471162</v>
      </c>
      <c r="F210" t="s">
        <v>12</v>
      </c>
      <c r="G210" t="s">
        <v>12</v>
      </c>
      <c r="H210" s="1"/>
      <c r="I210" s="1">
        <v>925158</v>
      </c>
      <c r="J210" s="1">
        <v>33176</v>
      </c>
      <c r="K210" s="1"/>
      <c r="L210" s="1"/>
      <c r="M210" s="1"/>
      <c r="N210" s="1"/>
      <c r="O210" s="1"/>
      <c r="P210" s="1"/>
      <c r="Q210" s="1"/>
      <c r="R210" s="1">
        <v>1429496</v>
      </c>
      <c r="S210" t="s">
        <v>12</v>
      </c>
    </row>
    <row r="211" spans="1:19" x14ac:dyDescent="0.55000000000000004">
      <c r="A211" t="s">
        <v>14</v>
      </c>
      <c r="B211">
        <v>1958</v>
      </c>
      <c r="C211">
        <v>120104</v>
      </c>
      <c r="D211" s="2">
        <v>16977</v>
      </c>
      <c r="E211" s="3">
        <v>137081</v>
      </c>
      <c r="F211" t="s">
        <v>12</v>
      </c>
      <c r="G211" t="s">
        <v>12</v>
      </c>
      <c r="H211" s="1"/>
      <c r="I211" s="1">
        <v>621119.99305070494</v>
      </c>
      <c r="J211" s="1">
        <v>13002.974422448</v>
      </c>
      <c r="K211" s="1"/>
      <c r="L211" s="1"/>
      <c r="M211" s="1"/>
      <c r="N211" s="1"/>
      <c r="O211" s="1"/>
      <c r="P211" s="1"/>
      <c r="Q211" s="1"/>
      <c r="R211" s="1">
        <v>771204</v>
      </c>
      <c r="S211" t="s">
        <v>12</v>
      </c>
    </row>
    <row r="212" spans="1:19" x14ac:dyDescent="0.55000000000000004">
      <c r="A212" t="s">
        <v>14</v>
      </c>
      <c r="B212">
        <v>1957</v>
      </c>
      <c r="C212">
        <v>138464</v>
      </c>
      <c r="D212" s="2">
        <v>2301</v>
      </c>
      <c r="E212" s="3">
        <v>140765</v>
      </c>
      <c r="F212" t="s">
        <v>12</v>
      </c>
      <c r="G212" t="s">
        <v>12</v>
      </c>
      <c r="H212" s="1"/>
      <c r="I212" s="1">
        <v>380763</v>
      </c>
      <c r="J212" s="1">
        <v>19193</v>
      </c>
      <c r="K212" s="1"/>
      <c r="L212" s="1"/>
      <c r="M212" s="1"/>
      <c r="N212" s="1"/>
      <c r="O212" s="1"/>
      <c r="P212" s="1"/>
      <c r="Q212" s="1"/>
      <c r="R212" s="1">
        <v>540721</v>
      </c>
      <c r="S212" t="s">
        <v>12</v>
      </c>
    </row>
    <row r="213" spans="1:19" x14ac:dyDescent="0.55000000000000004">
      <c r="A213" t="s">
        <v>14</v>
      </c>
      <c r="B213">
        <v>1956</v>
      </c>
      <c r="C213">
        <v>646906</v>
      </c>
      <c r="D213" s="2">
        <v>862</v>
      </c>
      <c r="E213" s="3">
        <v>647768</v>
      </c>
      <c r="F213" t="s">
        <v>12</v>
      </c>
      <c r="G213" t="s">
        <v>12</v>
      </c>
      <c r="H213" s="1"/>
      <c r="I213" s="1">
        <v>1105752</v>
      </c>
      <c r="J213" s="1">
        <v>36624</v>
      </c>
      <c r="K213" s="1"/>
      <c r="L213" s="1"/>
      <c r="M213" s="1"/>
      <c r="N213" s="1"/>
      <c r="O213" s="1"/>
      <c r="P213" s="1"/>
      <c r="Q213" s="1"/>
      <c r="R213" s="1">
        <v>1790144</v>
      </c>
      <c r="S213" t="s">
        <v>12</v>
      </c>
    </row>
    <row r="214" spans="1:19" x14ac:dyDescent="0.55000000000000004">
      <c r="A214" t="s">
        <v>14</v>
      </c>
      <c r="B214">
        <v>1955</v>
      </c>
      <c r="C214">
        <v>121167</v>
      </c>
      <c r="D214" s="2">
        <v>10979</v>
      </c>
      <c r="E214" s="3">
        <v>132146</v>
      </c>
      <c r="F214" t="s">
        <v>12</v>
      </c>
      <c r="G214" t="s">
        <v>12</v>
      </c>
      <c r="H214" s="1"/>
      <c r="I214" s="1">
        <v>494703</v>
      </c>
      <c r="J214" s="1">
        <v>26500</v>
      </c>
      <c r="K214" s="1"/>
      <c r="L214" s="1"/>
      <c r="M214" s="1"/>
      <c r="N214" s="1"/>
      <c r="O214" s="1"/>
      <c r="P214" s="1"/>
      <c r="Q214" s="1"/>
      <c r="R214" s="1">
        <v>653349</v>
      </c>
      <c r="S214" t="s">
        <v>11</v>
      </c>
    </row>
    <row r="215" spans="1:19" x14ac:dyDescent="0.55000000000000004">
      <c r="A215" t="s">
        <v>14</v>
      </c>
      <c r="B215">
        <v>1954</v>
      </c>
      <c r="C215">
        <v>34296</v>
      </c>
      <c r="D215" s="2">
        <v>3447</v>
      </c>
      <c r="E215" s="3">
        <v>37743</v>
      </c>
      <c r="F215" t="s">
        <v>12</v>
      </c>
      <c r="G215" t="s">
        <v>12</v>
      </c>
      <c r="H215" s="1"/>
      <c r="I215" s="1">
        <v>193426.125863783</v>
      </c>
      <c r="J215" s="1">
        <v>9244.7151274155603</v>
      </c>
      <c r="K215" s="1"/>
      <c r="L215" s="1"/>
      <c r="M215" s="1"/>
      <c r="N215" s="1"/>
      <c r="O215" s="1"/>
      <c r="P215" s="1"/>
      <c r="Q215" s="1"/>
      <c r="R215" s="1">
        <v>240414</v>
      </c>
      <c r="S215" t="s">
        <v>12</v>
      </c>
    </row>
    <row r="216" spans="1:19" x14ac:dyDescent="0.55000000000000004">
      <c r="A216" t="s">
        <v>14</v>
      </c>
      <c r="B216">
        <v>1953</v>
      </c>
      <c r="C216">
        <v>200691</v>
      </c>
      <c r="D216" s="2">
        <v>554</v>
      </c>
      <c r="E216" s="3">
        <v>201245</v>
      </c>
      <c r="F216" t="s">
        <v>12</v>
      </c>
      <c r="G216" t="s">
        <v>12</v>
      </c>
      <c r="H216" s="1"/>
      <c r="I216" s="1">
        <v>556873.99999999895</v>
      </c>
      <c r="J216" s="1">
        <v>18878</v>
      </c>
      <c r="K216" s="1"/>
      <c r="L216" s="1"/>
      <c r="M216" s="1"/>
      <c r="N216" s="1"/>
      <c r="O216" s="1"/>
      <c r="P216" s="1"/>
      <c r="Q216" s="1"/>
      <c r="R216" s="1">
        <v>776997</v>
      </c>
      <c r="S216" t="s">
        <v>12</v>
      </c>
    </row>
    <row r="217" spans="1:19" x14ac:dyDescent="0.55000000000000004">
      <c r="A217" t="s">
        <v>14</v>
      </c>
      <c r="B217">
        <v>1952</v>
      </c>
      <c r="C217">
        <v>485585</v>
      </c>
      <c r="D217" s="2">
        <v>4480</v>
      </c>
      <c r="E217" s="3">
        <v>490065</v>
      </c>
      <c r="F217" t="s">
        <v>12</v>
      </c>
      <c r="G217" t="s">
        <v>12</v>
      </c>
      <c r="H217" s="1"/>
      <c r="I217" s="1">
        <v>1187461</v>
      </c>
      <c r="J217" s="1">
        <v>51165</v>
      </c>
      <c r="K217" s="1"/>
      <c r="L217" s="1"/>
      <c r="M217" s="1"/>
      <c r="N217" s="1"/>
      <c r="O217" s="1"/>
      <c r="P217" s="1"/>
      <c r="Q217" s="1"/>
      <c r="R217" s="1">
        <v>1728691</v>
      </c>
      <c r="S217" t="s">
        <v>12</v>
      </c>
    </row>
    <row r="218" spans="1:19" x14ac:dyDescent="0.55000000000000004">
      <c r="A218" t="s">
        <v>15</v>
      </c>
      <c r="B218">
        <v>2023</v>
      </c>
      <c r="C218">
        <v>5380</v>
      </c>
      <c r="D218" s="2">
        <v>94</v>
      </c>
      <c r="E218" s="3">
        <v>5474</v>
      </c>
      <c r="F218" t="s">
        <v>12</v>
      </c>
      <c r="G218" t="s">
        <v>12</v>
      </c>
      <c r="H218" s="1">
        <v>0</v>
      </c>
      <c r="I218" s="1">
        <v>193.661796401554</v>
      </c>
      <c r="J218" s="1">
        <v>0.106009257744597</v>
      </c>
      <c r="K218" s="1"/>
      <c r="L218" s="1">
        <v>7134</v>
      </c>
      <c r="M218" s="1">
        <v>1627</v>
      </c>
      <c r="N218" s="1"/>
      <c r="O218" s="1">
        <v>94</v>
      </c>
      <c r="P218" s="1"/>
      <c r="Q218" s="1">
        <v>-26290.953030109202</v>
      </c>
      <c r="R218" s="1">
        <v>14523</v>
      </c>
      <c r="S218" t="s">
        <v>11</v>
      </c>
    </row>
    <row r="219" spans="1:19" x14ac:dyDescent="0.55000000000000004">
      <c r="A219" t="s">
        <v>15</v>
      </c>
      <c r="B219">
        <v>2022</v>
      </c>
      <c r="C219">
        <v>3591</v>
      </c>
      <c r="D219" s="2">
        <v>0</v>
      </c>
      <c r="E219" s="3">
        <v>3591</v>
      </c>
      <c r="F219" t="s">
        <v>12</v>
      </c>
      <c r="G219" t="s">
        <v>12</v>
      </c>
      <c r="H219" s="1">
        <v>0</v>
      </c>
      <c r="I219" s="1">
        <v>64.302070879374199</v>
      </c>
      <c r="J219" s="1">
        <v>3.0989289648087599</v>
      </c>
      <c r="K219" s="1"/>
      <c r="L219" s="1">
        <v>503</v>
      </c>
      <c r="M219" s="1">
        <v>937</v>
      </c>
      <c r="N219" s="1"/>
      <c r="O219" s="1"/>
      <c r="P219" s="1"/>
      <c r="Q219" s="1">
        <v>-3700.8067230271799</v>
      </c>
      <c r="R219" s="1">
        <v>5098</v>
      </c>
      <c r="S219" t="s">
        <v>11</v>
      </c>
    </row>
    <row r="220" spans="1:19" x14ac:dyDescent="0.55000000000000004">
      <c r="A220" t="s">
        <v>15</v>
      </c>
      <c r="B220">
        <v>2021</v>
      </c>
      <c r="C220">
        <v>2037</v>
      </c>
      <c r="D220" s="2">
        <v>0</v>
      </c>
      <c r="E220" s="3">
        <v>2037</v>
      </c>
      <c r="F220" t="s">
        <v>12</v>
      </c>
      <c r="G220" t="s">
        <v>12</v>
      </c>
      <c r="H220" s="1">
        <v>0</v>
      </c>
      <c r="I220" s="1">
        <v>34.355713156799801</v>
      </c>
      <c r="J220" s="1">
        <v>3.0441089695717598</v>
      </c>
      <c r="K220" s="1"/>
      <c r="L220" s="1">
        <v>226</v>
      </c>
      <c r="M220" s="1"/>
      <c r="N220" s="1"/>
      <c r="O220" s="1"/>
      <c r="P220" s="1"/>
      <c r="Q220" s="1">
        <v>-2130.6773059741299</v>
      </c>
      <c r="R220" s="1">
        <v>2300</v>
      </c>
      <c r="S220" t="s">
        <v>11</v>
      </c>
    </row>
    <row r="221" spans="1:19" x14ac:dyDescent="0.55000000000000004">
      <c r="A221" t="s">
        <v>15</v>
      </c>
      <c r="B221">
        <v>2020</v>
      </c>
      <c r="C221">
        <v>31766</v>
      </c>
      <c r="D221" s="2">
        <v>0</v>
      </c>
      <c r="E221" s="3">
        <v>31766</v>
      </c>
      <c r="F221" t="s">
        <v>12</v>
      </c>
      <c r="G221" t="s">
        <v>12</v>
      </c>
      <c r="H221" s="1">
        <v>25.609710490723099</v>
      </c>
      <c r="I221" s="1">
        <v>260.265759238302</v>
      </c>
      <c r="J221" s="1">
        <v>5.9993495458949901</v>
      </c>
      <c r="K221" s="1"/>
      <c r="L221" s="1">
        <v>3529.5555555555602</v>
      </c>
      <c r="M221" s="1"/>
      <c r="N221" s="1"/>
      <c r="O221" s="1"/>
      <c r="P221" s="1"/>
      <c r="Q221" s="1">
        <v>5873.0994560932804</v>
      </c>
      <c r="R221" s="1">
        <v>35587</v>
      </c>
      <c r="S221" t="s">
        <v>11</v>
      </c>
    </row>
    <row r="222" spans="1:19" x14ac:dyDescent="0.55000000000000004">
      <c r="A222" t="s">
        <v>15</v>
      </c>
      <c r="B222">
        <v>2019</v>
      </c>
      <c r="C222">
        <v>1347</v>
      </c>
      <c r="D222" s="2">
        <v>91</v>
      </c>
      <c r="E222" s="3">
        <v>1438</v>
      </c>
      <c r="F222" t="s">
        <v>12</v>
      </c>
      <c r="G222" t="s">
        <v>12</v>
      </c>
      <c r="H222" s="1">
        <v>0</v>
      </c>
      <c r="I222" s="1">
        <v>29.192786116624799</v>
      </c>
      <c r="J222" s="1">
        <v>7.1915725242685302E-2</v>
      </c>
      <c r="K222" s="1"/>
      <c r="L222" s="1">
        <v>150</v>
      </c>
      <c r="M222" s="1"/>
      <c r="N222" s="1"/>
      <c r="O222" s="1">
        <v>10</v>
      </c>
      <c r="P222" s="1"/>
      <c r="Q222" s="1">
        <v>-5204.4653954331397</v>
      </c>
      <c r="R222" s="1">
        <v>1627</v>
      </c>
      <c r="S222" t="s">
        <v>11</v>
      </c>
    </row>
    <row r="223" spans="1:19" x14ac:dyDescent="0.55000000000000004">
      <c r="A223" t="s">
        <v>15</v>
      </c>
      <c r="B223">
        <v>2018</v>
      </c>
      <c r="C223">
        <v>2341</v>
      </c>
      <c r="D223" s="2">
        <v>0</v>
      </c>
      <c r="E223" s="3">
        <v>2341</v>
      </c>
      <c r="F223" t="s">
        <v>12</v>
      </c>
      <c r="G223" t="s">
        <v>12</v>
      </c>
      <c r="H223" s="1">
        <v>0</v>
      </c>
      <c r="I223" s="1">
        <v>248.18863643663599</v>
      </c>
      <c r="J223" s="1">
        <v>35.0280201568997</v>
      </c>
      <c r="K223" s="1"/>
      <c r="L223" s="1">
        <v>260</v>
      </c>
      <c r="M223" s="1"/>
      <c r="N223" s="1"/>
      <c r="O223" s="1"/>
      <c r="P223" s="1"/>
      <c r="Q223" s="1">
        <v>-2512.8385742150699</v>
      </c>
      <c r="R223" s="1">
        <v>2884</v>
      </c>
      <c r="S223" t="s">
        <v>11</v>
      </c>
    </row>
    <row r="224" spans="1:19" x14ac:dyDescent="0.55000000000000004">
      <c r="A224" t="s">
        <v>15</v>
      </c>
      <c r="B224">
        <v>2017</v>
      </c>
      <c r="C224">
        <v>6746</v>
      </c>
      <c r="D224" s="2">
        <v>0</v>
      </c>
      <c r="E224" s="3">
        <v>6746</v>
      </c>
      <c r="F224" t="s">
        <v>12</v>
      </c>
      <c r="G224" t="s">
        <v>12</v>
      </c>
      <c r="H224" s="1">
        <v>83.1690021565</v>
      </c>
      <c r="I224" s="1">
        <v>109.54043717014299</v>
      </c>
      <c r="J224" s="1">
        <v>10.4105176104371</v>
      </c>
      <c r="K224" s="1"/>
      <c r="L224" s="1">
        <v>958</v>
      </c>
      <c r="M224" s="1">
        <v>1880</v>
      </c>
      <c r="N224" s="1"/>
      <c r="O224" s="1"/>
      <c r="P224" s="1"/>
      <c r="Q224" s="1">
        <v>-7757.1467233678604</v>
      </c>
      <c r="R224" s="1">
        <v>9787</v>
      </c>
      <c r="S224" t="s">
        <v>11</v>
      </c>
    </row>
    <row r="225" spans="1:19" x14ac:dyDescent="0.55000000000000004">
      <c r="A225" t="s">
        <v>15</v>
      </c>
      <c r="B225">
        <v>2016</v>
      </c>
      <c r="C225">
        <v>57928</v>
      </c>
      <c r="D225" s="2">
        <v>0</v>
      </c>
      <c r="E225" s="3">
        <v>57928</v>
      </c>
      <c r="F225" t="s">
        <v>12</v>
      </c>
      <c r="G225" t="s">
        <v>12</v>
      </c>
      <c r="H225" s="1">
        <v>392.71125576970002</v>
      </c>
      <c r="I225" s="1">
        <v>1405.13247401179</v>
      </c>
      <c r="J225" s="1">
        <v>613.14274317709396</v>
      </c>
      <c r="K225" s="1"/>
      <c r="L225" s="1">
        <v>6436</v>
      </c>
      <c r="M225" s="1"/>
      <c r="N225" s="1"/>
      <c r="O225" s="1"/>
      <c r="P225" s="1"/>
      <c r="Q225" s="1">
        <v>-16473.6797818583</v>
      </c>
      <c r="R225" s="1">
        <v>66775</v>
      </c>
      <c r="S225" t="s">
        <v>11</v>
      </c>
    </row>
    <row r="226" spans="1:19" x14ac:dyDescent="0.55000000000000004">
      <c r="A226" t="s">
        <v>15</v>
      </c>
      <c r="B226">
        <v>2015</v>
      </c>
      <c r="C226">
        <v>6589</v>
      </c>
      <c r="D226" s="2">
        <v>121</v>
      </c>
      <c r="E226" s="3">
        <v>6710</v>
      </c>
      <c r="F226" t="s">
        <v>12</v>
      </c>
      <c r="G226" t="s">
        <v>12</v>
      </c>
      <c r="H226" s="1">
        <v>0</v>
      </c>
      <c r="I226" s="1">
        <v>502.68420605658798</v>
      </c>
      <c r="J226" s="1">
        <v>66.889320684511802</v>
      </c>
      <c r="K226" s="1"/>
      <c r="L226" s="1">
        <v>1834</v>
      </c>
      <c r="M226" s="1">
        <v>746</v>
      </c>
      <c r="N226" s="1"/>
      <c r="O226" s="1">
        <v>34</v>
      </c>
      <c r="P226" s="1">
        <v>16</v>
      </c>
      <c r="Q226" s="1">
        <v>-14909.355460032601</v>
      </c>
      <c r="R226" s="1">
        <v>9910</v>
      </c>
      <c r="S226" t="s">
        <v>11</v>
      </c>
    </row>
    <row r="227" spans="1:19" x14ac:dyDescent="0.55000000000000004">
      <c r="A227" t="s">
        <v>15</v>
      </c>
      <c r="B227">
        <v>2014</v>
      </c>
      <c r="C227">
        <v>3470</v>
      </c>
      <c r="D227" s="2">
        <v>0</v>
      </c>
      <c r="E227" s="3">
        <v>3470</v>
      </c>
      <c r="F227" t="s">
        <v>12</v>
      </c>
      <c r="G227" t="s">
        <v>12</v>
      </c>
      <c r="H227" s="1">
        <v>0</v>
      </c>
      <c r="I227" s="1">
        <v>1160.011536812</v>
      </c>
      <c r="J227" s="1">
        <v>553.014021613561</v>
      </c>
      <c r="K227" s="1"/>
      <c r="L227" s="1">
        <v>452</v>
      </c>
      <c r="M227" s="1">
        <v>595</v>
      </c>
      <c r="N227" s="1"/>
      <c r="O227" s="1"/>
      <c r="P227" s="1"/>
      <c r="Q227" s="1">
        <v>-19552.219485128098</v>
      </c>
      <c r="R227" s="1">
        <v>6230</v>
      </c>
      <c r="S227" t="s">
        <v>11</v>
      </c>
    </row>
    <row r="228" spans="1:19" x14ac:dyDescent="0.55000000000000004">
      <c r="A228" t="s">
        <v>15</v>
      </c>
      <c r="B228">
        <v>2013</v>
      </c>
      <c r="C228">
        <v>11705</v>
      </c>
      <c r="D228" s="2">
        <v>0</v>
      </c>
      <c r="E228" s="3">
        <v>11705</v>
      </c>
      <c r="F228" t="s">
        <v>12</v>
      </c>
      <c r="G228" t="s">
        <v>12</v>
      </c>
      <c r="H228" s="1">
        <v>0</v>
      </c>
      <c r="I228" s="1">
        <v>668.95565098119403</v>
      </c>
      <c r="J228" s="1">
        <v>320.78511910061002</v>
      </c>
      <c r="K228" s="1"/>
      <c r="L228" s="1">
        <v>1643</v>
      </c>
      <c r="M228" s="1">
        <v>3081</v>
      </c>
      <c r="N228" s="1"/>
      <c r="O228" s="1"/>
      <c r="P228" s="1"/>
      <c r="Q228" s="1">
        <v>-33077.100703617303</v>
      </c>
      <c r="R228" s="1">
        <v>17419</v>
      </c>
      <c r="S228" t="s">
        <v>11</v>
      </c>
    </row>
    <row r="229" spans="1:19" x14ac:dyDescent="0.55000000000000004">
      <c r="A229" t="s">
        <v>15</v>
      </c>
      <c r="B229">
        <v>2012</v>
      </c>
      <c r="C229">
        <v>126164</v>
      </c>
      <c r="D229" s="2">
        <v>0</v>
      </c>
      <c r="E229" s="3">
        <v>126164</v>
      </c>
      <c r="F229" t="s">
        <v>12</v>
      </c>
      <c r="G229" t="s">
        <v>12</v>
      </c>
      <c r="H229" s="1">
        <v>0</v>
      </c>
      <c r="I229" s="1">
        <v>6392.15864343259</v>
      </c>
      <c r="J229" s="1">
        <v>2144.8823894805701</v>
      </c>
      <c r="K229" s="1"/>
      <c r="L229" s="1">
        <v>77326</v>
      </c>
      <c r="M229" s="1"/>
      <c r="N229" s="1"/>
      <c r="O229" s="1"/>
      <c r="P229" s="1"/>
      <c r="Q229" s="1">
        <v>-79507.175134753503</v>
      </c>
      <c r="R229" s="1">
        <v>212027</v>
      </c>
      <c r="S229" t="s">
        <v>11</v>
      </c>
    </row>
    <row r="230" spans="1:19" x14ac:dyDescent="0.55000000000000004">
      <c r="A230" t="s">
        <v>15</v>
      </c>
      <c r="B230">
        <v>2011</v>
      </c>
      <c r="C230">
        <v>4479</v>
      </c>
      <c r="D230" s="2">
        <v>14</v>
      </c>
      <c r="E230" s="3">
        <v>4493</v>
      </c>
      <c r="F230" t="s">
        <v>12</v>
      </c>
      <c r="G230" t="s">
        <v>12</v>
      </c>
      <c r="H230" s="1">
        <v>0.455700244335</v>
      </c>
      <c r="I230" s="1">
        <v>477.18162857450699</v>
      </c>
      <c r="J230" s="1">
        <v>78.7516297669209</v>
      </c>
      <c r="K230" s="1"/>
      <c r="L230" s="1">
        <v>1493</v>
      </c>
      <c r="M230" s="1"/>
      <c r="N230" s="1"/>
      <c r="O230" s="1">
        <v>5</v>
      </c>
      <c r="P230" s="1"/>
      <c r="Q230" s="1">
        <v>-5369.2866612512198</v>
      </c>
      <c r="R230" s="1">
        <v>6547</v>
      </c>
      <c r="S230" t="s">
        <v>11</v>
      </c>
    </row>
    <row r="231" spans="1:19" x14ac:dyDescent="0.55000000000000004">
      <c r="A231" t="s">
        <v>15</v>
      </c>
      <c r="B231">
        <v>2010</v>
      </c>
      <c r="C231">
        <v>2775</v>
      </c>
      <c r="D231" s="2">
        <v>20</v>
      </c>
      <c r="E231" s="3">
        <v>2795</v>
      </c>
      <c r="F231" t="s">
        <v>12</v>
      </c>
      <c r="G231" t="s">
        <v>12</v>
      </c>
      <c r="H231" s="1">
        <v>0</v>
      </c>
      <c r="I231" s="1">
        <v>815.62718703248595</v>
      </c>
      <c r="J231" s="1"/>
      <c r="K231" s="1"/>
      <c r="L231" s="1"/>
      <c r="M231" s="1"/>
      <c r="N231" s="1"/>
      <c r="O231" s="1"/>
      <c r="P231" s="1"/>
      <c r="Q231" s="1">
        <v>-7944.1690383004097</v>
      </c>
      <c r="R231" s="1">
        <v>3611</v>
      </c>
      <c r="S231" t="s">
        <v>11</v>
      </c>
    </row>
    <row r="232" spans="1:19" x14ac:dyDescent="0.55000000000000004">
      <c r="A232" t="s">
        <v>15</v>
      </c>
      <c r="B232">
        <v>2009</v>
      </c>
      <c r="C232">
        <v>5587</v>
      </c>
      <c r="D232" s="2">
        <v>0</v>
      </c>
      <c r="E232" s="3">
        <v>5587</v>
      </c>
      <c r="F232" t="s">
        <v>12</v>
      </c>
      <c r="G232" t="s">
        <v>12</v>
      </c>
      <c r="H232" s="1">
        <v>9.4174860312726594</v>
      </c>
      <c r="I232" s="1">
        <v>524.13345832848097</v>
      </c>
      <c r="J232" s="1">
        <v>27.240693244081399</v>
      </c>
      <c r="K232" s="1"/>
      <c r="L232" s="1">
        <v>1862</v>
      </c>
      <c r="M232" s="1"/>
      <c r="N232" s="1"/>
      <c r="O232" s="1"/>
      <c r="P232" s="1"/>
      <c r="Q232" s="1">
        <v>-6336.3683852187596</v>
      </c>
      <c r="R232" s="1">
        <v>8010</v>
      </c>
      <c r="S232" t="s">
        <v>11</v>
      </c>
    </row>
    <row r="233" spans="1:19" x14ac:dyDescent="0.55000000000000004">
      <c r="A233" t="s">
        <v>15</v>
      </c>
      <c r="B233">
        <v>2008</v>
      </c>
      <c r="C233">
        <v>67822</v>
      </c>
      <c r="D233" s="2">
        <v>0</v>
      </c>
      <c r="E233" s="3">
        <v>67822</v>
      </c>
      <c r="F233" t="s">
        <v>12</v>
      </c>
      <c r="G233" t="s">
        <v>12</v>
      </c>
      <c r="H233" s="1">
        <v>0</v>
      </c>
      <c r="I233" s="1">
        <v>4021.9883543214301</v>
      </c>
      <c r="J233" s="1">
        <v>954.83397653070006</v>
      </c>
      <c r="K233" s="1"/>
      <c r="L233" s="1"/>
      <c r="M233" s="1"/>
      <c r="N233" s="1"/>
      <c r="O233" s="1"/>
      <c r="P233" s="1"/>
      <c r="Q233" s="1">
        <v>-15954.364951203401</v>
      </c>
      <c r="R233" s="1">
        <v>88753</v>
      </c>
      <c r="S233" t="s">
        <v>9</v>
      </c>
    </row>
    <row r="234" spans="1:19" x14ac:dyDescent="0.55000000000000004">
      <c r="A234" t="s">
        <v>15</v>
      </c>
      <c r="B234">
        <v>2007</v>
      </c>
      <c r="C234">
        <v>1965</v>
      </c>
      <c r="D234" s="2">
        <v>22</v>
      </c>
      <c r="E234" s="3">
        <v>1987</v>
      </c>
      <c r="F234" t="s">
        <v>12</v>
      </c>
      <c r="G234" t="s">
        <v>12</v>
      </c>
      <c r="H234" s="1">
        <v>0</v>
      </c>
      <c r="I234" s="1">
        <v>47.457905715929002</v>
      </c>
      <c r="J234" s="1"/>
      <c r="K234" s="1"/>
      <c r="L234" s="1"/>
      <c r="M234" s="1"/>
      <c r="N234" s="1"/>
      <c r="O234" s="1"/>
      <c r="P234" s="1"/>
      <c r="Q234" s="1">
        <v>673.48000000829995</v>
      </c>
      <c r="R234" s="1">
        <v>2034</v>
      </c>
      <c r="S234" t="s">
        <v>9</v>
      </c>
    </row>
    <row r="235" spans="1:19" x14ac:dyDescent="0.55000000000000004">
      <c r="A235" t="s">
        <v>15</v>
      </c>
      <c r="B235">
        <v>2006</v>
      </c>
      <c r="C235">
        <v>1097</v>
      </c>
      <c r="D235" s="2">
        <v>0</v>
      </c>
      <c r="E235" s="3">
        <v>1097</v>
      </c>
      <c r="F235" t="s">
        <v>12</v>
      </c>
      <c r="G235" t="s">
        <v>12</v>
      </c>
      <c r="H235" s="1">
        <v>1.7758965659999999</v>
      </c>
      <c r="I235" s="1">
        <v>397.37112195261301</v>
      </c>
      <c r="J235" s="1">
        <v>80.708996049111803</v>
      </c>
      <c r="K235" s="1"/>
      <c r="L235" s="1"/>
      <c r="M235" s="1"/>
      <c r="N235" s="1"/>
      <c r="O235" s="1"/>
      <c r="P235" s="1"/>
      <c r="Q235" s="1">
        <v>-3788.4460048604801</v>
      </c>
      <c r="R235" s="1">
        <v>5365</v>
      </c>
      <c r="S235" t="s">
        <v>9</v>
      </c>
    </row>
    <row r="236" spans="1:19" x14ac:dyDescent="0.55000000000000004">
      <c r="A236" t="s">
        <v>15</v>
      </c>
      <c r="B236">
        <v>2005</v>
      </c>
      <c r="C236">
        <v>3407</v>
      </c>
      <c r="D236" s="2">
        <v>0</v>
      </c>
      <c r="E236" s="3">
        <v>3407</v>
      </c>
      <c r="F236" t="s">
        <v>12</v>
      </c>
      <c r="G236" t="s">
        <v>12</v>
      </c>
      <c r="H236" s="1">
        <v>0</v>
      </c>
      <c r="I236" s="1">
        <v>268.62662350847899</v>
      </c>
      <c r="J236" s="1">
        <v>21.623533386848699</v>
      </c>
      <c r="K236" s="1"/>
      <c r="L236" s="1"/>
      <c r="M236" s="1"/>
      <c r="N236" s="1"/>
      <c r="O236" s="1"/>
      <c r="P236" s="1"/>
      <c r="Q236" s="1">
        <v>-1771.21718810159</v>
      </c>
      <c r="R236" s="1">
        <v>5468</v>
      </c>
      <c r="S236" t="s">
        <v>9</v>
      </c>
    </row>
    <row r="237" spans="1:19" x14ac:dyDescent="0.55000000000000004">
      <c r="A237" t="s">
        <v>15</v>
      </c>
      <c r="B237">
        <v>2004</v>
      </c>
      <c r="C237">
        <v>40329</v>
      </c>
      <c r="D237" s="2">
        <v>0</v>
      </c>
      <c r="E237" s="3">
        <v>40329</v>
      </c>
      <c r="F237" t="s">
        <v>12</v>
      </c>
      <c r="G237" t="s">
        <v>12</v>
      </c>
      <c r="H237" s="1">
        <v>214.328484215028</v>
      </c>
      <c r="I237" s="1">
        <v>17841.7711406858</v>
      </c>
      <c r="J237" s="1">
        <v>2246.2114572451401</v>
      </c>
      <c r="K237" s="1"/>
      <c r="L237" s="1"/>
      <c r="M237" s="1"/>
      <c r="N237" s="1"/>
      <c r="O237" s="1"/>
      <c r="P237" s="1"/>
      <c r="Q237" s="1">
        <v>-64567.916452840698</v>
      </c>
      <c r="R237" s="1">
        <v>125199</v>
      </c>
      <c r="S237" t="s">
        <v>9</v>
      </c>
    </row>
    <row r="238" spans="1:19" x14ac:dyDescent="0.55000000000000004">
      <c r="A238" t="s">
        <v>15</v>
      </c>
      <c r="B238">
        <v>2003</v>
      </c>
      <c r="C238">
        <v>4956</v>
      </c>
      <c r="D238" s="2">
        <v>41</v>
      </c>
      <c r="E238" s="3">
        <v>4997</v>
      </c>
      <c r="F238" t="s">
        <v>12</v>
      </c>
      <c r="G238" t="s">
        <v>12</v>
      </c>
      <c r="H238" s="1">
        <v>251.05545995112101</v>
      </c>
      <c r="I238" s="1">
        <v>1141.83190899685</v>
      </c>
      <c r="J238" s="1">
        <v>295.16924545773998</v>
      </c>
      <c r="K238" s="1"/>
      <c r="L238" s="1"/>
      <c r="M238" s="1"/>
      <c r="N238" s="1"/>
      <c r="O238" s="1"/>
      <c r="P238" s="1"/>
      <c r="Q238" s="1">
        <v>-11653.2784787686</v>
      </c>
      <c r="R238" s="1">
        <v>18338</v>
      </c>
      <c r="S238" t="s">
        <v>9</v>
      </c>
    </row>
    <row r="239" spans="1:19" x14ac:dyDescent="0.55000000000000004">
      <c r="A239" t="s">
        <v>15</v>
      </c>
      <c r="B239">
        <v>2002</v>
      </c>
      <c r="C239">
        <v>3841</v>
      </c>
      <c r="D239" s="2">
        <v>26</v>
      </c>
      <c r="E239" s="3">
        <v>3867</v>
      </c>
      <c r="F239" t="s">
        <v>12</v>
      </c>
      <c r="G239" t="s">
        <v>12</v>
      </c>
      <c r="H239" s="1">
        <v>6.5035333683420495E-4</v>
      </c>
      <c r="I239" s="1">
        <v>295.27441752683097</v>
      </c>
      <c r="J239" s="1">
        <v>107.574765761531</v>
      </c>
      <c r="K239" s="1"/>
      <c r="L239" s="1"/>
      <c r="M239" s="1"/>
      <c r="N239" s="1"/>
      <c r="O239" s="1"/>
      <c r="P239" s="1"/>
      <c r="Q239" s="1">
        <v>-5140.2810550685599</v>
      </c>
      <c r="R239" s="1">
        <v>9410</v>
      </c>
      <c r="S239" t="s">
        <v>9</v>
      </c>
    </row>
    <row r="240" spans="1:19" x14ac:dyDescent="0.55000000000000004">
      <c r="A240" t="s">
        <v>15</v>
      </c>
      <c r="B240">
        <v>2001</v>
      </c>
      <c r="C240">
        <v>30272</v>
      </c>
      <c r="D240" s="2">
        <v>239</v>
      </c>
      <c r="E240" s="3">
        <v>30511</v>
      </c>
      <c r="F240" t="s">
        <v>12</v>
      </c>
      <c r="G240" t="s">
        <v>12</v>
      </c>
      <c r="H240" s="1">
        <v>1.49428264097333E-3</v>
      </c>
      <c r="I240" s="1">
        <v>1075.0220836072499</v>
      </c>
      <c r="J240" s="1">
        <v>318.36548495456998</v>
      </c>
      <c r="K240" s="1"/>
      <c r="L240" s="1"/>
      <c r="M240" s="1"/>
      <c r="N240" s="1"/>
      <c r="O240" s="1"/>
      <c r="P240" s="1"/>
      <c r="Q240" s="1">
        <v>-893.03827315835304</v>
      </c>
      <c r="R240" s="1">
        <v>32797</v>
      </c>
      <c r="S240" t="s">
        <v>9</v>
      </c>
    </row>
    <row r="241" spans="1:19" x14ac:dyDescent="0.55000000000000004">
      <c r="A241" t="s">
        <v>15</v>
      </c>
      <c r="B241">
        <v>2000</v>
      </c>
      <c r="C241">
        <v>8160</v>
      </c>
      <c r="D241" s="2">
        <v>0</v>
      </c>
      <c r="E241" s="3">
        <v>8160</v>
      </c>
      <c r="F241" t="s">
        <v>12</v>
      </c>
      <c r="G241" t="s">
        <v>12</v>
      </c>
      <c r="H241" s="1">
        <v>4.5314192252738E-2</v>
      </c>
      <c r="I241" s="1">
        <v>1252.27024284247</v>
      </c>
      <c r="J241" s="1">
        <v>1220.47091669205</v>
      </c>
      <c r="K241" s="1"/>
      <c r="L241" s="1"/>
      <c r="M241" s="1"/>
      <c r="N241" s="1"/>
      <c r="O241" s="1"/>
      <c r="P241" s="1"/>
      <c r="Q241" s="1">
        <v>-2272.9240289639301</v>
      </c>
      <c r="R241" s="1">
        <v>12906</v>
      </c>
      <c r="S241" t="s">
        <v>9</v>
      </c>
    </row>
    <row r="242" spans="1:19" x14ac:dyDescent="0.55000000000000004">
      <c r="A242" t="s">
        <v>15</v>
      </c>
      <c r="B242">
        <v>1999</v>
      </c>
      <c r="C242">
        <v>424</v>
      </c>
      <c r="D242" s="2">
        <v>4</v>
      </c>
      <c r="E242" s="3">
        <v>428</v>
      </c>
      <c r="F242" t="s">
        <v>12</v>
      </c>
      <c r="G242" t="s">
        <v>12</v>
      </c>
      <c r="H242" s="1">
        <v>1.4819963852905401E-11</v>
      </c>
      <c r="I242" s="1">
        <v>180.19294969123399</v>
      </c>
      <c r="J242" s="1">
        <v>3.2326071242111198</v>
      </c>
      <c r="K242" s="1"/>
      <c r="L242" s="1"/>
      <c r="M242" s="1"/>
      <c r="N242" s="1"/>
      <c r="O242" s="1"/>
      <c r="P242" s="1"/>
      <c r="Q242" s="1">
        <v>-3348.85278804467</v>
      </c>
      <c r="R242" s="1">
        <v>3960</v>
      </c>
      <c r="S242" t="s">
        <v>9</v>
      </c>
    </row>
    <row r="243" spans="1:19" x14ac:dyDescent="0.55000000000000004">
      <c r="A243" t="s">
        <v>15</v>
      </c>
      <c r="B243">
        <v>1998</v>
      </c>
      <c r="C243">
        <v>1068</v>
      </c>
      <c r="D243" s="2">
        <v>4</v>
      </c>
      <c r="E243" s="3">
        <v>1072</v>
      </c>
      <c r="F243" t="s">
        <v>12</v>
      </c>
      <c r="G243" t="s">
        <v>12</v>
      </c>
      <c r="H243" s="1">
        <v>2.59339971340312E-2</v>
      </c>
      <c r="I243" s="1">
        <v>407.336132613811</v>
      </c>
      <c r="J243" s="1">
        <v>74.987147621306804</v>
      </c>
      <c r="K243" s="1"/>
      <c r="L243" s="1"/>
      <c r="M243" s="1"/>
      <c r="N243" s="1"/>
      <c r="O243" s="1"/>
      <c r="P243" s="1"/>
      <c r="Q243" s="1">
        <v>-6688.4373144646097</v>
      </c>
      <c r="R243" s="1">
        <v>8243</v>
      </c>
      <c r="S243" t="s">
        <v>9</v>
      </c>
    </row>
    <row r="244" spans="1:19" x14ac:dyDescent="0.55000000000000004">
      <c r="A244" t="s">
        <v>15</v>
      </c>
      <c r="B244">
        <v>1997</v>
      </c>
      <c r="C244">
        <v>773</v>
      </c>
      <c r="D244" s="2">
        <v>7</v>
      </c>
      <c r="E244" s="3">
        <v>780</v>
      </c>
      <c r="F244" t="s">
        <v>12</v>
      </c>
      <c r="G244" t="s">
        <v>12</v>
      </c>
      <c r="H244" s="1">
        <v>56.954479285000197</v>
      </c>
      <c r="I244" s="1">
        <v>1646.2348091763599</v>
      </c>
      <c r="J244" s="1">
        <v>58.115717127927901</v>
      </c>
      <c r="K244" s="1"/>
      <c r="L244" s="1"/>
      <c r="M244" s="1"/>
      <c r="N244" s="1"/>
      <c r="O244" s="1"/>
      <c r="P244" s="1"/>
      <c r="Q244" s="1">
        <v>-2516.7693672289302</v>
      </c>
      <c r="R244" s="1">
        <v>5058</v>
      </c>
      <c r="S244" t="s">
        <v>9</v>
      </c>
    </row>
    <row r="245" spans="1:19" x14ac:dyDescent="0.55000000000000004">
      <c r="A245" t="s">
        <v>15</v>
      </c>
      <c r="B245">
        <v>1996</v>
      </c>
      <c r="C245">
        <v>4228</v>
      </c>
      <c r="D245" s="2">
        <v>12</v>
      </c>
      <c r="E245" s="3">
        <v>4240</v>
      </c>
      <c r="F245" t="s">
        <v>12</v>
      </c>
      <c r="G245" t="s">
        <v>12</v>
      </c>
      <c r="H245" s="1">
        <v>6.6008386048810102E-13</v>
      </c>
      <c r="I245" s="1">
        <v>262.79912492246802</v>
      </c>
      <c r="J245" s="1">
        <v>1.1449369482418901</v>
      </c>
      <c r="K245" s="1"/>
      <c r="L245" s="1"/>
      <c r="M245" s="1"/>
      <c r="N245" s="1"/>
      <c r="O245" s="1"/>
      <c r="P245" s="1"/>
      <c r="Q245" s="1">
        <v>-2110.6223331030501</v>
      </c>
      <c r="R245" s="1">
        <v>6615</v>
      </c>
      <c r="S245" t="s">
        <v>9</v>
      </c>
    </row>
    <row r="246" spans="1:19" x14ac:dyDescent="0.55000000000000004">
      <c r="A246" t="s">
        <v>15</v>
      </c>
      <c r="B246">
        <v>1995</v>
      </c>
      <c r="C246">
        <v>968</v>
      </c>
      <c r="D246" s="2">
        <v>20</v>
      </c>
      <c r="E246" s="3">
        <v>988</v>
      </c>
      <c r="F246" t="s">
        <v>12</v>
      </c>
      <c r="G246" t="s">
        <v>12</v>
      </c>
      <c r="H246" s="1">
        <v>8.4850297339541101E-16</v>
      </c>
      <c r="I246" s="1">
        <v>197.91405401503201</v>
      </c>
      <c r="J246" s="1">
        <v>107.35110271505199</v>
      </c>
      <c r="K246" s="1"/>
      <c r="L246" s="1"/>
      <c r="M246" s="1"/>
      <c r="N246" s="1"/>
      <c r="O246" s="1"/>
      <c r="P246" s="1"/>
      <c r="Q246" s="1">
        <v>-516.28715011966301</v>
      </c>
      <c r="R246" s="1">
        <v>1810</v>
      </c>
      <c r="S246" t="s">
        <v>9</v>
      </c>
    </row>
    <row r="247" spans="1:19" x14ac:dyDescent="0.55000000000000004">
      <c r="A247" t="s">
        <v>15</v>
      </c>
      <c r="B247">
        <v>1994</v>
      </c>
      <c r="C247">
        <v>7966</v>
      </c>
      <c r="D247" s="2">
        <v>15</v>
      </c>
      <c r="E247" s="3">
        <v>7981</v>
      </c>
      <c r="F247" t="s">
        <v>12</v>
      </c>
      <c r="G247" t="s">
        <v>12</v>
      </c>
      <c r="H247" s="1">
        <v>295.14035265619498</v>
      </c>
      <c r="I247" s="1">
        <v>14467.2994943128</v>
      </c>
      <c r="J247" s="1">
        <v>369.88602785985597</v>
      </c>
      <c r="K247" s="1"/>
      <c r="L247" s="1"/>
      <c r="M247" s="1"/>
      <c r="N247" s="1"/>
      <c r="O247" s="1"/>
      <c r="P247" s="1"/>
      <c r="Q247" s="1">
        <v>525.17797872072401</v>
      </c>
      <c r="R247" s="1">
        <v>23113</v>
      </c>
      <c r="S247" t="s">
        <v>9</v>
      </c>
    </row>
    <row r="248" spans="1:19" x14ac:dyDescent="0.55000000000000004">
      <c r="A248" t="s">
        <v>15</v>
      </c>
      <c r="B248">
        <v>1993</v>
      </c>
      <c r="C248">
        <v>500</v>
      </c>
      <c r="D248" s="2">
        <v>10</v>
      </c>
      <c r="E248" s="3">
        <v>510</v>
      </c>
      <c r="F248" t="s">
        <v>12</v>
      </c>
      <c r="G248" t="s">
        <v>12</v>
      </c>
      <c r="H248" s="1">
        <v>8.0016281916577991</v>
      </c>
      <c r="I248" s="1">
        <v>1062.47468728693</v>
      </c>
      <c r="J248" s="1">
        <v>2.8662420382165599</v>
      </c>
      <c r="K248" s="1"/>
      <c r="L248" s="1"/>
      <c r="M248" s="1"/>
      <c r="N248" s="1"/>
      <c r="O248" s="1"/>
      <c r="P248" s="1"/>
      <c r="Q248" s="1">
        <v>-408.496764695016</v>
      </c>
      <c r="R248" s="1">
        <v>1992</v>
      </c>
      <c r="S248" t="s">
        <v>9</v>
      </c>
    </row>
    <row r="249" spans="1:19" x14ac:dyDescent="0.55000000000000004">
      <c r="A249" t="s">
        <v>15</v>
      </c>
      <c r="B249">
        <v>1992</v>
      </c>
      <c r="C249">
        <v>3888</v>
      </c>
      <c r="D249" s="2">
        <v>35</v>
      </c>
      <c r="E249" s="3">
        <v>3923</v>
      </c>
      <c r="F249" t="s">
        <v>12</v>
      </c>
      <c r="G249" t="s">
        <v>12</v>
      </c>
      <c r="H249" s="1">
        <v>2.7111234231974701</v>
      </c>
      <c r="I249" s="1">
        <v>4556.6301782995997</v>
      </c>
      <c r="J249" s="1"/>
      <c r="K249" s="1"/>
      <c r="L249" s="1"/>
      <c r="M249" s="1"/>
      <c r="N249" s="1"/>
      <c r="O249" s="1"/>
      <c r="P249" s="1"/>
      <c r="Q249" s="1">
        <v>756.36931705695804</v>
      </c>
      <c r="R249" s="1">
        <v>8482</v>
      </c>
      <c r="S249" t="s">
        <v>9</v>
      </c>
    </row>
    <row r="250" spans="1:19" x14ac:dyDescent="0.55000000000000004">
      <c r="A250" t="s">
        <v>15</v>
      </c>
      <c r="B250">
        <v>1991</v>
      </c>
      <c r="C250">
        <v>1050</v>
      </c>
      <c r="D250" s="2">
        <v>0</v>
      </c>
      <c r="E250" s="3">
        <v>1050</v>
      </c>
      <c r="F250" t="s">
        <v>12</v>
      </c>
      <c r="G250" t="s">
        <v>12</v>
      </c>
      <c r="H250" s="1">
        <v>0</v>
      </c>
      <c r="I250" s="1">
        <v>1544.48596088976</v>
      </c>
      <c r="J250" s="1">
        <v>99.498327759197295</v>
      </c>
      <c r="K250" s="1"/>
      <c r="L250" s="1"/>
      <c r="M250" s="1"/>
      <c r="N250" s="1"/>
      <c r="O250" s="1"/>
      <c r="P250" s="1"/>
      <c r="Q250" s="1">
        <v>-1012.74075005123</v>
      </c>
      <c r="R250" s="1">
        <v>3707</v>
      </c>
      <c r="S250" t="s">
        <v>9</v>
      </c>
    </row>
    <row r="251" spans="1:19" x14ac:dyDescent="0.55000000000000004">
      <c r="A251" t="s">
        <v>15</v>
      </c>
      <c r="B251">
        <v>1990</v>
      </c>
      <c r="C251">
        <v>2230</v>
      </c>
      <c r="D251" s="2">
        <v>0</v>
      </c>
      <c r="E251" s="3">
        <v>2230</v>
      </c>
      <c r="F251" t="s">
        <v>12</v>
      </c>
      <c r="G251" t="s">
        <v>12</v>
      </c>
      <c r="H251" s="1">
        <v>10.0652171277483</v>
      </c>
      <c r="I251" s="1">
        <v>3358.3841826288699</v>
      </c>
      <c r="J251" s="1">
        <v>35.791408894595499</v>
      </c>
      <c r="K251" s="1"/>
      <c r="L251" s="1"/>
      <c r="M251" s="1"/>
      <c r="N251" s="1"/>
      <c r="O251" s="1"/>
      <c r="P251" s="1"/>
      <c r="Q251" s="1">
        <v>204.17258339944101</v>
      </c>
      <c r="R251" s="1">
        <v>5634</v>
      </c>
      <c r="S251" t="s">
        <v>9</v>
      </c>
    </row>
    <row r="252" spans="1:19" x14ac:dyDescent="0.55000000000000004">
      <c r="A252" t="s">
        <v>15</v>
      </c>
      <c r="B252">
        <v>1989</v>
      </c>
      <c r="C252">
        <v>89</v>
      </c>
      <c r="D252" s="2">
        <v>11</v>
      </c>
      <c r="E252" s="3">
        <v>100</v>
      </c>
      <c r="F252" t="s">
        <v>12</v>
      </c>
      <c r="G252" t="s">
        <v>12</v>
      </c>
      <c r="H252" s="1">
        <v>0.72660553864085597</v>
      </c>
      <c r="I252" s="1">
        <v>350.15026355540198</v>
      </c>
      <c r="J252" s="1">
        <v>1.9905764470819799E-2</v>
      </c>
      <c r="K252" s="1"/>
      <c r="L252" s="1"/>
      <c r="M252" s="1"/>
      <c r="N252" s="1"/>
      <c r="O252" s="1"/>
      <c r="P252" s="1"/>
      <c r="Q252" s="1">
        <v>15.1490927449937</v>
      </c>
      <c r="R252" s="1">
        <v>451</v>
      </c>
      <c r="S252" t="s">
        <v>9</v>
      </c>
    </row>
    <row r="253" spans="1:19" x14ac:dyDescent="0.55000000000000004">
      <c r="A253" t="s">
        <v>15</v>
      </c>
      <c r="B253">
        <v>1988</v>
      </c>
      <c r="C253">
        <v>6828</v>
      </c>
      <c r="D253" s="2">
        <v>47</v>
      </c>
      <c r="E253" s="3">
        <v>6875</v>
      </c>
      <c r="F253" t="s">
        <v>12</v>
      </c>
      <c r="G253" t="s">
        <v>12</v>
      </c>
      <c r="H253" s="1">
        <v>0</v>
      </c>
      <c r="I253" s="1">
        <v>5113.9862558356699</v>
      </c>
      <c r="J253" s="1"/>
      <c r="K253" s="1"/>
      <c r="L253" s="1"/>
      <c r="M253" s="1"/>
      <c r="N253" s="1"/>
      <c r="O253" s="1"/>
      <c r="P253" s="1"/>
      <c r="Q253" s="1">
        <v>1396.4032970317101</v>
      </c>
      <c r="R253" s="1">
        <v>11989</v>
      </c>
      <c r="S253" t="s">
        <v>9</v>
      </c>
    </row>
    <row r="254" spans="1:19" x14ac:dyDescent="0.55000000000000004">
      <c r="A254" t="s">
        <v>15</v>
      </c>
      <c r="B254">
        <v>1987</v>
      </c>
      <c r="C254">
        <v>1716</v>
      </c>
      <c r="D254" s="2">
        <v>0</v>
      </c>
      <c r="E254" s="3">
        <v>1716</v>
      </c>
      <c r="F254" t="s">
        <v>12</v>
      </c>
      <c r="G254" t="s">
        <v>12</v>
      </c>
      <c r="H254" s="1">
        <v>1.9940158883674399</v>
      </c>
      <c r="I254" s="1">
        <v>5145.5869510226003</v>
      </c>
      <c r="J254" s="1"/>
      <c r="K254" s="1"/>
      <c r="L254" s="1"/>
      <c r="M254" s="1"/>
      <c r="N254" s="1"/>
      <c r="O254" s="1"/>
      <c r="P254" s="1"/>
      <c r="Q254" s="1">
        <v>-69.451795082061196</v>
      </c>
      <c r="R254" s="1">
        <v>6933</v>
      </c>
      <c r="S254" t="s">
        <v>9</v>
      </c>
    </row>
    <row r="255" spans="1:19" x14ac:dyDescent="0.55000000000000004">
      <c r="A255" t="s">
        <v>15</v>
      </c>
      <c r="B255">
        <v>1986</v>
      </c>
      <c r="C255">
        <v>1164</v>
      </c>
      <c r="D255" s="2">
        <v>0</v>
      </c>
      <c r="E255" s="3">
        <v>1164</v>
      </c>
      <c r="F255" t="s">
        <v>12</v>
      </c>
      <c r="G255" t="s">
        <v>12</v>
      </c>
      <c r="H255" s="1">
        <v>0</v>
      </c>
      <c r="I255" s="1">
        <v>230.48147420703299</v>
      </c>
      <c r="J255" s="1"/>
      <c r="K255" s="1"/>
      <c r="L255" s="1"/>
      <c r="M255" s="1"/>
      <c r="N255" s="1"/>
      <c r="O255" s="1"/>
      <c r="P255" s="1"/>
      <c r="Q255" s="1">
        <v>450.81231677216698</v>
      </c>
      <c r="R255" s="1">
        <v>1394</v>
      </c>
      <c r="S255" t="s">
        <v>9</v>
      </c>
    </row>
    <row r="256" spans="1:19" x14ac:dyDescent="0.55000000000000004">
      <c r="A256" t="s">
        <v>15</v>
      </c>
      <c r="B256">
        <v>1985</v>
      </c>
      <c r="C256">
        <v>20</v>
      </c>
      <c r="D256" s="2">
        <v>0</v>
      </c>
      <c r="E256" s="3">
        <v>20</v>
      </c>
      <c r="F256" t="s">
        <v>12</v>
      </c>
      <c r="G256" t="s">
        <v>12</v>
      </c>
      <c r="H256" s="1">
        <v>0</v>
      </c>
      <c r="I256" s="1">
        <v>146.749981836486</v>
      </c>
      <c r="J256" s="1">
        <v>4.3416550235531703</v>
      </c>
      <c r="K256" s="1"/>
      <c r="L256" s="1"/>
      <c r="M256" s="1"/>
      <c r="N256" s="1"/>
      <c r="O256" s="1"/>
      <c r="P256" s="1"/>
      <c r="Q256" s="1">
        <v>-3.5440479067809099</v>
      </c>
      <c r="R256" s="1">
        <v>175</v>
      </c>
      <c r="S256" t="s">
        <v>9</v>
      </c>
    </row>
    <row r="257" spans="1:19" x14ac:dyDescent="0.55000000000000004">
      <c r="A257" t="s">
        <v>15</v>
      </c>
      <c r="B257">
        <v>1984</v>
      </c>
      <c r="C257">
        <v>180</v>
      </c>
      <c r="D257" s="2">
        <v>0</v>
      </c>
      <c r="E257" s="3">
        <v>180</v>
      </c>
      <c r="F257" t="s">
        <v>12</v>
      </c>
      <c r="G257" t="s">
        <v>12</v>
      </c>
      <c r="H257" s="1">
        <v>0</v>
      </c>
      <c r="I257" s="1">
        <v>371.62599057465599</v>
      </c>
      <c r="J257" s="1">
        <v>74.256990310693595</v>
      </c>
      <c r="K257" s="1"/>
      <c r="L257" s="1"/>
      <c r="M257" s="1"/>
      <c r="N257" s="1"/>
      <c r="O257" s="1"/>
      <c r="P257" s="1"/>
      <c r="Q257" s="1">
        <v>88.432689123181405</v>
      </c>
      <c r="R257" s="1">
        <v>626</v>
      </c>
      <c r="S257" t="s">
        <v>9</v>
      </c>
    </row>
    <row r="258" spans="1:19" x14ac:dyDescent="0.55000000000000004">
      <c r="A258" t="s">
        <v>15</v>
      </c>
      <c r="B258">
        <v>1983</v>
      </c>
      <c r="C258">
        <v>270</v>
      </c>
      <c r="D258" s="2">
        <v>0</v>
      </c>
      <c r="E258" s="3">
        <v>270</v>
      </c>
      <c r="F258" t="s">
        <v>12</v>
      </c>
      <c r="G258" t="s">
        <v>12</v>
      </c>
      <c r="H258" s="1">
        <v>7.59296840756683</v>
      </c>
      <c r="I258" s="1">
        <v>538.89616180869098</v>
      </c>
      <c r="J258" s="1">
        <v>70.532079969499804</v>
      </c>
      <c r="K258" s="1"/>
      <c r="L258" s="1"/>
      <c r="M258" s="1"/>
      <c r="N258" s="1"/>
      <c r="O258" s="1"/>
      <c r="P258" s="1"/>
      <c r="Q258" s="1">
        <v>-17.275791093032499</v>
      </c>
      <c r="R258" s="1">
        <v>904</v>
      </c>
      <c r="S258" t="s">
        <v>9</v>
      </c>
    </row>
    <row r="259" spans="1:19" x14ac:dyDescent="0.55000000000000004">
      <c r="A259" t="s">
        <v>15</v>
      </c>
      <c r="B259">
        <v>1982</v>
      </c>
      <c r="C259">
        <v>3980</v>
      </c>
      <c r="D259" s="2">
        <v>20</v>
      </c>
      <c r="E259" s="3">
        <v>4000</v>
      </c>
      <c r="F259" t="s">
        <v>12</v>
      </c>
      <c r="G259" t="s">
        <v>12</v>
      </c>
      <c r="H259" s="1"/>
      <c r="I259" s="1">
        <v>13976.712450861</v>
      </c>
      <c r="J259" s="1">
        <v>1254.7454005903901</v>
      </c>
      <c r="K259" s="1"/>
      <c r="L259" s="1"/>
      <c r="M259" s="1"/>
      <c r="N259" s="1"/>
      <c r="O259" s="1"/>
      <c r="P259" s="1"/>
      <c r="Q259" s="1">
        <v>-604.55007638036602</v>
      </c>
      <c r="R259" s="1">
        <v>19836</v>
      </c>
      <c r="S259" t="s">
        <v>9</v>
      </c>
    </row>
    <row r="260" spans="1:19" x14ac:dyDescent="0.55000000000000004">
      <c r="A260" t="s">
        <v>15</v>
      </c>
      <c r="B260">
        <v>1981</v>
      </c>
      <c r="C260">
        <v>33</v>
      </c>
      <c r="D260" s="2">
        <v>34</v>
      </c>
      <c r="E260" s="3">
        <v>67</v>
      </c>
      <c r="F260" t="s">
        <v>12</v>
      </c>
      <c r="G260" t="s">
        <v>12</v>
      </c>
      <c r="H260" s="1"/>
      <c r="I260" s="1">
        <v>55.297824667560398</v>
      </c>
      <c r="J260" s="1">
        <v>3.6359298352907001</v>
      </c>
      <c r="K260" s="1"/>
      <c r="L260" s="1"/>
      <c r="M260" s="1"/>
      <c r="N260" s="1"/>
      <c r="O260" s="1"/>
      <c r="P260" s="1"/>
      <c r="Q260" s="1">
        <v>70.635929835290696</v>
      </c>
      <c r="R260" s="1">
        <v>126</v>
      </c>
      <c r="S260" t="s">
        <v>9</v>
      </c>
    </row>
    <row r="261" spans="1:19" x14ac:dyDescent="0.55000000000000004">
      <c r="A261" t="s">
        <v>15</v>
      </c>
      <c r="B261">
        <v>1980</v>
      </c>
      <c r="C261">
        <v>276</v>
      </c>
      <c r="D261" s="2">
        <v>0</v>
      </c>
      <c r="E261" s="3">
        <v>276</v>
      </c>
      <c r="F261" t="s">
        <v>12</v>
      </c>
      <c r="G261" t="s">
        <v>12</v>
      </c>
      <c r="H261" s="1"/>
      <c r="I261" s="1">
        <v>355.35609838812701</v>
      </c>
      <c r="J261" s="1">
        <v>55.3700571843844</v>
      </c>
      <c r="K261" s="1"/>
      <c r="L261" s="1"/>
      <c r="M261" s="1"/>
      <c r="N261" s="1"/>
      <c r="O261" s="1"/>
      <c r="P261" s="1"/>
      <c r="Q261" s="1">
        <v>331.370057184384</v>
      </c>
      <c r="R261" s="1">
        <v>687</v>
      </c>
      <c r="S261" t="s">
        <v>9</v>
      </c>
    </row>
    <row r="262" spans="1:19" x14ac:dyDescent="0.55000000000000004">
      <c r="A262" t="s">
        <v>15</v>
      </c>
      <c r="B262">
        <v>1979</v>
      </c>
      <c r="C262">
        <v>0</v>
      </c>
      <c r="D262" s="2">
        <v>0</v>
      </c>
      <c r="E262" s="3">
        <v>0</v>
      </c>
      <c r="F262" t="s">
        <v>12</v>
      </c>
      <c r="G262" t="s">
        <v>12</v>
      </c>
      <c r="H262" s="1"/>
      <c r="I262" s="1"/>
      <c r="J262" s="1"/>
      <c r="K262" s="1"/>
      <c r="L262" s="1"/>
      <c r="M262" s="1"/>
      <c r="N262" s="1"/>
      <c r="O262" s="1"/>
      <c r="P262" s="1"/>
      <c r="Q262" s="1">
        <v>0</v>
      </c>
      <c r="R262" s="1">
        <v>0</v>
      </c>
      <c r="S262" t="s">
        <v>9</v>
      </c>
    </row>
    <row r="263" spans="1:19" x14ac:dyDescent="0.55000000000000004">
      <c r="A263" t="s">
        <v>15</v>
      </c>
      <c r="B263">
        <v>1978</v>
      </c>
      <c r="C263">
        <v>1539</v>
      </c>
      <c r="D263" s="2">
        <v>31</v>
      </c>
      <c r="E263" s="3">
        <v>1570</v>
      </c>
      <c r="F263" t="s">
        <v>12</v>
      </c>
      <c r="G263" t="s">
        <v>12</v>
      </c>
      <c r="H263" s="1"/>
      <c r="I263" s="1">
        <v>5506.2542175151602</v>
      </c>
      <c r="J263" s="1">
        <v>270.35340573740899</v>
      </c>
      <c r="K263" s="1"/>
      <c r="L263" s="1"/>
      <c r="M263" s="1"/>
      <c r="N263" s="1"/>
      <c r="O263" s="1"/>
      <c r="P263" s="1"/>
      <c r="Q263" s="1">
        <v>1840.35340573741</v>
      </c>
      <c r="R263" s="1">
        <v>7347</v>
      </c>
      <c r="S263" t="s">
        <v>9</v>
      </c>
    </row>
    <row r="264" spans="1:19" x14ac:dyDescent="0.55000000000000004">
      <c r="A264" t="s">
        <v>15</v>
      </c>
      <c r="B264">
        <v>1977</v>
      </c>
      <c r="C264">
        <v>0</v>
      </c>
      <c r="D264" s="2">
        <v>20</v>
      </c>
      <c r="E264" s="3">
        <v>20</v>
      </c>
      <c r="F264" t="s">
        <v>12</v>
      </c>
      <c r="G264" t="s">
        <v>12</v>
      </c>
      <c r="H264" s="1"/>
      <c r="I264" s="1"/>
      <c r="J264" s="1"/>
      <c r="K264" s="1"/>
      <c r="L264" s="1"/>
      <c r="M264" s="1"/>
      <c r="N264" s="1"/>
      <c r="O264" s="1"/>
      <c r="P264" s="1"/>
      <c r="Q264" s="1">
        <v>20</v>
      </c>
      <c r="R264" s="1">
        <v>20</v>
      </c>
      <c r="S264" t="s">
        <v>9</v>
      </c>
    </row>
    <row r="265" spans="1:19" x14ac:dyDescent="0.55000000000000004">
      <c r="A265" t="s">
        <v>15</v>
      </c>
      <c r="B265">
        <v>1976</v>
      </c>
      <c r="C265">
        <v>1300</v>
      </c>
      <c r="D265" s="2">
        <v>0</v>
      </c>
      <c r="E265" s="3">
        <v>1300</v>
      </c>
      <c r="F265" t="s">
        <v>12</v>
      </c>
      <c r="G265" t="s">
        <v>12</v>
      </c>
      <c r="H265" s="1"/>
      <c r="I265" s="1">
        <v>5138</v>
      </c>
      <c r="J265" s="1">
        <v>129</v>
      </c>
      <c r="K265" s="1"/>
      <c r="L265" s="1"/>
      <c r="M265" s="1"/>
      <c r="N265" s="1"/>
      <c r="O265" s="1"/>
      <c r="P265" s="1"/>
      <c r="Q265" s="1"/>
      <c r="R265" s="1">
        <v>6567</v>
      </c>
      <c r="S265" t="s">
        <v>12</v>
      </c>
    </row>
    <row r="266" spans="1:19" x14ac:dyDescent="0.55000000000000004">
      <c r="A266" t="s">
        <v>15</v>
      </c>
      <c r="B266">
        <v>1975</v>
      </c>
      <c r="C266">
        <v>260</v>
      </c>
      <c r="D266" s="2">
        <v>0</v>
      </c>
      <c r="E266" s="3">
        <v>260</v>
      </c>
      <c r="F266" t="s">
        <v>12</v>
      </c>
      <c r="G266" t="s">
        <v>12</v>
      </c>
      <c r="H266" s="1"/>
      <c r="I266" s="1">
        <v>537</v>
      </c>
      <c r="J266" s="1">
        <v>15</v>
      </c>
      <c r="K266" s="1"/>
      <c r="L266" s="1"/>
      <c r="M266" s="1"/>
      <c r="N266" s="1"/>
      <c r="O266" s="1"/>
      <c r="P266" s="1"/>
      <c r="Q266" s="1"/>
      <c r="R266" s="1">
        <v>812</v>
      </c>
      <c r="S266" t="s">
        <v>11</v>
      </c>
    </row>
    <row r="267" spans="1:19" x14ac:dyDescent="0.55000000000000004">
      <c r="A267" t="s">
        <v>15</v>
      </c>
      <c r="B267">
        <v>1974</v>
      </c>
      <c r="C267">
        <v>400</v>
      </c>
      <c r="D267" s="2">
        <v>20</v>
      </c>
      <c r="E267" s="3">
        <v>420</v>
      </c>
      <c r="F267" t="s">
        <v>12</v>
      </c>
      <c r="G267" t="s">
        <v>12</v>
      </c>
      <c r="H267" s="1"/>
      <c r="I267" s="1">
        <v>1347</v>
      </c>
      <c r="J267" s="1">
        <v>44</v>
      </c>
      <c r="K267" s="1"/>
      <c r="L267" s="1"/>
      <c r="M267" s="1"/>
      <c r="N267" s="1"/>
      <c r="O267" s="1"/>
      <c r="P267" s="1"/>
      <c r="Q267" s="1"/>
      <c r="R267" s="1">
        <v>1811</v>
      </c>
      <c r="S267" t="s">
        <v>12</v>
      </c>
    </row>
    <row r="268" spans="1:19" x14ac:dyDescent="0.55000000000000004">
      <c r="A268" t="s">
        <v>15</v>
      </c>
      <c r="B268">
        <v>1973</v>
      </c>
      <c r="C268">
        <v>0</v>
      </c>
      <c r="D268" s="2">
        <v>0</v>
      </c>
      <c r="E268" s="3">
        <v>0</v>
      </c>
      <c r="F268" t="s">
        <v>12</v>
      </c>
      <c r="G268" t="s">
        <v>12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>
        <v>0</v>
      </c>
      <c r="S268" t="s">
        <v>12</v>
      </c>
    </row>
    <row r="269" spans="1:19" x14ac:dyDescent="0.55000000000000004">
      <c r="A269" t="s">
        <v>15</v>
      </c>
      <c r="B269">
        <v>1972</v>
      </c>
      <c r="C269">
        <v>440</v>
      </c>
      <c r="D269" s="2">
        <v>0</v>
      </c>
      <c r="E269" s="3">
        <v>440</v>
      </c>
      <c r="F269" t="s">
        <v>12</v>
      </c>
      <c r="G269" t="s">
        <v>12</v>
      </c>
      <c r="H269" s="1"/>
      <c r="I269" s="1">
        <v>2129</v>
      </c>
      <c r="J269" s="1">
        <v>16</v>
      </c>
      <c r="K269" s="1"/>
      <c r="L269" s="1"/>
      <c r="M269" s="1"/>
      <c r="N269" s="1"/>
      <c r="O269" s="1"/>
      <c r="P269" s="1"/>
      <c r="Q269" s="1"/>
      <c r="R269" s="1">
        <v>2585</v>
      </c>
      <c r="S269" t="s">
        <v>12</v>
      </c>
    </row>
    <row r="270" spans="1:19" x14ac:dyDescent="0.55000000000000004">
      <c r="A270" t="s">
        <v>15</v>
      </c>
      <c r="B270">
        <v>1971</v>
      </c>
      <c r="C270">
        <v>0</v>
      </c>
      <c r="D270" s="2">
        <v>0</v>
      </c>
      <c r="E270" s="3">
        <v>0</v>
      </c>
      <c r="F270" t="s">
        <v>12</v>
      </c>
      <c r="G270" t="s">
        <v>12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>
        <v>0</v>
      </c>
      <c r="S270" t="s">
        <v>12</v>
      </c>
    </row>
    <row r="271" spans="1:19" x14ac:dyDescent="0.55000000000000004">
      <c r="A271" t="s">
        <v>15</v>
      </c>
      <c r="B271">
        <v>1970</v>
      </c>
      <c r="C271">
        <v>0</v>
      </c>
      <c r="D271" s="2">
        <v>0</v>
      </c>
      <c r="E271" s="3">
        <v>0</v>
      </c>
      <c r="F271" t="s">
        <v>12</v>
      </c>
      <c r="G271" t="s">
        <v>12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>
        <v>0</v>
      </c>
      <c r="S271" t="s">
        <v>12</v>
      </c>
    </row>
    <row r="272" spans="1:19" x14ac:dyDescent="0.55000000000000004">
      <c r="A272" t="s">
        <v>15</v>
      </c>
      <c r="B272">
        <v>1969</v>
      </c>
      <c r="C272">
        <v>0</v>
      </c>
      <c r="D272" s="2">
        <v>0</v>
      </c>
      <c r="E272" s="3">
        <v>0</v>
      </c>
      <c r="F272" t="s">
        <v>12</v>
      </c>
      <c r="G272" t="s">
        <v>12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>
        <v>0</v>
      </c>
      <c r="S272" t="s">
        <v>12</v>
      </c>
    </row>
    <row r="273" spans="1:19" x14ac:dyDescent="0.55000000000000004">
      <c r="A273" t="s">
        <v>15</v>
      </c>
      <c r="B273">
        <v>1968</v>
      </c>
      <c r="C273">
        <v>50</v>
      </c>
      <c r="D273" s="2">
        <v>0</v>
      </c>
      <c r="E273" s="3">
        <v>50</v>
      </c>
      <c r="F273" t="s">
        <v>12</v>
      </c>
      <c r="G273" t="s">
        <v>12</v>
      </c>
      <c r="H273" s="1"/>
      <c r="I273" s="1">
        <v>166.744391594951</v>
      </c>
      <c r="J273" s="1"/>
      <c r="K273" s="1"/>
      <c r="L273" s="1"/>
      <c r="M273" s="1"/>
      <c r="N273" s="1"/>
      <c r="O273" s="1"/>
      <c r="P273" s="1"/>
      <c r="Q273" s="1"/>
      <c r="R273" s="1">
        <v>217</v>
      </c>
      <c r="S273" t="s">
        <v>12</v>
      </c>
    </row>
    <row r="274" spans="1:19" x14ac:dyDescent="0.55000000000000004">
      <c r="A274" t="s">
        <v>15</v>
      </c>
      <c r="B274">
        <v>1967</v>
      </c>
      <c r="C274">
        <v>0</v>
      </c>
      <c r="D274" s="2">
        <v>0</v>
      </c>
      <c r="E274" s="3">
        <v>0</v>
      </c>
      <c r="F274" t="s">
        <v>12</v>
      </c>
      <c r="G274" t="s">
        <v>12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>
        <v>0</v>
      </c>
      <c r="S274" t="s">
        <v>12</v>
      </c>
    </row>
    <row r="275" spans="1:19" x14ac:dyDescent="0.55000000000000004">
      <c r="A275" t="s">
        <v>15</v>
      </c>
      <c r="B275">
        <v>1966</v>
      </c>
      <c r="C275">
        <v>0</v>
      </c>
      <c r="D275" s="2">
        <v>0</v>
      </c>
      <c r="E275" s="3">
        <v>0</v>
      </c>
      <c r="F275" t="s">
        <v>12</v>
      </c>
      <c r="G275" t="s">
        <v>12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>
        <v>0</v>
      </c>
      <c r="S275" t="s">
        <v>12</v>
      </c>
    </row>
    <row r="276" spans="1:19" x14ac:dyDescent="0.55000000000000004">
      <c r="A276" t="s">
        <v>15</v>
      </c>
      <c r="B276">
        <v>1965</v>
      </c>
      <c r="C276">
        <v>0</v>
      </c>
      <c r="D276" s="2">
        <v>0</v>
      </c>
      <c r="E276" s="3">
        <v>0</v>
      </c>
      <c r="F276" t="s">
        <v>12</v>
      </c>
      <c r="G276" t="s">
        <v>12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>
        <v>0</v>
      </c>
      <c r="S276" t="s">
        <v>12</v>
      </c>
    </row>
    <row r="277" spans="1:19" x14ac:dyDescent="0.55000000000000004">
      <c r="A277" t="s">
        <v>15</v>
      </c>
      <c r="B277">
        <v>1964</v>
      </c>
      <c r="C277">
        <v>0</v>
      </c>
      <c r="D277" s="2">
        <v>0</v>
      </c>
      <c r="E277" s="3">
        <v>0</v>
      </c>
      <c r="F277" t="s">
        <v>12</v>
      </c>
      <c r="G277" t="s">
        <v>12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>
        <v>0</v>
      </c>
      <c r="S277" t="s">
        <v>11</v>
      </c>
    </row>
    <row r="278" spans="1:19" x14ac:dyDescent="0.55000000000000004">
      <c r="A278" t="s">
        <v>15</v>
      </c>
      <c r="B278">
        <v>1963</v>
      </c>
      <c r="C278">
        <v>0</v>
      </c>
      <c r="D278" s="2">
        <v>0</v>
      </c>
      <c r="E278" s="3">
        <v>0</v>
      </c>
      <c r="F278" t="s">
        <v>12</v>
      </c>
      <c r="G278" t="s">
        <v>12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>
        <v>0</v>
      </c>
      <c r="S278" t="s">
        <v>12</v>
      </c>
    </row>
    <row r="279" spans="1:19" x14ac:dyDescent="0.55000000000000004">
      <c r="A279" t="s">
        <v>15</v>
      </c>
      <c r="B279">
        <v>1962</v>
      </c>
      <c r="C279">
        <v>0</v>
      </c>
      <c r="D279" s="2">
        <v>0</v>
      </c>
      <c r="E279" s="3">
        <v>0</v>
      </c>
      <c r="F279" t="s">
        <v>12</v>
      </c>
      <c r="G279" t="s">
        <v>12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>
        <v>0</v>
      </c>
      <c r="S279" t="s">
        <v>12</v>
      </c>
    </row>
    <row r="280" spans="1:19" x14ac:dyDescent="0.55000000000000004">
      <c r="A280" t="s">
        <v>15</v>
      </c>
      <c r="B280">
        <v>1961</v>
      </c>
      <c r="C280">
        <v>0</v>
      </c>
      <c r="D280" s="2">
        <v>0</v>
      </c>
      <c r="E280" s="3">
        <v>0</v>
      </c>
      <c r="F280" t="s">
        <v>12</v>
      </c>
      <c r="G280" t="s">
        <v>12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>
        <v>0</v>
      </c>
      <c r="S280" t="s">
        <v>12</v>
      </c>
    </row>
    <row r="281" spans="1:19" x14ac:dyDescent="0.55000000000000004">
      <c r="A281" t="s">
        <v>15</v>
      </c>
      <c r="B281">
        <v>1960</v>
      </c>
      <c r="C281">
        <v>0</v>
      </c>
      <c r="D281" s="2">
        <v>0</v>
      </c>
      <c r="E281" s="3">
        <v>0</v>
      </c>
      <c r="F281" t="s">
        <v>12</v>
      </c>
      <c r="G281" t="s">
        <v>12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>
        <v>0</v>
      </c>
      <c r="S281" t="s">
        <v>11</v>
      </c>
    </row>
    <row r="282" spans="1:19" x14ac:dyDescent="0.55000000000000004">
      <c r="A282" t="s">
        <v>15</v>
      </c>
      <c r="B282">
        <v>1959</v>
      </c>
      <c r="C282">
        <v>0</v>
      </c>
      <c r="D282" s="2">
        <v>0</v>
      </c>
      <c r="E282" s="3">
        <v>0</v>
      </c>
      <c r="F282" t="s">
        <v>12</v>
      </c>
      <c r="G282" t="s">
        <v>12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>
        <v>0</v>
      </c>
      <c r="S282" t="s">
        <v>12</v>
      </c>
    </row>
    <row r="283" spans="1:19" x14ac:dyDescent="0.55000000000000004">
      <c r="A283" t="s">
        <v>15</v>
      </c>
      <c r="B283">
        <v>1958</v>
      </c>
      <c r="C283">
        <v>0</v>
      </c>
      <c r="D283" s="2">
        <v>0</v>
      </c>
      <c r="E283" s="3">
        <v>0</v>
      </c>
      <c r="F283" t="s">
        <v>12</v>
      </c>
      <c r="G283" t="s">
        <v>12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>
        <v>0</v>
      </c>
      <c r="S283" t="s">
        <v>12</v>
      </c>
    </row>
    <row r="284" spans="1:19" x14ac:dyDescent="0.55000000000000004">
      <c r="A284" t="s">
        <v>15</v>
      </c>
      <c r="B284">
        <v>1957</v>
      </c>
      <c r="C284">
        <v>0</v>
      </c>
      <c r="D284" s="2">
        <v>0</v>
      </c>
      <c r="E284" s="3">
        <v>0</v>
      </c>
      <c r="F284" t="s">
        <v>12</v>
      </c>
      <c r="G284" t="s">
        <v>12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>
        <v>0</v>
      </c>
      <c r="S284" t="s">
        <v>12</v>
      </c>
    </row>
    <row r="285" spans="1:19" x14ac:dyDescent="0.55000000000000004">
      <c r="A285" t="s">
        <v>15</v>
      </c>
      <c r="B285">
        <v>1956</v>
      </c>
      <c r="C285">
        <v>0</v>
      </c>
      <c r="D285" s="2">
        <v>0</v>
      </c>
      <c r="E285" s="3">
        <v>0</v>
      </c>
      <c r="F285" t="s">
        <v>12</v>
      </c>
      <c r="G285" t="s">
        <v>12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>
        <v>0</v>
      </c>
      <c r="S285" t="s">
        <v>12</v>
      </c>
    </row>
    <row r="286" spans="1:19" x14ac:dyDescent="0.55000000000000004">
      <c r="A286" t="s">
        <v>15</v>
      </c>
      <c r="B286">
        <v>1955</v>
      </c>
      <c r="C286">
        <v>0</v>
      </c>
      <c r="D286" s="2">
        <v>0</v>
      </c>
      <c r="E286" s="3">
        <v>0</v>
      </c>
      <c r="F286" t="s">
        <v>12</v>
      </c>
      <c r="G286" t="s">
        <v>12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>
        <v>0</v>
      </c>
      <c r="S286" t="s">
        <v>11</v>
      </c>
    </row>
    <row r="287" spans="1:19" x14ac:dyDescent="0.55000000000000004">
      <c r="A287" t="s">
        <v>15</v>
      </c>
      <c r="B287">
        <v>1954</v>
      </c>
      <c r="C287">
        <v>0</v>
      </c>
      <c r="D287" s="2">
        <v>0</v>
      </c>
      <c r="E287" s="3">
        <v>0</v>
      </c>
      <c r="F287" t="s">
        <v>12</v>
      </c>
      <c r="G287" t="s">
        <v>12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>
        <v>0</v>
      </c>
      <c r="S287" t="s">
        <v>12</v>
      </c>
    </row>
    <row r="288" spans="1:19" x14ac:dyDescent="0.55000000000000004">
      <c r="A288" t="s">
        <v>15</v>
      </c>
      <c r="B288">
        <v>1953</v>
      </c>
      <c r="C288">
        <v>0</v>
      </c>
      <c r="D288" s="2">
        <v>0</v>
      </c>
      <c r="E288" s="3">
        <v>0</v>
      </c>
      <c r="F288" t="s">
        <v>12</v>
      </c>
      <c r="G288" t="s">
        <v>12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>
        <v>0</v>
      </c>
      <c r="S288" t="s">
        <v>12</v>
      </c>
    </row>
    <row r="289" spans="1:19" x14ac:dyDescent="0.55000000000000004">
      <c r="A289" t="s">
        <v>15</v>
      </c>
      <c r="B289">
        <v>1952</v>
      </c>
      <c r="C289">
        <v>0</v>
      </c>
      <c r="D289" s="2">
        <v>0</v>
      </c>
      <c r="E289" s="3">
        <v>0</v>
      </c>
      <c r="F289" t="s">
        <v>12</v>
      </c>
      <c r="G289" t="s">
        <v>12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>
        <v>0</v>
      </c>
      <c r="S289" t="s">
        <v>12</v>
      </c>
    </row>
    <row r="290" spans="1:19" x14ac:dyDescent="0.55000000000000004">
      <c r="A290" t="s">
        <v>16</v>
      </c>
      <c r="B290">
        <v>2023</v>
      </c>
      <c r="C290">
        <v>49</v>
      </c>
      <c r="D290" s="2">
        <v>83</v>
      </c>
      <c r="E290" s="3">
        <v>132</v>
      </c>
      <c r="F290">
        <v>23</v>
      </c>
      <c r="G290">
        <v>8</v>
      </c>
      <c r="H290" s="1">
        <v>0</v>
      </c>
      <c r="I290" s="1">
        <v>0.197561453392435</v>
      </c>
      <c r="J290" s="1">
        <v>1.6644686155504101E-5</v>
      </c>
      <c r="K290" s="1"/>
      <c r="L290" s="1">
        <v>24</v>
      </c>
      <c r="M290" s="1"/>
      <c r="N290" s="1"/>
      <c r="O290" s="1">
        <v>30</v>
      </c>
      <c r="P290" s="1"/>
      <c r="Q290" s="1">
        <v>162.599864483836</v>
      </c>
      <c r="R290" s="1">
        <v>217</v>
      </c>
      <c r="S290" t="s">
        <v>11</v>
      </c>
    </row>
    <row r="291" spans="1:19" x14ac:dyDescent="0.55000000000000004">
      <c r="A291" t="s">
        <v>16</v>
      </c>
      <c r="B291">
        <v>2022</v>
      </c>
      <c r="C291">
        <v>1027</v>
      </c>
      <c r="D291" s="2">
        <v>10</v>
      </c>
      <c r="E291" s="3">
        <v>1037</v>
      </c>
      <c r="F291">
        <v>198</v>
      </c>
      <c r="G291">
        <v>2</v>
      </c>
      <c r="H291" s="1">
        <v>0</v>
      </c>
      <c r="I291" s="1">
        <v>341.08462004275299</v>
      </c>
      <c r="J291" s="1">
        <v>2.9916956494896398</v>
      </c>
      <c r="K291" s="1"/>
      <c r="L291" s="1">
        <v>217</v>
      </c>
      <c r="M291" s="1"/>
      <c r="N291" s="1"/>
      <c r="O291" s="1">
        <v>2</v>
      </c>
      <c r="P291" s="1"/>
      <c r="Q291" s="1">
        <v>1069.70595326017</v>
      </c>
      <c r="R291" s="1">
        <v>1804</v>
      </c>
      <c r="S291" t="s">
        <v>11</v>
      </c>
    </row>
    <row r="292" spans="1:19" x14ac:dyDescent="0.55000000000000004">
      <c r="A292" t="s">
        <v>16</v>
      </c>
      <c r="B292">
        <v>2021</v>
      </c>
      <c r="C292">
        <v>277</v>
      </c>
      <c r="D292" s="2">
        <v>18</v>
      </c>
      <c r="E292" s="3">
        <v>295</v>
      </c>
      <c r="F292">
        <v>126</v>
      </c>
      <c r="G292">
        <v>6</v>
      </c>
      <c r="H292" s="1">
        <v>0</v>
      </c>
      <c r="I292" s="1">
        <v>2.6672311545642802</v>
      </c>
      <c r="J292" s="1">
        <v>2.7460450053397199E-3</v>
      </c>
      <c r="K292" s="1"/>
      <c r="L292" s="1">
        <v>45</v>
      </c>
      <c r="M292" s="1"/>
      <c r="N292" s="1"/>
      <c r="O292" s="1">
        <v>3</v>
      </c>
      <c r="P292" s="1"/>
      <c r="Q292" s="1">
        <v>-2472.39968942926</v>
      </c>
      <c r="R292" s="1">
        <v>478</v>
      </c>
      <c r="S292" t="s">
        <v>11</v>
      </c>
    </row>
    <row r="293" spans="1:19" x14ac:dyDescent="0.55000000000000004">
      <c r="A293" t="s">
        <v>16</v>
      </c>
      <c r="B293">
        <v>2020</v>
      </c>
      <c r="C293">
        <v>110</v>
      </c>
      <c r="D293" s="2">
        <v>1</v>
      </c>
      <c r="E293" s="3">
        <v>111</v>
      </c>
      <c r="F293">
        <v>99</v>
      </c>
      <c r="G293">
        <v>2</v>
      </c>
      <c r="H293" s="1">
        <v>0</v>
      </c>
      <c r="I293" s="1">
        <v>7.3350992085659401</v>
      </c>
      <c r="J293" s="1">
        <v>1.29733206766743E-3</v>
      </c>
      <c r="K293" s="1"/>
      <c r="L293" s="1">
        <v>37</v>
      </c>
      <c r="M293" s="1"/>
      <c r="N293" s="1"/>
      <c r="O293" s="1">
        <v>1</v>
      </c>
      <c r="P293" s="1"/>
      <c r="Q293" s="1">
        <v>-3895.7794226046199</v>
      </c>
      <c r="R293" s="1">
        <v>257</v>
      </c>
      <c r="S293" t="s">
        <v>11</v>
      </c>
    </row>
    <row r="294" spans="1:19" x14ac:dyDescent="0.55000000000000004">
      <c r="A294" t="s">
        <v>16</v>
      </c>
      <c r="B294">
        <v>2019</v>
      </c>
      <c r="C294">
        <v>23</v>
      </c>
      <c r="D294" s="2">
        <v>64</v>
      </c>
      <c r="E294" s="3">
        <v>87</v>
      </c>
      <c r="F294">
        <v>5</v>
      </c>
      <c r="G294">
        <v>40</v>
      </c>
      <c r="H294" s="1">
        <v>0</v>
      </c>
      <c r="I294" s="1">
        <v>2.4365392580529002</v>
      </c>
      <c r="J294" s="1">
        <v>0.16720542732674301</v>
      </c>
      <c r="K294" s="1"/>
      <c r="L294" s="1">
        <v>5</v>
      </c>
      <c r="M294" s="1"/>
      <c r="N294" s="1"/>
      <c r="O294" s="1">
        <v>18</v>
      </c>
      <c r="P294" s="1"/>
      <c r="Q294" s="1">
        <v>-500.42710116427298</v>
      </c>
      <c r="R294" s="1">
        <v>158</v>
      </c>
      <c r="S294" t="s">
        <v>11</v>
      </c>
    </row>
    <row r="295" spans="1:19" x14ac:dyDescent="0.55000000000000004">
      <c r="A295" t="s">
        <v>16</v>
      </c>
      <c r="B295">
        <v>2018</v>
      </c>
      <c r="C295">
        <v>336</v>
      </c>
      <c r="D295" s="2">
        <v>0</v>
      </c>
      <c r="E295" s="3">
        <v>336</v>
      </c>
      <c r="F295">
        <v>174</v>
      </c>
      <c r="G295" t="s">
        <v>12</v>
      </c>
      <c r="H295" s="1">
        <v>0</v>
      </c>
      <c r="I295" s="1">
        <v>981.13556489857399</v>
      </c>
      <c r="J295" s="1">
        <v>3.3181993953919999</v>
      </c>
      <c r="K295" s="1"/>
      <c r="L295" s="1">
        <v>57</v>
      </c>
      <c r="M295" s="1"/>
      <c r="N295" s="1">
        <v>-115</v>
      </c>
      <c r="O295" s="1"/>
      <c r="P295" s="1"/>
      <c r="Q295" s="1">
        <v>471.22888897858201</v>
      </c>
      <c r="R295" s="1">
        <v>1436</v>
      </c>
      <c r="S295" t="s">
        <v>11</v>
      </c>
    </row>
    <row r="296" spans="1:19" x14ac:dyDescent="0.55000000000000004">
      <c r="A296" t="s">
        <v>16</v>
      </c>
      <c r="B296">
        <v>2017</v>
      </c>
      <c r="C296">
        <v>673</v>
      </c>
      <c r="D296" s="2">
        <v>8</v>
      </c>
      <c r="E296" s="3">
        <v>681</v>
      </c>
      <c r="F296">
        <v>109</v>
      </c>
      <c r="G296">
        <v>2</v>
      </c>
      <c r="H296" s="1">
        <v>0</v>
      </c>
      <c r="I296" s="1">
        <v>112.08661504525401</v>
      </c>
      <c r="J296" s="1">
        <v>1.2950962951839999</v>
      </c>
      <c r="K296" s="1"/>
      <c r="L296" s="1">
        <v>138</v>
      </c>
      <c r="M296" s="1"/>
      <c r="N296" s="1">
        <v>-57</v>
      </c>
      <c r="O296" s="1">
        <v>2</v>
      </c>
      <c r="P296" s="1"/>
      <c r="Q296" s="1">
        <v>-1780.17367733942</v>
      </c>
      <c r="R296" s="1">
        <v>988</v>
      </c>
      <c r="S296" t="s">
        <v>11</v>
      </c>
    </row>
    <row r="297" spans="1:19" x14ac:dyDescent="0.55000000000000004">
      <c r="A297" t="s">
        <v>16</v>
      </c>
      <c r="B297">
        <v>2016</v>
      </c>
      <c r="C297">
        <v>2387</v>
      </c>
      <c r="D297" s="2">
        <v>219</v>
      </c>
      <c r="E297" s="3">
        <v>2606</v>
      </c>
      <c r="F297">
        <v>204</v>
      </c>
      <c r="G297">
        <v>3</v>
      </c>
      <c r="H297" s="1">
        <v>0</v>
      </c>
      <c r="I297" s="1">
        <v>678.69357748001096</v>
      </c>
      <c r="J297" s="1">
        <v>121.33801275009699</v>
      </c>
      <c r="K297" s="1"/>
      <c r="L297" s="1">
        <v>457</v>
      </c>
      <c r="M297" s="1"/>
      <c r="N297" s="1"/>
      <c r="O297" s="1">
        <v>39</v>
      </c>
      <c r="P297" s="1"/>
      <c r="Q297" s="1">
        <v>-6707.7848554004004</v>
      </c>
      <c r="R297" s="1">
        <v>4109</v>
      </c>
      <c r="S297" t="s">
        <v>11</v>
      </c>
    </row>
    <row r="298" spans="1:19" x14ac:dyDescent="0.55000000000000004">
      <c r="A298" t="s">
        <v>16</v>
      </c>
      <c r="B298">
        <v>2015</v>
      </c>
      <c r="C298">
        <v>1113</v>
      </c>
      <c r="D298" s="2">
        <v>107</v>
      </c>
      <c r="E298" s="3">
        <v>1220</v>
      </c>
      <c r="F298">
        <v>188</v>
      </c>
      <c r="G298">
        <v>8</v>
      </c>
      <c r="H298" s="1">
        <v>0</v>
      </c>
      <c r="I298" s="1">
        <v>211.613318210252</v>
      </c>
      <c r="J298" s="1">
        <v>0.20947051300870001</v>
      </c>
      <c r="K298" s="1"/>
      <c r="L298" s="1">
        <v>230</v>
      </c>
      <c r="M298" s="1"/>
      <c r="N298" s="1">
        <v>-2</v>
      </c>
      <c r="O298" s="1">
        <v>20</v>
      </c>
      <c r="P298" s="1"/>
      <c r="Q298" s="1">
        <v>-449.204911067414</v>
      </c>
      <c r="R298" s="1">
        <v>1876</v>
      </c>
      <c r="S298" t="s">
        <v>11</v>
      </c>
    </row>
    <row r="299" spans="1:19" x14ac:dyDescent="0.55000000000000004">
      <c r="A299" t="s">
        <v>16</v>
      </c>
      <c r="B299">
        <v>2014</v>
      </c>
      <c r="C299">
        <v>4378</v>
      </c>
      <c r="D299" s="2">
        <v>33</v>
      </c>
      <c r="E299" s="3">
        <v>4411</v>
      </c>
      <c r="F299">
        <v>225</v>
      </c>
      <c r="G299" t="s">
        <v>12</v>
      </c>
      <c r="H299" s="1">
        <v>519.49197367900001</v>
      </c>
      <c r="I299" s="1">
        <v>8280.0880538657002</v>
      </c>
      <c r="J299" s="1">
        <v>197.764668949433</v>
      </c>
      <c r="K299" s="1"/>
      <c r="L299" s="1">
        <v>812</v>
      </c>
      <c r="M299" s="1"/>
      <c r="N299" s="1">
        <v>4378</v>
      </c>
      <c r="O299" s="1">
        <v>6</v>
      </c>
      <c r="P299" s="1"/>
      <c r="Q299" s="1">
        <v>-18556.325492162301</v>
      </c>
      <c r="R299" s="1">
        <v>18829</v>
      </c>
      <c r="S299" t="s">
        <v>11</v>
      </c>
    </row>
    <row r="300" spans="1:19" x14ac:dyDescent="0.55000000000000004">
      <c r="A300" t="s">
        <v>16</v>
      </c>
      <c r="B300">
        <v>2013</v>
      </c>
      <c r="C300">
        <v>2106</v>
      </c>
      <c r="D300" s="2">
        <v>1206</v>
      </c>
      <c r="E300" s="3">
        <v>3312</v>
      </c>
      <c r="F300">
        <v>158</v>
      </c>
      <c r="G300">
        <v>42</v>
      </c>
      <c r="H300" s="1">
        <v>0</v>
      </c>
      <c r="I300" s="1">
        <v>515.88795174752897</v>
      </c>
      <c r="J300" s="1">
        <v>182.199905991968</v>
      </c>
      <c r="K300" s="1"/>
      <c r="L300" s="1">
        <v>252</v>
      </c>
      <c r="M300" s="1"/>
      <c r="N300" s="1">
        <v>-439</v>
      </c>
      <c r="O300" s="1">
        <v>139</v>
      </c>
      <c r="P300" s="1"/>
      <c r="Q300" s="1">
        <v>264.36544296553802</v>
      </c>
      <c r="R300" s="1">
        <v>4162</v>
      </c>
      <c r="S300" t="s">
        <v>11</v>
      </c>
    </row>
    <row r="301" spans="1:19" x14ac:dyDescent="0.55000000000000004">
      <c r="A301" t="s">
        <v>16</v>
      </c>
      <c r="B301">
        <v>2012</v>
      </c>
      <c r="C301">
        <v>835</v>
      </c>
      <c r="D301" s="2">
        <v>57</v>
      </c>
      <c r="E301" s="3">
        <v>892</v>
      </c>
      <c r="F301">
        <v>247</v>
      </c>
      <c r="G301">
        <v>16</v>
      </c>
      <c r="H301" s="1">
        <v>0</v>
      </c>
      <c r="I301" s="1">
        <v>490.11268550461398</v>
      </c>
      <c r="J301" s="1">
        <v>89.668109323397104</v>
      </c>
      <c r="K301" s="1"/>
      <c r="L301" s="1">
        <v>22</v>
      </c>
      <c r="M301" s="1"/>
      <c r="N301" s="1">
        <v>415</v>
      </c>
      <c r="O301" s="1">
        <v>1</v>
      </c>
      <c r="P301" s="1"/>
      <c r="Q301" s="1">
        <v>-2277.5703382005299</v>
      </c>
      <c r="R301" s="1">
        <v>2173</v>
      </c>
      <c r="S301" t="s">
        <v>11</v>
      </c>
    </row>
    <row r="302" spans="1:19" x14ac:dyDescent="0.55000000000000004">
      <c r="A302" t="s">
        <v>16</v>
      </c>
      <c r="B302">
        <v>2011</v>
      </c>
      <c r="C302">
        <v>6948</v>
      </c>
      <c r="D302" s="2">
        <v>263</v>
      </c>
      <c r="E302" s="3">
        <v>7211</v>
      </c>
      <c r="F302">
        <v>244</v>
      </c>
      <c r="G302">
        <v>9</v>
      </c>
      <c r="H302" s="1">
        <v>102.204783199582</v>
      </c>
      <c r="I302" s="1">
        <v>3429.0895219476402</v>
      </c>
      <c r="J302" s="1">
        <v>172.81722985014801</v>
      </c>
      <c r="K302" s="1"/>
      <c r="L302" s="1">
        <v>150</v>
      </c>
      <c r="M302" s="1"/>
      <c r="N302" s="1">
        <v>1482</v>
      </c>
      <c r="O302" s="1">
        <v>6</v>
      </c>
      <c r="P302" s="1"/>
      <c r="Q302" s="1">
        <v>-8916.9775510138497</v>
      </c>
      <c r="R302" s="1">
        <v>12806</v>
      </c>
      <c r="S302" t="s">
        <v>11</v>
      </c>
    </row>
    <row r="303" spans="1:19" x14ac:dyDescent="0.55000000000000004">
      <c r="A303" t="s">
        <v>16</v>
      </c>
      <c r="B303">
        <v>2010</v>
      </c>
      <c r="C303">
        <v>9669</v>
      </c>
      <c r="D303" s="2">
        <v>628</v>
      </c>
      <c r="E303" s="3">
        <v>10297</v>
      </c>
      <c r="F303">
        <v>342</v>
      </c>
      <c r="G303">
        <v>15</v>
      </c>
      <c r="H303" s="1">
        <v>0</v>
      </c>
      <c r="I303" s="1">
        <v>8611.3910559248598</v>
      </c>
      <c r="J303" s="1"/>
      <c r="K303" s="1"/>
      <c r="L303" s="1">
        <v>101</v>
      </c>
      <c r="M303" s="1"/>
      <c r="N303" s="1">
        <v>1274</v>
      </c>
      <c r="O303" s="1">
        <v>6</v>
      </c>
      <c r="P303" s="1"/>
      <c r="Q303" s="1">
        <v>-24638.5564679366</v>
      </c>
      <c r="R303" s="1">
        <v>20646</v>
      </c>
      <c r="S303" t="s">
        <v>11</v>
      </c>
    </row>
    <row r="304" spans="1:19" x14ac:dyDescent="0.55000000000000004">
      <c r="A304" t="s">
        <v>16</v>
      </c>
      <c r="B304">
        <v>2009</v>
      </c>
      <c r="C304">
        <v>705</v>
      </c>
      <c r="D304" s="2">
        <v>736</v>
      </c>
      <c r="E304" s="3">
        <v>1441</v>
      </c>
      <c r="F304">
        <v>184</v>
      </c>
      <c r="G304">
        <v>98</v>
      </c>
      <c r="H304" s="1">
        <v>2.0694290367400501</v>
      </c>
      <c r="I304" s="1">
        <v>125.589782647736</v>
      </c>
      <c r="J304" s="1">
        <v>3.7589040870359098</v>
      </c>
      <c r="K304" s="1"/>
      <c r="L304" s="1"/>
      <c r="M304" s="1"/>
      <c r="N304" s="1">
        <v>-80</v>
      </c>
      <c r="O304" s="1"/>
      <c r="P304" s="1"/>
      <c r="Q304" s="1">
        <v>-180.25205404051201</v>
      </c>
      <c r="R304" s="1">
        <v>1774</v>
      </c>
      <c r="S304" t="s">
        <v>11</v>
      </c>
    </row>
    <row r="305" spans="1:19" x14ac:dyDescent="0.55000000000000004">
      <c r="A305" t="s">
        <v>16</v>
      </c>
      <c r="B305">
        <v>2008</v>
      </c>
      <c r="C305">
        <v>340</v>
      </c>
      <c r="D305" s="2">
        <v>20</v>
      </c>
      <c r="E305" s="3">
        <v>360</v>
      </c>
      <c r="F305">
        <v>146</v>
      </c>
      <c r="G305">
        <v>15</v>
      </c>
      <c r="H305" s="1">
        <v>0</v>
      </c>
      <c r="I305" s="1">
        <v>464.441039740365</v>
      </c>
      <c r="J305" s="1">
        <v>53.975177238329699</v>
      </c>
      <c r="K305" s="1"/>
      <c r="L305" s="1"/>
      <c r="M305" s="1"/>
      <c r="N305" s="1"/>
      <c r="O305" s="1"/>
      <c r="P305" s="1"/>
      <c r="Q305" s="1">
        <v>-3673.1659516114701</v>
      </c>
      <c r="R305" s="1">
        <v>4713</v>
      </c>
      <c r="S305" t="s">
        <v>9</v>
      </c>
    </row>
    <row r="306" spans="1:19" x14ac:dyDescent="0.55000000000000004">
      <c r="A306" t="s">
        <v>16</v>
      </c>
      <c r="B306">
        <v>2007</v>
      </c>
      <c r="C306">
        <v>538</v>
      </c>
      <c r="D306" s="2">
        <v>111</v>
      </c>
      <c r="E306" s="3">
        <v>649</v>
      </c>
      <c r="F306">
        <v>123</v>
      </c>
      <c r="G306">
        <v>28</v>
      </c>
      <c r="H306" s="1">
        <v>0</v>
      </c>
      <c r="I306" s="1">
        <v>46.7195380417119</v>
      </c>
      <c r="J306" s="1">
        <v>2.9585103482999999E-2</v>
      </c>
      <c r="K306" s="1"/>
      <c r="L306" s="1"/>
      <c r="M306" s="1"/>
      <c r="N306" s="1"/>
      <c r="O306" s="1"/>
      <c r="P306" s="1"/>
      <c r="Q306" s="1">
        <v>285.25383852567302</v>
      </c>
      <c r="R306" s="1">
        <v>847</v>
      </c>
      <c r="S306" t="s">
        <v>9</v>
      </c>
    </row>
    <row r="307" spans="1:19" x14ac:dyDescent="0.55000000000000004">
      <c r="A307" t="s">
        <v>16</v>
      </c>
      <c r="B307">
        <v>2006</v>
      </c>
      <c r="C307">
        <v>3509</v>
      </c>
      <c r="D307" s="2">
        <v>12</v>
      </c>
      <c r="E307" s="3">
        <v>3521</v>
      </c>
      <c r="F307">
        <v>271</v>
      </c>
      <c r="G307">
        <v>1</v>
      </c>
      <c r="H307" s="1">
        <v>0</v>
      </c>
      <c r="I307" s="1">
        <v>3703.8714617949499</v>
      </c>
      <c r="J307" s="1">
        <v>284.879675082581</v>
      </c>
      <c r="K307" s="1"/>
      <c r="L307" s="1"/>
      <c r="M307" s="1"/>
      <c r="N307" s="1"/>
      <c r="O307" s="1"/>
      <c r="P307" s="1"/>
      <c r="Q307" s="1">
        <v>-3375.5413236293698</v>
      </c>
      <c r="R307" s="1">
        <v>11157</v>
      </c>
      <c r="S307" t="s">
        <v>9</v>
      </c>
    </row>
    <row r="308" spans="1:19" x14ac:dyDescent="0.55000000000000004">
      <c r="A308" t="s">
        <v>16</v>
      </c>
      <c r="B308">
        <v>2005</v>
      </c>
      <c r="C308">
        <v>112</v>
      </c>
      <c r="D308" s="2">
        <v>114</v>
      </c>
      <c r="E308" s="3">
        <v>226</v>
      </c>
      <c r="F308">
        <v>81</v>
      </c>
      <c r="G308">
        <v>68</v>
      </c>
      <c r="H308" s="1">
        <v>0</v>
      </c>
      <c r="I308" s="1">
        <v>14.40055528095</v>
      </c>
      <c r="J308" s="1">
        <v>30.286667528999999</v>
      </c>
      <c r="K308" s="1"/>
      <c r="L308" s="1"/>
      <c r="M308" s="1"/>
      <c r="N308" s="1"/>
      <c r="O308" s="1"/>
      <c r="P308" s="1"/>
      <c r="Q308" s="1">
        <v>-5423.7290980569796</v>
      </c>
      <c r="R308" s="1">
        <v>5843</v>
      </c>
      <c r="S308" t="s">
        <v>9</v>
      </c>
    </row>
    <row r="309" spans="1:19" x14ac:dyDescent="0.55000000000000004">
      <c r="A309" t="s">
        <v>16</v>
      </c>
      <c r="B309">
        <v>2004</v>
      </c>
      <c r="C309">
        <v>52</v>
      </c>
      <c r="D309" s="2">
        <v>0</v>
      </c>
      <c r="E309" s="3">
        <v>52</v>
      </c>
      <c r="F309">
        <v>37</v>
      </c>
      <c r="G309" t="s">
        <v>12</v>
      </c>
      <c r="H309" s="1">
        <v>0.12026565270965001</v>
      </c>
      <c r="I309" s="1">
        <v>1294.76835364314</v>
      </c>
      <c r="J309" s="1">
        <v>1.94622865207398</v>
      </c>
      <c r="K309" s="1"/>
      <c r="L309" s="1"/>
      <c r="M309" s="1"/>
      <c r="N309" s="1"/>
      <c r="O309" s="1"/>
      <c r="P309" s="1"/>
      <c r="Q309" s="1">
        <v>44.813192853173298</v>
      </c>
      <c r="R309" s="1">
        <v>1386</v>
      </c>
      <c r="S309" t="s">
        <v>9</v>
      </c>
    </row>
    <row r="310" spans="1:19" x14ac:dyDescent="0.55000000000000004">
      <c r="A310" t="s">
        <v>16</v>
      </c>
      <c r="B310">
        <v>2003</v>
      </c>
      <c r="C310">
        <v>1939</v>
      </c>
      <c r="D310" s="2">
        <v>0</v>
      </c>
      <c r="E310" s="3">
        <v>1939</v>
      </c>
      <c r="F310">
        <v>245</v>
      </c>
      <c r="G310" t="s">
        <v>12</v>
      </c>
      <c r="H310" s="1">
        <v>68.590941099910907</v>
      </c>
      <c r="I310" s="1">
        <v>319.36131581287401</v>
      </c>
      <c r="J310" s="1">
        <v>59.386293170630303</v>
      </c>
      <c r="K310" s="1"/>
      <c r="L310" s="1"/>
      <c r="M310" s="1"/>
      <c r="N310" s="1"/>
      <c r="O310" s="1"/>
      <c r="P310" s="1"/>
      <c r="Q310" s="1">
        <v>-2098.4114196363598</v>
      </c>
      <c r="R310" s="1">
        <v>4730</v>
      </c>
      <c r="S310" t="s">
        <v>9</v>
      </c>
    </row>
    <row r="311" spans="1:19" x14ac:dyDescent="0.55000000000000004">
      <c r="A311" t="s">
        <v>16</v>
      </c>
      <c r="B311">
        <v>2002</v>
      </c>
      <c r="C311">
        <v>4873</v>
      </c>
      <c r="D311" s="2">
        <v>9</v>
      </c>
      <c r="E311" s="3">
        <v>4882</v>
      </c>
      <c r="F311">
        <v>266</v>
      </c>
      <c r="G311" t="s">
        <v>12</v>
      </c>
      <c r="H311" s="1">
        <v>0.202822847223534</v>
      </c>
      <c r="I311" s="1">
        <v>793.877060223684</v>
      </c>
      <c r="J311" s="1">
        <v>109.821563405517</v>
      </c>
      <c r="K311" s="1"/>
      <c r="L311" s="1"/>
      <c r="M311" s="1"/>
      <c r="N311" s="1"/>
      <c r="O311" s="1"/>
      <c r="P311" s="1"/>
      <c r="Q311" s="1">
        <v>86.0369983466462</v>
      </c>
      <c r="R311" s="1">
        <v>6052</v>
      </c>
      <c r="S311" t="s">
        <v>9</v>
      </c>
    </row>
    <row r="312" spans="1:19" x14ac:dyDescent="0.55000000000000004">
      <c r="A312" t="s">
        <v>16</v>
      </c>
      <c r="B312">
        <v>2001</v>
      </c>
      <c r="C312">
        <v>515</v>
      </c>
      <c r="D312" s="2">
        <v>160</v>
      </c>
      <c r="E312" s="3">
        <v>675</v>
      </c>
      <c r="F312">
        <v>14</v>
      </c>
      <c r="G312">
        <v>6</v>
      </c>
      <c r="H312" s="1">
        <v>67.500902416953295</v>
      </c>
      <c r="I312" s="1">
        <v>776.66711971703705</v>
      </c>
      <c r="J312" s="1">
        <v>28.033658607981302</v>
      </c>
      <c r="K312" s="1"/>
      <c r="L312" s="1"/>
      <c r="M312" s="1"/>
      <c r="N312" s="1"/>
      <c r="O312" s="1"/>
      <c r="P312" s="1"/>
      <c r="Q312" s="1">
        <v>-3462.1897957651399</v>
      </c>
      <c r="R312" s="1">
        <v>5029</v>
      </c>
      <c r="S312" t="s">
        <v>9</v>
      </c>
    </row>
    <row r="313" spans="1:19" x14ac:dyDescent="0.55000000000000004">
      <c r="A313" t="s">
        <v>16</v>
      </c>
      <c r="B313">
        <v>2000</v>
      </c>
      <c r="C313">
        <v>1227</v>
      </c>
      <c r="D313" s="2">
        <v>0</v>
      </c>
      <c r="E313" s="3">
        <v>1227</v>
      </c>
      <c r="F313">
        <v>15</v>
      </c>
      <c r="G313" t="s">
        <v>12</v>
      </c>
      <c r="H313" s="1">
        <v>45.049524030009302</v>
      </c>
      <c r="I313" s="1">
        <v>41094.099007714998</v>
      </c>
      <c r="J313" s="1">
        <v>553.18150360557297</v>
      </c>
      <c r="K313" s="1"/>
      <c r="L313" s="1"/>
      <c r="M313" s="1"/>
      <c r="N313" s="1"/>
      <c r="O313" s="1"/>
      <c r="P313" s="1"/>
      <c r="Q313" s="1">
        <v>-44194.705145706102</v>
      </c>
      <c r="R313" s="1">
        <v>87129</v>
      </c>
      <c r="S313" t="s">
        <v>9</v>
      </c>
    </row>
    <row r="314" spans="1:19" x14ac:dyDescent="0.55000000000000004">
      <c r="A314" t="s">
        <v>16</v>
      </c>
      <c r="B314">
        <v>1999</v>
      </c>
      <c r="C314">
        <v>12392</v>
      </c>
      <c r="D314" s="2">
        <v>11</v>
      </c>
      <c r="E314" s="3">
        <v>12403</v>
      </c>
      <c r="F314" t="s">
        <v>12</v>
      </c>
      <c r="G314" t="s">
        <v>12</v>
      </c>
      <c r="H314" s="1">
        <v>944.94373467148205</v>
      </c>
      <c r="I314" s="1">
        <v>6000.6838071829397</v>
      </c>
      <c r="J314" s="1">
        <v>179.80587462894599</v>
      </c>
      <c r="K314" s="1"/>
      <c r="L314" s="1"/>
      <c r="M314" s="1"/>
      <c r="N314" s="1"/>
      <c r="O314" s="1"/>
      <c r="P314" s="1"/>
      <c r="Q314" s="1">
        <v>-32527.445526843901</v>
      </c>
      <c r="R314" s="1">
        <v>52056</v>
      </c>
      <c r="S314" t="s">
        <v>9</v>
      </c>
    </row>
    <row r="315" spans="1:19" x14ac:dyDescent="0.55000000000000004">
      <c r="A315" t="s">
        <v>16</v>
      </c>
      <c r="B315">
        <v>1998</v>
      </c>
      <c r="C315">
        <v>1959</v>
      </c>
      <c r="D315" s="2">
        <v>207</v>
      </c>
      <c r="E315" s="3">
        <v>2166</v>
      </c>
      <c r="F315" t="s">
        <v>12</v>
      </c>
      <c r="G315" t="s">
        <v>12</v>
      </c>
      <c r="H315" s="1">
        <v>170.72933062171799</v>
      </c>
      <c r="I315" s="1">
        <v>350.75659331125598</v>
      </c>
      <c r="J315" s="1">
        <v>4.1764122128137497</v>
      </c>
      <c r="K315" s="1"/>
      <c r="L315" s="1"/>
      <c r="M315" s="1"/>
      <c r="N315" s="1"/>
      <c r="O315" s="1"/>
      <c r="P315" s="1"/>
      <c r="Q315" s="1">
        <v>157.68025739531001</v>
      </c>
      <c r="R315" s="1">
        <v>2692</v>
      </c>
      <c r="S315" t="s">
        <v>9</v>
      </c>
    </row>
    <row r="316" spans="1:19" x14ac:dyDescent="0.55000000000000004">
      <c r="A316" t="s">
        <v>16</v>
      </c>
      <c r="B316">
        <v>1997</v>
      </c>
      <c r="C316">
        <v>88</v>
      </c>
      <c r="D316" s="2">
        <v>3</v>
      </c>
      <c r="E316" s="3">
        <v>91</v>
      </c>
      <c r="F316" t="s">
        <v>12</v>
      </c>
      <c r="G316" t="s">
        <v>12</v>
      </c>
      <c r="H316" s="1">
        <v>26.350646120535998</v>
      </c>
      <c r="I316" s="1">
        <v>1374.4401133830399</v>
      </c>
      <c r="J316" s="1">
        <v>12.515733049985201</v>
      </c>
      <c r="K316" s="1"/>
      <c r="L316" s="1"/>
      <c r="M316" s="1"/>
      <c r="N316" s="1"/>
      <c r="O316" s="1"/>
      <c r="P316" s="1"/>
      <c r="Q316" s="1">
        <v>-221.45067027521799</v>
      </c>
      <c r="R316" s="1">
        <v>1726</v>
      </c>
      <c r="S316" t="s">
        <v>9</v>
      </c>
    </row>
    <row r="317" spans="1:19" x14ac:dyDescent="0.55000000000000004">
      <c r="A317" t="s">
        <v>16</v>
      </c>
      <c r="B317">
        <v>1996</v>
      </c>
      <c r="C317">
        <v>2022</v>
      </c>
      <c r="D317" s="2">
        <v>8</v>
      </c>
      <c r="E317" s="3">
        <v>2030</v>
      </c>
      <c r="F317" t="s">
        <v>12</v>
      </c>
      <c r="G317" t="s">
        <v>12</v>
      </c>
      <c r="H317" s="1">
        <v>79.182352929514195</v>
      </c>
      <c r="I317" s="1">
        <v>1500.0017987188501</v>
      </c>
      <c r="J317" s="1">
        <v>73.996019624373005</v>
      </c>
      <c r="K317" s="1"/>
      <c r="L317" s="1"/>
      <c r="M317" s="1"/>
      <c r="N317" s="1"/>
      <c r="O317" s="1"/>
      <c r="P317" s="1"/>
      <c r="Q317" s="1">
        <v>-856.05475711367103</v>
      </c>
      <c r="R317" s="1">
        <v>4539</v>
      </c>
      <c r="S317" t="s">
        <v>9</v>
      </c>
    </row>
    <row r="318" spans="1:19" x14ac:dyDescent="0.55000000000000004">
      <c r="A318" t="s">
        <v>16</v>
      </c>
      <c r="B318">
        <v>1995</v>
      </c>
      <c r="C318">
        <v>10316</v>
      </c>
      <c r="D318" s="2">
        <v>33</v>
      </c>
      <c r="E318" s="3">
        <v>10349</v>
      </c>
      <c r="F318" t="s">
        <v>12</v>
      </c>
      <c r="G318" t="s">
        <v>12</v>
      </c>
      <c r="H318" s="1">
        <v>90.923227281288206</v>
      </c>
      <c r="I318" s="1">
        <v>7773.41641325411</v>
      </c>
      <c r="J318" s="1">
        <v>1280.1689576087399</v>
      </c>
      <c r="K318" s="1"/>
      <c r="L318" s="1"/>
      <c r="M318" s="1"/>
      <c r="N318" s="1"/>
      <c r="O318" s="1"/>
      <c r="P318" s="1"/>
      <c r="Q318" s="1">
        <v>1875.11549399757</v>
      </c>
      <c r="R318" s="1">
        <v>19494</v>
      </c>
      <c r="S318" t="s">
        <v>9</v>
      </c>
    </row>
    <row r="319" spans="1:19" x14ac:dyDescent="0.55000000000000004">
      <c r="A319" t="s">
        <v>16</v>
      </c>
      <c r="B319">
        <v>1994</v>
      </c>
      <c r="C319">
        <v>4399</v>
      </c>
      <c r="D319" s="2">
        <v>23</v>
      </c>
      <c r="E319" s="3">
        <v>4422</v>
      </c>
      <c r="F319" t="s">
        <v>12</v>
      </c>
      <c r="G319" t="s">
        <v>12</v>
      </c>
      <c r="H319" s="1">
        <v>312.691099191543</v>
      </c>
      <c r="I319" s="1">
        <v>18710.9236500316</v>
      </c>
      <c r="J319" s="1">
        <v>23.680890555891999</v>
      </c>
      <c r="K319" s="1"/>
      <c r="L319" s="1"/>
      <c r="M319" s="1"/>
      <c r="N319" s="1"/>
      <c r="O319" s="1"/>
      <c r="P319" s="1"/>
      <c r="Q319" s="1">
        <v>2602.7851185634599</v>
      </c>
      <c r="R319" s="1">
        <v>23469</v>
      </c>
      <c r="S319" t="s">
        <v>9</v>
      </c>
    </row>
    <row r="320" spans="1:19" x14ac:dyDescent="0.55000000000000004">
      <c r="A320" t="s">
        <v>16</v>
      </c>
      <c r="B320">
        <v>1993</v>
      </c>
      <c r="C320">
        <v>1063</v>
      </c>
      <c r="D320" s="2">
        <v>68</v>
      </c>
      <c r="E320" s="3">
        <v>1131</v>
      </c>
      <c r="F320" t="s">
        <v>12</v>
      </c>
      <c r="G320" t="s">
        <v>12</v>
      </c>
      <c r="H320" s="1">
        <v>386.834194953007</v>
      </c>
      <c r="I320" s="1">
        <v>9548.3980075398795</v>
      </c>
      <c r="J320" s="1"/>
      <c r="K320" s="1"/>
      <c r="L320" s="1"/>
      <c r="M320" s="1"/>
      <c r="N320" s="1"/>
      <c r="O320" s="1"/>
      <c r="P320" s="1"/>
      <c r="Q320" s="1">
        <v>-1767.7307412182699</v>
      </c>
      <c r="R320" s="1">
        <v>12834</v>
      </c>
      <c r="S320" t="s">
        <v>9</v>
      </c>
    </row>
    <row r="321" spans="1:19" x14ac:dyDescent="0.55000000000000004">
      <c r="A321" t="s">
        <v>16</v>
      </c>
      <c r="B321">
        <v>1992</v>
      </c>
      <c r="C321">
        <v>1203</v>
      </c>
      <c r="D321" s="2">
        <v>2</v>
      </c>
      <c r="E321" s="3">
        <v>1205</v>
      </c>
      <c r="F321" t="s">
        <v>12</v>
      </c>
      <c r="G321" t="s">
        <v>12</v>
      </c>
      <c r="H321" s="1">
        <v>254.02387670648599</v>
      </c>
      <c r="I321" s="1">
        <v>6091.3873669910199</v>
      </c>
      <c r="J321" s="1"/>
      <c r="K321" s="1"/>
      <c r="L321" s="1"/>
      <c r="M321" s="1"/>
      <c r="N321" s="1"/>
      <c r="O321" s="1"/>
      <c r="P321" s="1"/>
      <c r="Q321" s="1">
        <v>-405.94328477931401</v>
      </c>
      <c r="R321" s="1">
        <v>7956</v>
      </c>
      <c r="S321" t="s">
        <v>9</v>
      </c>
    </row>
    <row r="322" spans="1:19" x14ac:dyDescent="0.55000000000000004">
      <c r="A322" t="s">
        <v>16</v>
      </c>
      <c r="B322">
        <v>1991</v>
      </c>
      <c r="C322">
        <v>20157</v>
      </c>
      <c r="D322" s="2">
        <v>34</v>
      </c>
      <c r="E322" s="3">
        <v>20191</v>
      </c>
      <c r="F322" t="s">
        <v>12</v>
      </c>
      <c r="G322" t="s">
        <v>12</v>
      </c>
      <c r="H322" s="1">
        <v>1167.0598139118999</v>
      </c>
      <c r="I322" s="1">
        <v>49313.697866214599</v>
      </c>
      <c r="J322" s="1">
        <v>354.24416752815</v>
      </c>
      <c r="K322" s="1"/>
      <c r="L322" s="1"/>
      <c r="M322" s="1"/>
      <c r="N322" s="1"/>
      <c r="O322" s="1"/>
      <c r="P322" s="1"/>
      <c r="Q322" s="1">
        <v>-16833.018447921899</v>
      </c>
      <c r="R322" s="1">
        <v>87859</v>
      </c>
      <c r="S322" t="s">
        <v>9</v>
      </c>
    </row>
    <row r="323" spans="1:19" x14ac:dyDescent="0.55000000000000004">
      <c r="A323" t="s">
        <v>16</v>
      </c>
      <c r="B323">
        <v>1990</v>
      </c>
      <c r="C323">
        <v>1860</v>
      </c>
      <c r="D323" s="2">
        <v>10</v>
      </c>
      <c r="E323" s="3">
        <v>1870</v>
      </c>
      <c r="F323" t="s">
        <v>12</v>
      </c>
      <c r="G323" t="s">
        <v>12</v>
      </c>
      <c r="H323" s="1">
        <v>202.565478864418</v>
      </c>
      <c r="I323" s="1">
        <v>8205.4785014525005</v>
      </c>
      <c r="J323" s="1"/>
      <c r="K323" s="1"/>
      <c r="L323" s="1"/>
      <c r="M323" s="1"/>
      <c r="N323" s="1"/>
      <c r="O323" s="1"/>
      <c r="P323" s="1"/>
      <c r="Q323" s="1">
        <v>-347.94733425229498</v>
      </c>
      <c r="R323" s="1">
        <v>10626</v>
      </c>
      <c r="S323" t="s">
        <v>9</v>
      </c>
    </row>
    <row r="324" spans="1:19" x14ac:dyDescent="0.55000000000000004">
      <c r="A324" t="s">
        <v>16</v>
      </c>
      <c r="B324">
        <v>1989</v>
      </c>
      <c r="C324">
        <v>418</v>
      </c>
      <c r="D324" s="2">
        <v>150</v>
      </c>
      <c r="E324" s="3">
        <v>568</v>
      </c>
      <c r="F324" t="s">
        <v>12</v>
      </c>
      <c r="G324" t="s">
        <v>12</v>
      </c>
      <c r="H324" s="1">
        <v>111.339906353591</v>
      </c>
      <c r="I324" s="1">
        <v>1564.6654736128201</v>
      </c>
      <c r="J324" s="1"/>
      <c r="K324" s="1"/>
      <c r="L324" s="1"/>
      <c r="M324" s="1"/>
      <c r="N324" s="1"/>
      <c r="O324" s="1"/>
      <c r="P324" s="1"/>
      <c r="Q324" s="1">
        <v>-2324.3816613969602</v>
      </c>
      <c r="R324" s="1">
        <v>4568</v>
      </c>
      <c r="S324" t="s">
        <v>9</v>
      </c>
    </row>
    <row r="325" spans="1:19" x14ac:dyDescent="0.55000000000000004">
      <c r="A325" t="s">
        <v>16</v>
      </c>
      <c r="B325">
        <v>1988</v>
      </c>
      <c r="C325">
        <v>861</v>
      </c>
      <c r="D325" s="2">
        <v>103</v>
      </c>
      <c r="E325" s="3">
        <v>964</v>
      </c>
      <c r="F325" t="s">
        <v>12</v>
      </c>
      <c r="G325" t="s">
        <v>12</v>
      </c>
      <c r="H325" s="1">
        <v>0</v>
      </c>
      <c r="I325" s="1">
        <v>9332.5641355390599</v>
      </c>
      <c r="J325" s="1">
        <v>8.7565774928145093</v>
      </c>
      <c r="K325" s="1"/>
      <c r="L325" s="1"/>
      <c r="M325" s="1"/>
      <c r="N325" s="1"/>
      <c r="O325" s="1"/>
      <c r="P325" s="1"/>
      <c r="Q325" s="1">
        <v>-2154.5592853237699</v>
      </c>
      <c r="R325" s="1">
        <v>12460</v>
      </c>
      <c r="S325" t="s">
        <v>9</v>
      </c>
    </row>
    <row r="326" spans="1:19" x14ac:dyDescent="0.55000000000000004">
      <c r="A326" t="s">
        <v>16</v>
      </c>
      <c r="B326">
        <v>1987</v>
      </c>
      <c r="C326">
        <v>32184</v>
      </c>
      <c r="D326" s="2">
        <v>152</v>
      </c>
      <c r="E326" s="3">
        <v>32336</v>
      </c>
      <c r="F326" t="s">
        <v>12</v>
      </c>
      <c r="G326" t="s">
        <v>12</v>
      </c>
      <c r="H326" s="1">
        <v>0</v>
      </c>
      <c r="I326" s="1">
        <v>3371.0413238985898</v>
      </c>
      <c r="J326" s="1"/>
      <c r="K326" s="1"/>
      <c r="L326" s="1"/>
      <c r="M326" s="1"/>
      <c r="N326" s="1"/>
      <c r="O326" s="1"/>
      <c r="P326" s="1"/>
      <c r="Q326" s="1">
        <v>32220.9707132941</v>
      </c>
      <c r="R326" s="1">
        <v>35707</v>
      </c>
      <c r="S326" t="s">
        <v>9</v>
      </c>
    </row>
    <row r="327" spans="1:19" x14ac:dyDescent="0.55000000000000004">
      <c r="A327" t="s">
        <v>16</v>
      </c>
      <c r="B327">
        <v>1986</v>
      </c>
      <c r="C327">
        <v>3256</v>
      </c>
      <c r="D327" s="2">
        <v>277</v>
      </c>
      <c r="E327" s="3">
        <v>3533</v>
      </c>
      <c r="F327" t="s">
        <v>12</v>
      </c>
      <c r="G327" t="s">
        <v>12</v>
      </c>
      <c r="H327" s="1">
        <v>40.923490227645203</v>
      </c>
      <c r="I327" s="1">
        <v>8971.2655870587205</v>
      </c>
      <c r="J327" s="1">
        <v>69.411386515523205</v>
      </c>
      <c r="K327" s="1"/>
      <c r="L327" s="1"/>
      <c r="M327" s="1"/>
      <c r="N327" s="1"/>
      <c r="O327" s="1"/>
      <c r="P327" s="1"/>
      <c r="Q327" s="1">
        <v>-569.66497058427797</v>
      </c>
      <c r="R327" s="1">
        <v>13184</v>
      </c>
      <c r="S327" t="s">
        <v>9</v>
      </c>
    </row>
    <row r="328" spans="1:19" x14ac:dyDescent="0.55000000000000004">
      <c r="A328" t="s">
        <v>16</v>
      </c>
      <c r="B328">
        <v>1985</v>
      </c>
      <c r="C328">
        <v>424</v>
      </c>
      <c r="D328" s="2">
        <v>147</v>
      </c>
      <c r="E328" s="3">
        <v>571</v>
      </c>
      <c r="F328" t="s">
        <v>12</v>
      </c>
      <c r="G328" t="s">
        <v>12</v>
      </c>
      <c r="H328" s="1">
        <v>0.51280777181178805</v>
      </c>
      <c r="I328" s="1">
        <v>1345.32055335015</v>
      </c>
      <c r="J328" s="1">
        <v>6.35799383838929</v>
      </c>
      <c r="K328" s="1"/>
      <c r="L328" s="1"/>
      <c r="M328" s="1"/>
      <c r="N328" s="1"/>
      <c r="O328" s="1"/>
      <c r="P328" s="1"/>
      <c r="Q328" s="1">
        <v>577.35799383838901</v>
      </c>
      <c r="R328" s="1">
        <v>1923</v>
      </c>
      <c r="S328" t="s">
        <v>9</v>
      </c>
    </row>
    <row r="329" spans="1:19" x14ac:dyDescent="0.55000000000000004">
      <c r="A329" t="s">
        <v>16</v>
      </c>
      <c r="B329">
        <v>1984</v>
      </c>
      <c r="C329">
        <v>994</v>
      </c>
      <c r="D329" s="2">
        <v>153</v>
      </c>
      <c r="E329" s="3">
        <v>1147</v>
      </c>
      <c r="F329" t="s">
        <v>12</v>
      </c>
      <c r="G329" t="s">
        <v>12</v>
      </c>
      <c r="H329" s="1">
        <v>0</v>
      </c>
      <c r="I329" s="1">
        <v>5978.8953597809896</v>
      </c>
      <c r="J329" s="1">
        <v>41.339313095608702</v>
      </c>
      <c r="K329" s="1"/>
      <c r="L329" s="1"/>
      <c r="M329" s="1"/>
      <c r="N329" s="1"/>
      <c r="O329" s="1"/>
      <c r="P329" s="1"/>
      <c r="Q329" s="1">
        <v>-838.90484341779199</v>
      </c>
      <c r="R329" s="1">
        <v>8006</v>
      </c>
      <c r="S329" t="s">
        <v>9</v>
      </c>
    </row>
    <row r="330" spans="1:19" x14ac:dyDescent="0.55000000000000004">
      <c r="A330" t="s">
        <v>16</v>
      </c>
      <c r="B330">
        <v>1983</v>
      </c>
      <c r="C330">
        <v>19944</v>
      </c>
      <c r="D330" s="2">
        <v>8</v>
      </c>
      <c r="E330" s="3">
        <v>19952</v>
      </c>
      <c r="F330" t="s">
        <v>12</v>
      </c>
      <c r="G330" t="s">
        <v>12</v>
      </c>
      <c r="H330" s="1">
        <v>1820.12071721754</v>
      </c>
      <c r="I330" s="1">
        <v>100150.274709602</v>
      </c>
      <c r="J330" s="1">
        <v>634.81106904126102</v>
      </c>
      <c r="K330" s="1"/>
      <c r="L330" s="1"/>
      <c r="M330" s="1"/>
      <c r="N330" s="1"/>
      <c r="O330" s="1"/>
      <c r="P330" s="1"/>
      <c r="Q330" s="1">
        <v>11889.3679778243</v>
      </c>
      <c r="R330" s="1">
        <v>122557</v>
      </c>
      <c r="S330" t="s">
        <v>9</v>
      </c>
    </row>
    <row r="331" spans="1:19" x14ac:dyDescent="0.55000000000000004">
      <c r="A331" t="s">
        <v>16</v>
      </c>
      <c r="B331">
        <v>1982</v>
      </c>
      <c r="C331">
        <v>16725</v>
      </c>
      <c r="D331" s="2">
        <v>497</v>
      </c>
      <c r="E331" s="3">
        <v>17222</v>
      </c>
      <c r="F331" t="s">
        <v>12</v>
      </c>
      <c r="G331" t="s">
        <v>12</v>
      </c>
      <c r="H331" s="1"/>
      <c r="I331" s="1">
        <v>52767.084897474102</v>
      </c>
      <c r="J331" s="1">
        <v>193.10862152002099</v>
      </c>
      <c r="K331" s="1"/>
      <c r="L331" s="1"/>
      <c r="M331" s="1"/>
      <c r="N331" s="1"/>
      <c r="O331" s="1"/>
      <c r="P331" s="1"/>
      <c r="Q331" s="1">
        <v>-7528.4929158736504</v>
      </c>
      <c r="R331" s="1">
        <v>77711</v>
      </c>
      <c r="S331" t="s">
        <v>9</v>
      </c>
    </row>
    <row r="332" spans="1:19" x14ac:dyDescent="0.55000000000000004">
      <c r="A332" t="s">
        <v>16</v>
      </c>
      <c r="B332">
        <v>1981</v>
      </c>
      <c r="C332">
        <v>256</v>
      </c>
      <c r="D332" s="2">
        <v>903</v>
      </c>
      <c r="E332" s="3">
        <v>1159</v>
      </c>
      <c r="F332" t="s">
        <v>12</v>
      </c>
      <c r="G332" t="s">
        <v>12</v>
      </c>
      <c r="H332" s="1"/>
      <c r="I332" s="1">
        <v>5551.1648831843504</v>
      </c>
      <c r="J332" s="1">
        <v>15.955974058897</v>
      </c>
      <c r="K332" s="1"/>
      <c r="L332" s="1"/>
      <c r="M332" s="1"/>
      <c r="N332" s="1"/>
      <c r="O332" s="1"/>
      <c r="P332" s="1"/>
      <c r="Q332" s="1">
        <v>872.87718684043796</v>
      </c>
      <c r="R332" s="1">
        <v>6726</v>
      </c>
      <c r="S332" t="s">
        <v>9</v>
      </c>
    </row>
    <row r="333" spans="1:19" x14ac:dyDescent="0.55000000000000004">
      <c r="A333" t="s">
        <v>16</v>
      </c>
      <c r="B333">
        <v>1980</v>
      </c>
      <c r="C333">
        <v>1657</v>
      </c>
      <c r="D333" s="2">
        <v>30</v>
      </c>
      <c r="E333" s="3">
        <v>1687</v>
      </c>
      <c r="F333" t="s">
        <v>12</v>
      </c>
      <c r="G333" t="s">
        <v>12</v>
      </c>
      <c r="H333" s="1"/>
      <c r="I333" s="1">
        <v>5749.2727408812998</v>
      </c>
      <c r="J333" s="1">
        <v>77.2916685572022</v>
      </c>
      <c r="K333" s="1"/>
      <c r="L333" s="1"/>
      <c r="M333" s="1"/>
      <c r="N333" s="1"/>
      <c r="O333" s="1"/>
      <c r="P333" s="1"/>
      <c r="Q333" s="1">
        <v>-923.38776890519603</v>
      </c>
      <c r="R333" s="1">
        <v>8437</v>
      </c>
      <c r="S333" t="s">
        <v>9</v>
      </c>
    </row>
    <row r="334" spans="1:19" x14ac:dyDescent="0.55000000000000004">
      <c r="A334" t="s">
        <v>16</v>
      </c>
      <c r="B334">
        <v>1979</v>
      </c>
      <c r="C334">
        <v>32031</v>
      </c>
      <c r="D334" s="2">
        <v>14</v>
      </c>
      <c r="E334" s="3">
        <v>32045</v>
      </c>
      <c r="F334" t="s">
        <v>12</v>
      </c>
      <c r="G334" t="s">
        <v>12</v>
      </c>
      <c r="H334" s="1"/>
      <c r="I334" s="1">
        <v>90536.867908277505</v>
      </c>
      <c r="J334" s="1">
        <v>2022.073720051</v>
      </c>
      <c r="K334" s="1"/>
      <c r="L334" s="1"/>
      <c r="M334" s="1"/>
      <c r="N334" s="1"/>
      <c r="O334" s="1"/>
      <c r="P334" s="1"/>
      <c r="Q334" s="1">
        <v>-6527.8581965866897</v>
      </c>
      <c r="R334" s="1">
        <v>131132</v>
      </c>
      <c r="S334" t="s">
        <v>9</v>
      </c>
    </row>
    <row r="335" spans="1:19" x14ac:dyDescent="0.55000000000000004">
      <c r="A335" t="s">
        <v>16</v>
      </c>
      <c r="B335">
        <v>1978</v>
      </c>
      <c r="C335">
        <v>5076</v>
      </c>
      <c r="D335" s="2">
        <v>2189</v>
      </c>
      <c r="E335" s="3">
        <v>7265</v>
      </c>
      <c r="F335" t="s">
        <v>12</v>
      </c>
      <c r="G335" t="s">
        <v>12</v>
      </c>
      <c r="H335" s="1"/>
      <c r="I335" s="1">
        <v>17714.3929198472</v>
      </c>
      <c r="J335" s="1">
        <v>139.27439141028</v>
      </c>
      <c r="K335" s="1"/>
      <c r="L335" s="1"/>
      <c r="M335" s="1"/>
      <c r="N335" s="1"/>
      <c r="O335" s="1"/>
      <c r="P335" s="1"/>
      <c r="Q335" s="1">
        <v>2675.1190509251101</v>
      </c>
      <c r="R335" s="1">
        <v>25119</v>
      </c>
      <c r="S335" t="s">
        <v>9</v>
      </c>
    </row>
    <row r="336" spans="1:19" x14ac:dyDescent="0.55000000000000004">
      <c r="A336" t="s">
        <v>16</v>
      </c>
      <c r="B336">
        <v>1977</v>
      </c>
      <c r="C336">
        <v>82</v>
      </c>
      <c r="D336" s="2">
        <v>271</v>
      </c>
      <c r="E336" s="3">
        <v>353</v>
      </c>
      <c r="F336" t="s">
        <v>12</v>
      </c>
      <c r="G336" t="s">
        <v>12</v>
      </c>
      <c r="H336" s="1"/>
      <c r="I336" s="1">
        <v>721.75169157318896</v>
      </c>
      <c r="J336" s="1">
        <v>3.6687611832322302</v>
      </c>
      <c r="K336" s="1"/>
      <c r="L336" s="1"/>
      <c r="M336" s="1"/>
      <c r="N336" s="1"/>
      <c r="O336" s="1"/>
      <c r="P336" s="1"/>
      <c r="Q336" s="1">
        <v>246.593137789011</v>
      </c>
      <c r="R336" s="1">
        <v>1078</v>
      </c>
      <c r="S336" t="s">
        <v>9</v>
      </c>
    </row>
    <row r="337" spans="1:19" x14ac:dyDescent="0.55000000000000004">
      <c r="A337" t="s">
        <v>16</v>
      </c>
      <c r="B337">
        <v>1976</v>
      </c>
      <c r="C337">
        <v>4435</v>
      </c>
      <c r="D337" s="2">
        <v>15</v>
      </c>
      <c r="E337" s="3">
        <v>4450</v>
      </c>
      <c r="F337" t="s">
        <v>12</v>
      </c>
      <c r="G337" t="s">
        <v>12</v>
      </c>
      <c r="H337" s="1"/>
      <c r="I337" s="1">
        <v>27444</v>
      </c>
      <c r="J337" s="1">
        <v>130</v>
      </c>
      <c r="K337" s="1"/>
      <c r="L337" s="1"/>
      <c r="M337" s="1"/>
      <c r="N337" s="1"/>
      <c r="O337" s="1"/>
      <c r="P337" s="1"/>
      <c r="Q337" s="1"/>
      <c r="R337" s="1">
        <v>32024</v>
      </c>
      <c r="S337" t="s">
        <v>12</v>
      </c>
    </row>
    <row r="338" spans="1:19" x14ac:dyDescent="0.55000000000000004">
      <c r="A338" t="s">
        <v>16</v>
      </c>
      <c r="B338">
        <v>1975</v>
      </c>
      <c r="C338">
        <v>11349</v>
      </c>
      <c r="D338" s="2">
        <v>129</v>
      </c>
      <c r="E338" s="3">
        <v>11478</v>
      </c>
      <c r="F338" t="s">
        <v>12</v>
      </c>
      <c r="G338" t="s">
        <v>12</v>
      </c>
      <c r="H338" s="1"/>
      <c r="I338" s="1">
        <v>34526</v>
      </c>
      <c r="J338" s="1">
        <v>627</v>
      </c>
      <c r="K338" s="1"/>
      <c r="L338" s="1"/>
      <c r="M338" s="1"/>
      <c r="N338" s="1"/>
      <c r="O338" s="1"/>
      <c r="P338" s="1"/>
      <c r="Q338" s="1"/>
      <c r="R338" s="1">
        <v>46631</v>
      </c>
      <c r="S338" t="s">
        <v>11</v>
      </c>
    </row>
    <row r="339" spans="1:19" x14ac:dyDescent="0.55000000000000004">
      <c r="A339" t="s">
        <v>16</v>
      </c>
      <c r="B339">
        <v>1974</v>
      </c>
      <c r="C339">
        <v>8984</v>
      </c>
      <c r="D339" s="2">
        <v>830</v>
      </c>
      <c r="E339" s="3">
        <v>9814</v>
      </c>
      <c r="F339" t="s">
        <v>12</v>
      </c>
      <c r="G339" t="s">
        <v>12</v>
      </c>
      <c r="H339" s="1"/>
      <c r="I339" s="1">
        <v>35664</v>
      </c>
      <c r="J339" s="1">
        <v>737</v>
      </c>
      <c r="K339" s="1"/>
      <c r="L339" s="1"/>
      <c r="M339" s="1"/>
      <c r="N339" s="1"/>
      <c r="O339" s="1"/>
      <c r="P339" s="1"/>
      <c r="Q339" s="1"/>
      <c r="R339" s="1">
        <v>46215</v>
      </c>
      <c r="S339" t="s">
        <v>12</v>
      </c>
    </row>
    <row r="340" spans="1:19" x14ac:dyDescent="0.55000000000000004">
      <c r="A340" t="s">
        <v>16</v>
      </c>
      <c r="B340">
        <v>1973</v>
      </c>
      <c r="C340">
        <v>641</v>
      </c>
      <c r="D340" s="2">
        <v>217</v>
      </c>
      <c r="E340" s="3">
        <v>858</v>
      </c>
      <c r="F340" t="s">
        <v>12</v>
      </c>
      <c r="G340" t="s">
        <v>12</v>
      </c>
      <c r="H340" s="1"/>
      <c r="I340" s="1">
        <v>6551</v>
      </c>
      <c r="J340" s="1">
        <v>18</v>
      </c>
      <c r="K340" s="1"/>
      <c r="L340" s="1"/>
      <c r="M340" s="1"/>
      <c r="N340" s="1"/>
      <c r="O340" s="1"/>
      <c r="P340" s="1"/>
      <c r="Q340" s="1"/>
      <c r="R340" s="1">
        <v>7427</v>
      </c>
      <c r="S340" t="s">
        <v>12</v>
      </c>
    </row>
    <row r="341" spans="1:19" x14ac:dyDescent="0.55000000000000004">
      <c r="A341" t="s">
        <v>16</v>
      </c>
      <c r="B341">
        <v>1972</v>
      </c>
      <c r="C341">
        <v>10366</v>
      </c>
      <c r="D341" s="2">
        <v>294</v>
      </c>
      <c r="E341" s="3">
        <v>10660</v>
      </c>
      <c r="F341" t="s">
        <v>12</v>
      </c>
      <c r="G341" t="s">
        <v>12</v>
      </c>
      <c r="H341" s="1"/>
      <c r="I341" s="1">
        <v>53981.999999999898</v>
      </c>
      <c r="J341" s="1">
        <v>72</v>
      </c>
      <c r="K341" s="1"/>
      <c r="L341" s="1"/>
      <c r="M341" s="1"/>
      <c r="N341" s="1"/>
      <c r="O341" s="1"/>
      <c r="P341" s="1"/>
      <c r="Q341" s="1"/>
      <c r="R341" s="1">
        <v>64714</v>
      </c>
      <c r="S341" t="s">
        <v>12</v>
      </c>
    </row>
    <row r="342" spans="1:19" x14ac:dyDescent="0.55000000000000004">
      <c r="A342" t="s">
        <v>16</v>
      </c>
      <c r="B342">
        <v>1971</v>
      </c>
      <c r="C342">
        <v>9128</v>
      </c>
      <c r="D342" s="2">
        <v>17</v>
      </c>
      <c r="E342" s="3">
        <v>9145</v>
      </c>
      <c r="F342" t="s">
        <v>12</v>
      </c>
      <c r="G342" t="s">
        <v>12</v>
      </c>
      <c r="H342" s="1"/>
      <c r="I342" s="1">
        <v>125331</v>
      </c>
      <c r="J342" s="1"/>
      <c r="K342" s="1"/>
      <c r="L342" s="1"/>
      <c r="M342" s="1"/>
      <c r="N342" s="1"/>
      <c r="O342" s="1"/>
      <c r="P342" s="1"/>
      <c r="Q342" s="1"/>
      <c r="R342" s="1">
        <v>134476</v>
      </c>
      <c r="S342" t="s">
        <v>12</v>
      </c>
    </row>
    <row r="343" spans="1:19" x14ac:dyDescent="0.55000000000000004">
      <c r="A343" t="s">
        <v>16</v>
      </c>
      <c r="B343">
        <v>1970</v>
      </c>
      <c r="C343">
        <v>13941</v>
      </c>
      <c r="D343" s="2">
        <v>1208</v>
      </c>
      <c r="E343" s="3">
        <v>15149</v>
      </c>
      <c r="F343" t="s">
        <v>12</v>
      </c>
      <c r="G343" t="s">
        <v>12</v>
      </c>
      <c r="H343" s="1"/>
      <c r="I343" s="1">
        <v>119829</v>
      </c>
      <c r="J343" s="1">
        <v>1357</v>
      </c>
      <c r="K343" s="1"/>
      <c r="L343" s="1"/>
      <c r="M343" s="1"/>
      <c r="N343" s="1"/>
      <c r="O343" s="1"/>
      <c r="P343" s="1"/>
      <c r="Q343" s="1"/>
      <c r="R343" s="1">
        <v>136335</v>
      </c>
      <c r="S343" t="s">
        <v>12</v>
      </c>
    </row>
    <row r="344" spans="1:19" x14ac:dyDescent="0.55000000000000004">
      <c r="A344" t="s">
        <v>16</v>
      </c>
      <c r="B344">
        <v>1969</v>
      </c>
      <c r="C344">
        <v>5942</v>
      </c>
      <c r="D344" s="2">
        <v>797</v>
      </c>
      <c r="E344" s="3">
        <v>6739</v>
      </c>
      <c r="F344" t="s">
        <v>12</v>
      </c>
      <c r="G344" t="s">
        <v>12</v>
      </c>
      <c r="H344" s="1"/>
      <c r="I344" s="1">
        <v>32632</v>
      </c>
      <c r="J344" s="1">
        <v>133</v>
      </c>
      <c r="K344" s="1"/>
      <c r="L344" s="1"/>
      <c r="M344" s="1"/>
      <c r="N344" s="1"/>
      <c r="O344" s="1"/>
      <c r="P344" s="1"/>
      <c r="Q344" s="1"/>
      <c r="R344" s="1">
        <v>39504</v>
      </c>
      <c r="S344" t="s">
        <v>12</v>
      </c>
    </row>
    <row r="345" spans="1:19" x14ac:dyDescent="0.55000000000000004">
      <c r="A345" t="s">
        <v>16</v>
      </c>
      <c r="B345">
        <v>1968</v>
      </c>
      <c r="C345">
        <v>25314</v>
      </c>
      <c r="D345" s="2">
        <v>422</v>
      </c>
      <c r="E345" s="3">
        <v>25736</v>
      </c>
      <c r="F345" t="s">
        <v>12</v>
      </c>
      <c r="G345" t="s">
        <v>12</v>
      </c>
      <c r="H345" s="1"/>
      <c r="I345" s="1">
        <v>48890</v>
      </c>
      <c r="J345" s="1">
        <v>770</v>
      </c>
      <c r="K345" s="1"/>
      <c r="L345" s="1"/>
      <c r="M345" s="1"/>
      <c r="N345" s="1"/>
      <c r="O345" s="1"/>
      <c r="P345" s="1"/>
      <c r="Q345" s="1"/>
      <c r="R345" s="1">
        <v>75396</v>
      </c>
      <c r="S345" t="s">
        <v>12</v>
      </c>
    </row>
    <row r="346" spans="1:19" x14ac:dyDescent="0.55000000000000004">
      <c r="A346" t="s">
        <v>16</v>
      </c>
      <c r="B346">
        <v>1967</v>
      </c>
      <c r="C346">
        <v>33198</v>
      </c>
      <c r="D346" s="2">
        <v>294</v>
      </c>
      <c r="E346" s="3">
        <v>33492</v>
      </c>
      <c r="F346" t="s">
        <v>12</v>
      </c>
      <c r="G346" t="s">
        <v>12</v>
      </c>
      <c r="H346" s="1"/>
      <c r="I346" s="1">
        <v>283826</v>
      </c>
      <c r="J346" s="1">
        <v>462</v>
      </c>
      <c r="K346" s="1"/>
      <c r="L346" s="1"/>
      <c r="M346" s="1"/>
      <c r="N346" s="1"/>
      <c r="O346" s="1"/>
      <c r="P346" s="1"/>
      <c r="Q346" s="1"/>
      <c r="R346" s="1">
        <v>317780</v>
      </c>
      <c r="S346" t="s">
        <v>12</v>
      </c>
    </row>
    <row r="347" spans="1:19" x14ac:dyDescent="0.55000000000000004">
      <c r="A347" t="s">
        <v>16</v>
      </c>
      <c r="B347">
        <v>1966</v>
      </c>
      <c r="C347">
        <v>16919</v>
      </c>
      <c r="D347" s="2">
        <v>545</v>
      </c>
      <c r="E347" s="3">
        <v>17464</v>
      </c>
      <c r="F347" t="s">
        <v>12</v>
      </c>
      <c r="G347" t="s">
        <v>12</v>
      </c>
      <c r="H347" s="1"/>
      <c r="I347" s="1">
        <v>44412</v>
      </c>
      <c r="J347" s="1">
        <v>255</v>
      </c>
      <c r="K347" s="1"/>
      <c r="L347" s="1"/>
      <c r="M347" s="1"/>
      <c r="N347" s="1"/>
      <c r="O347" s="1"/>
      <c r="P347" s="1"/>
      <c r="Q347" s="1"/>
      <c r="R347" s="1">
        <v>62131</v>
      </c>
      <c r="S347" t="s">
        <v>12</v>
      </c>
    </row>
    <row r="348" spans="1:19" x14ac:dyDescent="0.55000000000000004">
      <c r="A348" t="s">
        <v>16</v>
      </c>
      <c r="B348">
        <v>1965</v>
      </c>
      <c r="C348">
        <v>2455</v>
      </c>
      <c r="D348" s="2">
        <v>77</v>
      </c>
      <c r="E348" s="3">
        <v>2532</v>
      </c>
      <c r="F348" t="s">
        <v>12</v>
      </c>
      <c r="G348" t="s">
        <v>12</v>
      </c>
      <c r="H348" s="1"/>
      <c r="I348" s="1">
        <v>12611</v>
      </c>
      <c r="J348" s="1">
        <v>110</v>
      </c>
      <c r="K348" s="1"/>
      <c r="L348" s="1"/>
      <c r="M348" s="1"/>
      <c r="N348" s="1"/>
      <c r="O348" s="1"/>
      <c r="P348" s="1"/>
      <c r="Q348" s="1"/>
      <c r="R348" s="1">
        <v>15253</v>
      </c>
      <c r="S348" t="s">
        <v>12</v>
      </c>
    </row>
    <row r="349" spans="1:19" x14ac:dyDescent="0.55000000000000004">
      <c r="A349" t="s">
        <v>16</v>
      </c>
      <c r="B349">
        <v>1964</v>
      </c>
      <c r="C349">
        <v>11067</v>
      </c>
      <c r="D349" s="2">
        <v>76</v>
      </c>
      <c r="E349" s="3">
        <v>11143</v>
      </c>
      <c r="F349" t="s">
        <v>12</v>
      </c>
      <c r="G349" t="s">
        <v>12</v>
      </c>
      <c r="H349" s="1"/>
      <c r="I349" s="1">
        <v>30889</v>
      </c>
      <c r="J349" s="1">
        <v>584</v>
      </c>
      <c r="K349" s="1"/>
      <c r="L349" s="1"/>
      <c r="M349" s="1"/>
      <c r="N349" s="1"/>
      <c r="O349" s="1"/>
      <c r="P349" s="1"/>
      <c r="Q349" s="1"/>
      <c r="R349" s="1">
        <v>42616</v>
      </c>
      <c r="S349" t="s">
        <v>11</v>
      </c>
    </row>
    <row r="350" spans="1:19" x14ac:dyDescent="0.55000000000000004">
      <c r="A350" t="s">
        <v>16</v>
      </c>
      <c r="B350">
        <v>1963</v>
      </c>
      <c r="C350">
        <v>20303</v>
      </c>
      <c r="D350" s="2">
        <v>268</v>
      </c>
      <c r="E350" s="3">
        <v>20571</v>
      </c>
      <c r="F350" t="s">
        <v>12</v>
      </c>
      <c r="G350" t="s">
        <v>12</v>
      </c>
      <c r="H350" s="1"/>
      <c r="I350" s="1">
        <v>59348</v>
      </c>
      <c r="J350" s="1">
        <v>694</v>
      </c>
      <c r="K350" s="1"/>
      <c r="L350" s="1"/>
      <c r="M350" s="1"/>
      <c r="N350" s="1"/>
      <c r="O350" s="1"/>
      <c r="P350" s="1"/>
      <c r="Q350" s="1"/>
      <c r="R350" s="1">
        <v>80613</v>
      </c>
      <c r="S350" t="s">
        <v>12</v>
      </c>
    </row>
    <row r="351" spans="1:19" x14ac:dyDescent="0.55000000000000004">
      <c r="A351" t="s">
        <v>16</v>
      </c>
      <c r="B351">
        <v>1962</v>
      </c>
      <c r="C351">
        <v>26997</v>
      </c>
      <c r="D351" s="2">
        <v>73</v>
      </c>
      <c r="E351" s="3">
        <v>27070</v>
      </c>
      <c r="F351" t="s">
        <v>12</v>
      </c>
      <c r="G351" t="s">
        <v>12</v>
      </c>
      <c r="H351" s="1"/>
      <c r="I351" s="1">
        <v>40791</v>
      </c>
      <c r="J351" s="1">
        <v>192</v>
      </c>
      <c r="K351" s="1"/>
      <c r="L351" s="1"/>
      <c r="M351" s="1"/>
      <c r="N351" s="1"/>
      <c r="O351" s="1"/>
      <c r="P351" s="1"/>
      <c r="Q351" s="1"/>
      <c r="R351" s="1">
        <v>68053</v>
      </c>
      <c r="S351" t="s">
        <v>12</v>
      </c>
    </row>
    <row r="352" spans="1:19" x14ac:dyDescent="0.55000000000000004">
      <c r="A352" t="s">
        <v>16</v>
      </c>
      <c r="B352">
        <v>1961</v>
      </c>
      <c r="C352">
        <v>13396</v>
      </c>
      <c r="D352" s="2">
        <v>2032</v>
      </c>
      <c r="E352" s="3">
        <v>15428</v>
      </c>
      <c r="F352" t="s">
        <v>12</v>
      </c>
      <c r="G352" t="s">
        <v>12</v>
      </c>
      <c r="H352" s="1"/>
      <c r="I352" s="1">
        <v>12010</v>
      </c>
      <c r="J352" s="1">
        <v>416</v>
      </c>
      <c r="K352" s="1"/>
      <c r="L352" s="1"/>
      <c r="M352" s="1"/>
      <c r="N352" s="1"/>
      <c r="O352" s="1"/>
      <c r="P352" s="1"/>
      <c r="Q352" s="1"/>
      <c r="R352" s="1">
        <v>27854</v>
      </c>
      <c r="S352" t="s">
        <v>12</v>
      </c>
    </row>
    <row r="353" spans="1:19" x14ac:dyDescent="0.55000000000000004">
      <c r="A353" t="s">
        <v>16</v>
      </c>
      <c r="B353">
        <v>1960</v>
      </c>
      <c r="C353">
        <v>17640</v>
      </c>
      <c r="D353" s="2">
        <v>49</v>
      </c>
      <c r="E353" s="3">
        <v>17689</v>
      </c>
      <c r="F353" t="s">
        <v>12</v>
      </c>
      <c r="G353" t="s">
        <v>12</v>
      </c>
      <c r="H353" s="1"/>
      <c r="I353" s="1">
        <v>18195</v>
      </c>
      <c r="J353" s="1">
        <v>295</v>
      </c>
      <c r="K353" s="1"/>
      <c r="L353" s="1"/>
      <c r="M353" s="1"/>
      <c r="N353" s="1"/>
      <c r="O353" s="1"/>
      <c r="P353" s="1"/>
      <c r="Q353" s="1"/>
      <c r="R353" s="1">
        <v>36179</v>
      </c>
      <c r="S353" t="s">
        <v>11</v>
      </c>
    </row>
    <row r="354" spans="1:19" x14ac:dyDescent="0.55000000000000004">
      <c r="A354" t="s">
        <v>16</v>
      </c>
      <c r="B354">
        <v>1959</v>
      </c>
      <c r="C354">
        <v>47779</v>
      </c>
      <c r="D354" s="2">
        <v>682</v>
      </c>
      <c r="E354" s="3">
        <v>48461</v>
      </c>
      <c r="F354" t="s">
        <v>12</v>
      </c>
      <c r="G354" t="s">
        <v>12</v>
      </c>
      <c r="H354" s="1"/>
      <c r="I354" s="1">
        <v>318378</v>
      </c>
      <c r="J354" s="1">
        <v>525</v>
      </c>
      <c r="K354" s="1"/>
      <c r="L354" s="1"/>
      <c r="M354" s="1"/>
      <c r="N354" s="1"/>
      <c r="O354" s="1"/>
      <c r="P354" s="1"/>
      <c r="Q354" s="1"/>
      <c r="R354" s="1">
        <v>367364</v>
      </c>
      <c r="S354" t="s">
        <v>12</v>
      </c>
    </row>
    <row r="355" spans="1:19" x14ac:dyDescent="0.55000000000000004">
      <c r="A355" t="s">
        <v>16</v>
      </c>
      <c r="B355">
        <v>1958</v>
      </c>
      <c r="C355">
        <v>13324</v>
      </c>
      <c r="D355" s="2">
        <v>773</v>
      </c>
      <c r="E355" s="3">
        <v>14097</v>
      </c>
      <c r="F355" t="s">
        <v>12</v>
      </c>
      <c r="G355" t="s">
        <v>12</v>
      </c>
      <c r="H355" s="1"/>
      <c r="I355" s="1">
        <v>103156</v>
      </c>
      <c r="J355" s="1">
        <v>48</v>
      </c>
      <c r="K355" s="1"/>
      <c r="L355" s="1"/>
      <c r="M355" s="1"/>
      <c r="N355" s="1"/>
      <c r="O355" s="1"/>
      <c r="P355" s="1"/>
      <c r="Q355" s="1"/>
      <c r="R355" s="1">
        <v>117301</v>
      </c>
      <c r="S355" t="s">
        <v>12</v>
      </c>
    </row>
    <row r="356" spans="1:19" x14ac:dyDescent="0.55000000000000004">
      <c r="A356" t="s">
        <v>16</v>
      </c>
      <c r="B356">
        <v>1957</v>
      </c>
      <c r="C356">
        <v>20375</v>
      </c>
      <c r="D356" s="2">
        <v>272</v>
      </c>
      <c r="E356" s="3">
        <v>20647</v>
      </c>
      <c r="F356" t="s">
        <v>12</v>
      </c>
      <c r="G356" t="s">
        <v>12</v>
      </c>
      <c r="H356" s="1"/>
      <c r="I356" s="1">
        <v>91843.999999999898</v>
      </c>
      <c r="J356" s="1">
        <v>81</v>
      </c>
      <c r="K356" s="1"/>
      <c r="L356" s="1"/>
      <c r="M356" s="1"/>
      <c r="N356" s="1"/>
      <c r="O356" s="1"/>
      <c r="P356" s="1"/>
      <c r="Q356" s="1"/>
      <c r="R356" s="1">
        <v>112572</v>
      </c>
      <c r="S356" t="s">
        <v>12</v>
      </c>
    </row>
    <row r="357" spans="1:19" x14ac:dyDescent="0.55000000000000004">
      <c r="A357" t="s">
        <v>16</v>
      </c>
      <c r="B357">
        <v>1956</v>
      </c>
      <c r="C357">
        <v>13718</v>
      </c>
      <c r="D357" s="2">
        <v>415</v>
      </c>
      <c r="E357" s="3">
        <v>14133</v>
      </c>
      <c r="F357" t="s">
        <v>12</v>
      </c>
      <c r="G357" t="s">
        <v>12</v>
      </c>
      <c r="H357" s="1"/>
      <c r="I357" s="1">
        <v>33923</v>
      </c>
      <c r="J357" s="1">
        <v>467</v>
      </c>
      <c r="K357" s="1"/>
      <c r="L357" s="1"/>
      <c r="M357" s="1"/>
      <c r="N357" s="1"/>
      <c r="O357" s="1"/>
      <c r="P357" s="1"/>
      <c r="Q357" s="1"/>
      <c r="R357" s="1">
        <v>48523</v>
      </c>
      <c r="S357" t="s">
        <v>12</v>
      </c>
    </row>
    <row r="358" spans="1:19" x14ac:dyDescent="0.55000000000000004">
      <c r="A358" t="s">
        <v>16</v>
      </c>
      <c r="B358">
        <v>1955</v>
      </c>
      <c r="C358">
        <v>25922</v>
      </c>
      <c r="D358" s="2">
        <v>78</v>
      </c>
      <c r="E358" s="3">
        <v>26000</v>
      </c>
      <c r="F358" t="s">
        <v>12</v>
      </c>
      <c r="G358" t="s">
        <v>12</v>
      </c>
      <c r="H358" s="1"/>
      <c r="I358" s="1">
        <v>166097</v>
      </c>
      <c r="J358" s="1">
        <v>122</v>
      </c>
      <c r="K358" s="1"/>
      <c r="L358" s="1"/>
      <c r="M358" s="1"/>
      <c r="N358" s="1"/>
      <c r="O358" s="1"/>
      <c r="P358" s="1"/>
      <c r="Q358" s="1"/>
      <c r="R358" s="1">
        <v>192219</v>
      </c>
      <c r="S358" t="s">
        <v>11</v>
      </c>
    </row>
    <row r="359" spans="1:19" x14ac:dyDescent="0.55000000000000004">
      <c r="A359" t="s">
        <v>16</v>
      </c>
      <c r="B359">
        <v>1954</v>
      </c>
      <c r="C359">
        <v>22036</v>
      </c>
      <c r="D359" s="2">
        <v>2114</v>
      </c>
      <c r="E359" s="3">
        <v>24150</v>
      </c>
      <c r="F359" t="s">
        <v>12</v>
      </c>
      <c r="G359" t="s">
        <v>12</v>
      </c>
      <c r="H359" s="1"/>
      <c r="I359" s="1">
        <v>243858</v>
      </c>
      <c r="J359" s="1">
        <v>25</v>
      </c>
      <c r="K359" s="1"/>
      <c r="L359" s="1"/>
      <c r="M359" s="1"/>
      <c r="N359" s="1"/>
      <c r="O359" s="1"/>
      <c r="P359" s="1"/>
      <c r="Q359" s="1"/>
      <c r="R359" s="1">
        <v>268033</v>
      </c>
      <c r="S359" t="s">
        <v>12</v>
      </c>
    </row>
    <row r="360" spans="1:19" x14ac:dyDescent="0.55000000000000004">
      <c r="A360" t="s">
        <v>16</v>
      </c>
      <c r="B360">
        <v>1953</v>
      </c>
      <c r="C360">
        <v>11543</v>
      </c>
      <c r="D360" s="2">
        <v>1457</v>
      </c>
      <c r="E360" s="3">
        <v>13000</v>
      </c>
      <c r="F360" t="s">
        <v>12</v>
      </c>
      <c r="G360" t="s">
        <v>12</v>
      </c>
      <c r="H360" s="1"/>
      <c r="I360" s="1">
        <v>83045</v>
      </c>
      <c r="J360" s="1">
        <v>20</v>
      </c>
      <c r="K360" s="1"/>
      <c r="L360" s="1"/>
      <c r="M360" s="1"/>
      <c r="N360" s="1"/>
      <c r="O360" s="1"/>
      <c r="P360" s="1"/>
      <c r="Q360" s="1"/>
      <c r="R360" s="1">
        <v>96065</v>
      </c>
      <c r="S360" t="s">
        <v>12</v>
      </c>
    </row>
    <row r="361" spans="1:19" x14ac:dyDescent="0.55000000000000004">
      <c r="A361" t="s">
        <v>16</v>
      </c>
      <c r="B361">
        <v>1952</v>
      </c>
      <c r="C361">
        <v>17833</v>
      </c>
      <c r="D361" s="2">
        <v>1077</v>
      </c>
      <c r="E361" s="3">
        <v>18910</v>
      </c>
      <c r="F361" t="s">
        <v>12</v>
      </c>
      <c r="G361" t="s">
        <v>12</v>
      </c>
      <c r="H361" s="1"/>
      <c r="I361" s="1">
        <v>51800</v>
      </c>
      <c r="J361" s="1">
        <v>56</v>
      </c>
      <c r="K361" s="1"/>
      <c r="L361" s="1"/>
      <c r="M361" s="1"/>
      <c r="N361" s="1"/>
      <c r="O361" s="1"/>
      <c r="P361" s="1"/>
      <c r="Q361" s="1"/>
      <c r="R361" s="1">
        <v>70766</v>
      </c>
      <c r="S361" t="s">
        <v>12</v>
      </c>
    </row>
    <row r="362" spans="1:19" x14ac:dyDescent="0.55000000000000004">
      <c r="A362" t="s">
        <v>17</v>
      </c>
      <c r="B362">
        <v>2023</v>
      </c>
      <c r="C362">
        <v>6054</v>
      </c>
      <c r="D362" s="2">
        <v>0</v>
      </c>
      <c r="E362" s="3">
        <v>6054</v>
      </c>
      <c r="F362" t="s">
        <v>12</v>
      </c>
      <c r="G362" t="s">
        <v>12</v>
      </c>
      <c r="H362" s="1">
        <v>1.26151086995211</v>
      </c>
      <c r="I362" s="1">
        <v>65.903685225006896</v>
      </c>
      <c r="J362" s="1">
        <v>25.077398346653801</v>
      </c>
      <c r="K362" s="1"/>
      <c r="L362" s="1">
        <v>5201.6278456333503</v>
      </c>
      <c r="M362" s="1">
        <v>1748.4417684500299</v>
      </c>
      <c r="N362" s="1"/>
      <c r="O362" s="1">
        <v>13.448018808417901</v>
      </c>
      <c r="P362" s="1">
        <v>4.7068065829462702</v>
      </c>
      <c r="Q362" s="1">
        <v>287.00852948378002</v>
      </c>
      <c r="R362" s="1">
        <v>13114</v>
      </c>
      <c r="S362" t="s">
        <v>11</v>
      </c>
    </row>
    <row r="363" spans="1:19" x14ac:dyDescent="0.55000000000000004">
      <c r="A363" t="s">
        <v>17</v>
      </c>
      <c r="B363">
        <v>2022</v>
      </c>
      <c r="C363">
        <v>69782</v>
      </c>
      <c r="D363" s="2">
        <v>0</v>
      </c>
      <c r="E363" s="3">
        <v>69782</v>
      </c>
      <c r="F363" t="s">
        <v>12</v>
      </c>
      <c r="G363" t="s">
        <v>12</v>
      </c>
      <c r="H363" s="1">
        <v>262.52382750381798</v>
      </c>
      <c r="I363" s="1">
        <v>1926.2775953319399</v>
      </c>
      <c r="J363" s="1">
        <v>1158.9266525064199</v>
      </c>
      <c r="K363" s="1"/>
      <c r="L363" s="1">
        <v>38248.864764739003</v>
      </c>
      <c r="M363" s="1">
        <v>1252.55784774781</v>
      </c>
      <c r="N363" s="1"/>
      <c r="O363" s="1">
        <v>3.7417334117128398</v>
      </c>
      <c r="P363" s="1"/>
      <c r="Q363" s="1">
        <v>53897.494080516197</v>
      </c>
      <c r="R363" s="1">
        <v>112635</v>
      </c>
      <c r="S363" t="s">
        <v>11</v>
      </c>
    </row>
    <row r="364" spans="1:19" x14ac:dyDescent="0.55000000000000004">
      <c r="A364" t="s">
        <v>17</v>
      </c>
      <c r="B364">
        <v>2021</v>
      </c>
      <c r="C364">
        <v>4872</v>
      </c>
      <c r="D364" s="2">
        <v>84</v>
      </c>
      <c r="E364" s="3">
        <v>4956</v>
      </c>
      <c r="F364" t="s">
        <v>12</v>
      </c>
      <c r="G364" t="s">
        <v>12</v>
      </c>
      <c r="H364" s="1">
        <v>339.65741325022702</v>
      </c>
      <c r="I364" s="1">
        <v>43.967077958178997</v>
      </c>
      <c r="J364" s="1">
        <v>27.9547024956298</v>
      </c>
      <c r="K364" s="1"/>
      <c r="L364" s="1">
        <v>1346.3054278510999</v>
      </c>
      <c r="M364" s="1">
        <v>514.04782737653898</v>
      </c>
      <c r="N364" s="1"/>
      <c r="O364" s="1">
        <v>25.213184042710999</v>
      </c>
      <c r="P364" s="1">
        <v>8.6942013940382594</v>
      </c>
      <c r="Q364" s="1">
        <v>304.13243950722699</v>
      </c>
      <c r="R364" s="1">
        <v>7262</v>
      </c>
      <c r="S364" t="s">
        <v>11</v>
      </c>
    </row>
    <row r="365" spans="1:19" x14ac:dyDescent="0.55000000000000004">
      <c r="A365" t="s">
        <v>17</v>
      </c>
      <c r="B365">
        <v>2020</v>
      </c>
      <c r="C365">
        <v>229</v>
      </c>
      <c r="D365" s="2">
        <v>0</v>
      </c>
      <c r="E365" s="3">
        <v>229</v>
      </c>
      <c r="F365" t="s">
        <v>12</v>
      </c>
      <c r="G365" t="s">
        <v>12</v>
      </c>
      <c r="H365" s="1">
        <v>2.31641689381342</v>
      </c>
      <c r="I365" s="1">
        <v>10.2759882580072</v>
      </c>
      <c r="J365" s="1">
        <v>1.60481971367747</v>
      </c>
      <c r="K365" s="1"/>
      <c r="L365" s="1">
        <v>62.387351778656097</v>
      </c>
      <c r="M365" s="1">
        <v>20.4703557312253</v>
      </c>
      <c r="N365" s="1"/>
      <c r="O365" s="1">
        <v>0.63241106719367601</v>
      </c>
      <c r="P365" s="1"/>
      <c r="Q365" s="1">
        <v>85.148464739960502</v>
      </c>
      <c r="R365" s="1">
        <v>327</v>
      </c>
      <c r="S365" t="s">
        <v>11</v>
      </c>
    </row>
    <row r="366" spans="1:19" x14ac:dyDescent="0.55000000000000004">
      <c r="A366" t="s">
        <v>17</v>
      </c>
      <c r="B366">
        <v>2019</v>
      </c>
      <c r="C366">
        <v>2264</v>
      </c>
      <c r="D366" s="2">
        <v>0</v>
      </c>
      <c r="E366" s="3">
        <v>2264</v>
      </c>
      <c r="F366" t="s">
        <v>12</v>
      </c>
      <c r="G366" t="s">
        <v>12</v>
      </c>
      <c r="H366" s="1">
        <v>633.27022859808699</v>
      </c>
      <c r="I366" s="1">
        <v>30.755458551261999</v>
      </c>
      <c r="J366" s="1">
        <v>9.6297945513672598</v>
      </c>
      <c r="K366" s="1"/>
      <c r="L366" s="1">
        <v>1164.0857142857101</v>
      </c>
      <c r="M366" s="1">
        <v>453.2</v>
      </c>
      <c r="N366" s="1"/>
      <c r="O366" s="1"/>
      <c r="P366" s="1"/>
      <c r="Q366" s="1">
        <v>-234.45273183502999</v>
      </c>
      <c r="R366" s="1">
        <v>4555</v>
      </c>
      <c r="S366" t="s">
        <v>11</v>
      </c>
    </row>
    <row r="367" spans="1:19" x14ac:dyDescent="0.55000000000000004">
      <c r="A367" t="s">
        <v>17</v>
      </c>
      <c r="B367">
        <v>2018</v>
      </c>
      <c r="C367">
        <v>283048</v>
      </c>
      <c r="D367" s="2">
        <v>0</v>
      </c>
      <c r="E367" s="3">
        <v>283048</v>
      </c>
      <c r="F367" t="s">
        <v>12</v>
      </c>
      <c r="G367" t="s">
        <v>12</v>
      </c>
      <c r="H367" s="1">
        <v>670.12332912411898</v>
      </c>
      <c r="I367" s="1">
        <v>69501.425461509105</v>
      </c>
      <c r="J367" s="1">
        <v>7585.3351318156201</v>
      </c>
      <c r="K367" s="1"/>
      <c r="L367" s="1">
        <v>154479.50695254101</v>
      </c>
      <c r="M367" s="1">
        <v>3842.7986261470801</v>
      </c>
      <c r="N367" s="1">
        <v>-3663.6576295146801</v>
      </c>
      <c r="O367" s="1"/>
      <c r="P367" s="1"/>
      <c r="Q367" s="1">
        <v>228600.10651173099</v>
      </c>
      <c r="R367" s="1">
        <v>515464</v>
      </c>
      <c r="S367" t="s">
        <v>11</v>
      </c>
    </row>
    <row r="368" spans="1:19" x14ac:dyDescent="0.55000000000000004">
      <c r="A368" t="s">
        <v>17</v>
      </c>
      <c r="B368">
        <v>2017</v>
      </c>
      <c r="C368">
        <v>1693</v>
      </c>
      <c r="D368" s="2">
        <v>1044</v>
      </c>
      <c r="E368" s="3">
        <v>2737</v>
      </c>
      <c r="F368" t="s">
        <v>12</v>
      </c>
      <c r="G368" t="s">
        <v>12</v>
      </c>
      <c r="H368" s="1">
        <v>24.2415974530726</v>
      </c>
      <c r="I368" s="1">
        <v>41.5833984398148</v>
      </c>
      <c r="J368" s="1">
        <v>71.232020335122101</v>
      </c>
      <c r="K368" s="1"/>
      <c r="L368" s="1">
        <v>460.484093911983</v>
      </c>
      <c r="M368" s="1">
        <v>147.10316089033401</v>
      </c>
      <c r="N368" s="1">
        <v>1.0078259985770901</v>
      </c>
      <c r="O368" s="1">
        <v>120.085374529932</v>
      </c>
      <c r="P368" s="1">
        <v>72.051224717959101</v>
      </c>
      <c r="Q368" s="1">
        <v>13.785416087426601</v>
      </c>
      <c r="R368" s="1">
        <v>3675</v>
      </c>
      <c r="S368" t="s">
        <v>11</v>
      </c>
    </row>
    <row r="369" spans="1:19" x14ac:dyDescent="0.55000000000000004">
      <c r="A369" t="s">
        <v>17</v>
      </c>
      <c r="B369">
        <v>2016</v>
      </c>
      <c r="C369">
        <v>201</v>
      </c>
      <c r="D369" s="2">
        <v>2</v>
      </c>
      <c r="E369" s="3">
        <v>203</v>
      </c>
      <c r="F369" t="s">
        <v>12</v>
      </c>
      <c r="G369" t="s">
        <v>12</v>
      </c>
      <c r="H369" s="1">
        <v>31.512661660918901</v>
      </c>
      <c r="I369" s="1">
        <v>183.66182475274101</v>
      </c>
      <c r="J369" s="1">
        <v>140.35236986935601</v>
      </c>
      <c r="K369" s="1"/>
      <c r="L369" s="1">
        <v>56.854729729729698</v>
      </c>
      <c r="M369" s="1">
        <v>24.418918918918902</v>
      </c>
      <c r="N369" s="1">
        <v>-90.104729729729698</v>
      </c>
      <c r="O369" s="1">
        <v>0.78378378378378399</v>
      </c>
      <c r="P369" s="1"/>
      <c r="Q369" s="1">
        <v>-604.66231444873404</v>
      </c>
      <c r="R369" s="1">
        <v>550</v>
      </c>
      <c r="S369" t="s">
        <v>11</v>
      </c>
    </row>
    <row r="370" spans="1:19" x14ac:dyDescent="0.55000000000000004">
      <c r="A370" t="s">
        <v>17</v>
      </c>
      <c r="B370">
        <v>2015</v>
      </c>
      <c r="C370">
        <v>12697</v>
      </c>
      <c r="D370" s="2">
        <v>0</v>
      </c>
      <c r="E370" s="3">
        <v>12697</v>
      </c>
      <c r="F370" t="s">
        <v>12</v>
      </c>
      <c r="G370" t="s">
        <v>12</v>
      </c>
      <c r="H370" s="1">
        <v>508.99988066210301</v>
      </c>
      <c r="I370" s="1">
        <v>984.648222169007</v>
      </c>
      <c r="J370" s="1">
        <v>434.84992766655802</v>
      </c>
      <c r="K370" s="1"/>
      <c r="L370" s="1">
        <v>10362.2318641806</v>
      </c>
      <c r="M370" s="1">
        <v>2846.8477962708998</v>
      </c>
      <c r="N370" s="1">
        <v>29.314601327056401</v>
      </c>
      <c r="O370" s="1"/>
      <c r="P370" s="1"/>
      <c r="Q370" s="1">
        <v>3885.1472223324599</v>
      </c>
      <c r="R370" s="1">
        <v>27864</v>
      </c>
      <c r="S370" t="s">
        <v>11</v>
      </c>
    </row>
    <row r="371" spans="1:19" x14ac:dyDescent="0.55000000000000004">
      <c r="A371" t="s">
        <v>17</v>
      </c>
      <c r="B371">
        <v>2014</v>
      </c>
      <c r="C371">
        <v>256110</v>
      </c>
      <c r="D371" s="2">
        <v>66</v>
      </c>
      <c r="E371" s="3">
        <v>256176</v>
      </c>
      <c r="F371" t="s">
        <v>12</v>
      </c>
      <c r="G371" t="s">
        <v>12</v>
      </c>
      <c r="H371" s="1">
        <v>2021.43282474846</v>
      </c>
      <c r="I371" s="1">
        <v>54632.874437339698</v>
      </c>
      <c r="J371" s="1">
        <v>11417.3363689609</v>
      </c>
      <c r="K371" s="1"/>
      <c r="L371" s="1">
        <v>109761.071801121</v>
      </c>
      <c r="M371" s="1"/>
      <c r="N371" s="1"/>
      <c r="O371" s="1">
        <v>23.874823200886201</v>
      </c>
      <c r="P371" s="1"/>
      <c r="Q371" s="1">
        <v>187443.62324184901</v>
      </c>
      <c r="R371" s="1">
        <v>434033</v>
      </c>
      <c r="S371" t="s">
        <v>11</v>
      </c>
    </row>
    <row r="372" spans="1:19" x14ac:dyDescent="0.55000000000000004">
      <c r="A372" t="s">
        <v>17</v>
      </c>
      <c r="B372">
        <v>2013</v>
      </c>
      <c r="C372">
        <v>10729</v>
      </c>
      <c r="D372" s="2">
        <v>874</v>
      </c>
      <c r="E372" s="3">
        <v>11603</v>
      </c>
      <c r="F372" t="s">
        <v>12</v>
      </c>
      <c r="G372" t="s">
        <v>12</v>
      </c>
      <c r="H372" s="1">
        <v>81.957763903292204</v>
      </c>
      <c r="I372" s="1">
        <v>1647.4820009385501</v>
      </c>
      <c r="J372" s="1">
        <v>1139.9445525219401</v>
      </c>
      <c r="K372" s="1"/>
      <c r="L372" s="1">
        <v>5777.4753759796604</v>
      </c>
      <c r="M372" s="1"/>
      <c r="N372" s="1"/>
      <c r="O372" s="1">
        <v>254.36687142554501</v>
      </c>
      <c r="P372" s="1"/>
      <c r="Q372" s="1">
        <v>-2158.5066776915201</v>
      </c>
      <c r="R372" s="1">
        <v>20504</v>
      </c>
      <c r="S372" t="s">
        <v>11</v>
      </c>
    </row>
    <row r="373" spans="1:19" x14ac:dyDescent="0.55000000000000004">
      <c r="A373" t="s">
        <v>17</v>
      </c>
      <c r="B373">
        <v>2012</v>
      </c>
      <c r="C373">
        <v>667</v>
      </c>
      <c r="D373" s="2">
        <v>0</v>
      </c>
      <c r="E373" s="3">
        <v>667</v>
      </c>
      <c r="F373" t="s">
        <v>12</v>
      </c>
      <c r="G373" t="s">
        <v>12</v>
      </c>
      <c r="H373" s="1">
        <v>0</v>
      </c>
      <c r="I373" s="1">
        <v>1305.27642927275</v>
      </c>
      <c r="J373" s="1">
        <v>2151.5674225133598</v>
      </c>
      <c r="K373" s="1">
        <v>-2171.4893750000001</v>
      </c>
      <c r="L373" s="1">
        <v>109.0234375</v>
      </c>
      <c r="M373" s="1">
        <v>-49.472499999999997</v>
      </c>
      <c r="N373" s="1"/>
      <c r="O373" s="1">
        <v>0.1165625</v>
      </c>
      <c r="P373" s="1"/>
      <c r="Q373" s="1">
        <v>-6870.5746272429897</v>
      </c>
      <c r="R373" s="1">
        <v>2012</v>
      </c>
      <c r="S373" t="s">
        <v>11</v>
      </c>
    </row>
    <row r="374" spans="1:19" x14ac:dyDescent="0.55000000000000004">
      <c r="A374" t="s">
        <v>17</v>
      </c>
      <c r="B374">
        <v>2011</v>
      </c>
      <c r="C374">
        <v>16060</v>
      </c>
      <c r="D374" s="2">
        <v>0</v>
      </c>
      <c r="E374" s="3">
        <v>16060</v>
      </c>
      <c r="F374" t="s">
        <v>12</v>
      </c>
      <c r="G374" t="s">
        <v>12</v>
      </c>
      <c r="H374" s="1">
        <v>9.9309436492537007</v>
      </c>
      <c r="I374" s="1">
        <v>3625.69469712603</v>
      </c>
      <c r="J374" s="1">
        <v>2309.0697376514399</v>
      </c>
      <c r="K374" s="1"/>
      <c r="L374" s="1">
        <v>1854.6634419397001</v>
      </c>
      <c r="M374" s="1">
        <v>634.02917465242899</v>
      </c>
      <c r="N374" s="1">
        <v>-31.815962398466699</v>
      </c>
      <c r="O374" s="1"/>
      <c r="P374" s="1"/>
      <c r="Q374" s="1">
        <v>6412.2449940666502</v>
      </c>
      <c r="R374" s="1">
        <v>24462</v>
      </c>
      <c r="S374" t="s">
        <v>11</v>
      </c>
    </row>
    <row r="375" spans="1:19" x14ac:dyDescent="0.55000000000000004">
      <c r="A375" t="s">
        <v>17</v>
      </c>
      <c r="B375">
        <v>2010</v>
      </c>
      <c r="C375">
        <v>354292</v>
      </c>
      <c r="D375" s="2">
        <v>0</v>
      </c>
      <c r="E375" s="3">
        <v>354292</v>
      </c>
      <c r="F375" t="s">
        <v>12</v>
      </c>
      <c r="G375" t="s">
        <v>12</v>
      </c>
      <c r="H375" s="1">
        <v>0</v>
      </c>
      <c r="I375" s="1">
        <v>68596.246522879999</v>
      </c>
      <c r="J375" s="1"/>
      <c r="K375" s="1"/>
      <c r="L375" s="1">
        <v>39365.663956586199</v>
      </c>
      <c r="M375" s="1"/>
      <c r="N375" s="1"/>
      <c r="O375" s="1"/>
      <c r="P375" s="1"/>
      <c r="Q375" s="1">
        <v>220175.98758525701</v>
      </c>
      <c r="R375" s="1">
        <v>462254</v>
      </c>
      <c r="S375" t="s">
        <v>11</v>
      </c>
    </row>
    <row r="376" spans="1:19" x14ac:dyDescent="0.55000000000000004">
      <c r="A376" t="s">
        <v>17</v>
      </c>
      <c r="B376">
        <v>2009</v>
      </c>
      <c r="C376">
        <v>2631</v>
      </c>
      <c r="D376" s="2">
        <v>213</v>
      </c>
      <c r="E376" s="3">
        <v>2844</v>
      </c>
      <c r="F376" t="s">
        <v>12</v>
      </c>
      <c r="G376" t="s">
        <v>12</v>
      </c>
      <c r="H376" s="1">
        <v>0.85026646928170702</v>
      </c>
      <c r="I376" s="1">
        <v>178.44560974973601</v>
      </c>
      <c r="J376" s="1">
        <v>141.46137239541801</v>
      </c>
      <c r="K376" s="1"/>
      <c r="L376" s="1">
        <v>704.86859578654003</v>
      </c>
      <c r="M376" s="1">
        <v>188.28067874415899</v>
      </c>
      <c r="N376" s="1">
        <v>-33.738585129928701</v>
      </c>
      <c r="O376" s="1">
        <v>90.266251332076394</v>
      </c>
      <c r="P376" s="1">
        <v>17.4333961800148</v>
      </c>
      <c r="Q376" s="1">
        <v>-23.411617677210899</v>
      </c>
      <c r="R376" s="1">
        <v>4132</v>
      </c>
      <c r="S376" t="s">
        <v>11</v>
      </c>
    </row>
    <row r="377" spans="1:19" x14ac:dyDescent="0.55000000000000004">
      <c r="A377" t="s">
        <v>17</v>
      </c>
      <c r="B377">
        <v>2008</v>
      </c>
      <c r="C377">
        <v>2984</v>
      </c>
      <c r="D377" s="2">
        <v>0</v>
      </c>
      <c r="E377" s="3">
        <v>2984</v>
      </c>
      <c r="F377" t="s">
        <v>12</v>
      </c>
      <c r="G377" t="s">
        <v>12</v>
      </c>
      <c r="H377" s="1">
        <v>0</v>
      </c>
      <c r="I377" s="1">
        <v>3390.8922433877701</v>
      </c>
      <c r="J377" s="1">
        <v>4690.3717971861297</v>
      </c>
      <c r="K377" s="1"/>
      <c r="L377" s="1"/>
      <c r="M377" s="1"/>
      <c r="N377" s="1"/>
      <c r="O377" s="1"/>
      <c r="P377" s="1"/>
      <c r="Q377" s="1">
        <v>-10461.225485073101</v>
      </c>
      <c r="R377" s="1">
        <v>21526</v>
      </c>
      <c r="S377" t="s">
        <v>9</v>
      </c>
    </row>
    <row r="378" spans="1:19" x14ac:dyDescent="0.55000000000000004">
      <c r="A378" t="s">
        <v>17</v>
      </c>
      <c r="B378">
        <v>2007</v>
      </c>
      <c r="C378">
        <v>6545</v>
      </c>
      <c r="D378" s="2">
        <v>0</v>
      </c>
      <c r="E378" s="3">
        <v>6545</v>
      </c>
      <c r="F378" t="s">
        <v>12</v>
      </c>
      <c r="G378" t="s">
        <v>12</v>
      </c>
      <c r="H378" s="1">
        <v>889.60205659153803</v>
      </c>
      <c r="I378" s="1">
        <v>527.41322615346201</v>
      </c>
      <c r="J378" s="1">
        <v>1104.4295995100299</v>
      </c>
      <c r="K378" s="1"/>
      <c r="L378" s="1"/>
      <c r="M378" s="1"/>
      <c r="N378" s="1"/>
      <c r="O378" s="1"/>
      <c r="P378" s="1"/>
      <c r="Q378" s="1">
        <v>-2655.1366066297301</v>
      </c>
      <c r="R378" s="1">
        <v>11722</v>
      </c>
      <c r="S378" t="s">
        <v>9</v>
      </c>
    </row>
    <row r="379" spans="1:19" x14ac:dyDescent="0.55000000000000004">
      <c r="A379" t="s">
        <v>17</v>
      </c>
      <c r="B379">
        <v>2006</v>
      </c>
      <c r="C379">
        <v>40087</v>
      </c>
      <c r="D379" s="2">
        <v>0</v>
      </c>
      <c r="E379" s="3">
        <v>40087</v>
      </c>
      <c r="F379" t="s">
        <v>12</v>
      </c>
      <c r="G379" t="s">
        <v>12</v>
      </c>
      <c r="H379" s="1">
        <v>405.33765039310703</v>
      </c>
      <c r="I379" s="1">
        <v>31215.2098673037</v>
      </c>
      <c r="J379" s="1">
        <v>6182.7193754197197</v>
      </c>
      <c r="K379" s="1"/>
      <c r="L379" s="1"/>
      <c r="M379" s="1"/>
      <c r="N379" s="1"/>
      <c r="O379" s="1"/>
      <c r="P379" s="1"/>
      <c r="Q379" s="1">
        <v>-3027.9007047841101</v>
      </c>
      <c r="R379" s="1">
        <v>80918</v>
      </c>
      <c r="S379" t="s">
        <v>9</v>
      </c>
    </row>
    <row r="380" spans="1:19" x14ac:dyDescent="0.55000000000000004">
      <c r="A380" t="s">
        <v>17</v>
      </c>
      <c r="B380">
        <v>2005</v>
      </c>
      <c r="C380">
        <v>1678</v>
      </c>
      <c r="D380" s="2">
        <v>747</v>
      </c>
      <c r="E380" s="3">
        <v>2425</v>
      </c>
      <c r="F380" t="s">
        <v>12</v>
      </c>
      <c r="G380" t="s">
        <v>12</v>
      </c>
      <c r="H380" s="1">
        <v>2.91311451087841</v>
      </c>
      <c r="I380" s="1">
        <v>2600.71673939226</v>
      </c>
      <c r="J380" s="1">
        <v>1108.27104767592</v>
      </c>
      <c r="K380" s="1"/>
      <c r="L380" s="1"/>
      <c r="M380" s="1"/>
      <c r="N380" s="1"/>
      <c r="O380" s="1"/>
      <c r="P380" s="1"/>
      <c r="Q380" s="1">
        <v>-4631.7867572374398</v>
      </c>
      <c r="R380" s="1">
        <v>10769</v>
      </c>
      <c r="S380" t="s">
        <v>9</v>
      </c>
    </row>
    <row r="381" spans="1:19" x14ac:dyDescent="0.55000000000000004">
      <c r="A381" t="s">
        <v>17</v>
      </c>
      <c r="B381">
        <v>2004</v>
      </c>
      <c r="C381">
        <v>1782</v>
      </c>
      <c r="D381" s="2">
        <v>0</v>
      </c>
      <c r="E381" s="3">
        <v>1782</v>
      </c>
      <c r="F381" t="s">
        <v>12</v>
      </c>
      <c r="G381" t="s">
        <v>12</v>
      </c>
      <c r="H381" s="1">
        <v>1717.2554784927499</v>
      </c>
      <c r="I381" s="1">
        <v>99553.651685471297</v>
      </c>
      <c r="J381" s="1">
        <v>25327.216385137999</v>
      </c>
      <c r="K381" s="1"/>
      <c r="L381" s="1"/>
      <c r="M381" s="1"/>
      <c r="N381" s="1"/>
      <c r="O381" s="1"/>
      <c r="P381" s="1"/>
      <c r="Q381" s="1">
        <v>-85000.3795953425</v>
      </c>
      <c r="R381" s="1">
        <v>213381</v>
      </c>
      <c r="S381" t="s">
        <v>9</v>
      </c>
    </row>
    <row r="382" spans="1:19" x14ac:dyDescent="0.55000000000000004">
      <c r="A382" t="s">
        <v>17</v>
      </c>
      <c r="B382">
        <v>2003</v>
      </c>
      <c r="C382">
        <v>5415</v>
      </c>
      <c r="D382" s="2">
        <v>115</v>
      </c>
      <c r="E382" s="3">
        <v>5530</v>
      </c>
      <c r="F382" t="s">
        <v>12</v>
      </c>
      <c r="G382" t="s">
        <v>12</v>
      </c>
      <c r="H382" s="1">
        <v>205.59769828175499</v>
      </c>
      <c r="I382" s="1">
        <v>5161.6866981653602</v>
      </c>
      <c r="J382" s="1">
        <v>1411.6978883322599</v>
      </c>
      <c r="K382" s="1"/>
      <c r="L382" s="1"/>
      <c r="M382" s="1"/>
      <c r="N382" s="1"/>
      <c r="O382" s="1"/>
      <c r="P382" s="1"/>
      <c r="Q382" s="1">
        <v>-1826.24186730165</v>
      </c>
      <c r="R382" s="1">
        <v>14135</v>
      </c>
      <c r="S382" t="s">
        <v>9</v>
      </c>
    </row>
    <row r="383" spans="1:19" x14ac:dyDescent="0.55000000000000004">
      <c r="A383" t="s">
        <v>17</v>
      </c>
      <c r="B383">
        <v>2002</v>
      </c>
      <c r="C383">
        <v>95695</v>
      </c>
      <c r="D383" s="2">
        <v>0</v>
      </c>
      <c r="E383" s="3">
        <v>95695</v>
      </c>
      <c r="F383" t="s">
        <v>12</v>
      </c>
      <c r="G383" t="s">
        <v>12</v>
      </c>
      <c r="H383" s="1">
        <v>8.6865824208398692</v>
      </c>
      <c r="I383" s="1">
        <v>48780.469942641103</v>
      </c>
      <c r="J383" s="1">
        <v>13973.7707853845</v>
      </c>
      <c r="K383" s="1"/>
      <c r="L383" s="1"/>
      <c r="M383" s="1"/>
      <c r="N383" s="1"/>
      <c r="O383" s="1"/>
      <c r="P383" s="1"/>
      <c r="Q383" s="1">
        <v>-18638.424852876899</v>
      </c>
      <c r="R383" s="1">
        <v>177096</v>
      </c>
      <c r="S383" t="s">
        <v>9</v>
      </c>
    </row>
    <row r="384" spans="1:19" x14ac:dyDescent="0.55000000000000004">
      <c r="A384" t="s">
        <v>17</v>
      </c>
      <c r="B384">
        <v>2001</v>
      </c>
      <c r="C384">
        <v>3706</v>
      </c>
      <c r="D384" s="2">
        <v>166</v>
      </c>
      <c r="E384" s="3">
        <v>3872</v>
      </c>
      <c r="F384" t="s">
        <v>12</v>
      </c>
      <c r="G384" t="s">
        <v>12</v>
      </c>
      <c r="H384" s="1">
        <v>11.388134780154401</v>
      </c>
      <c r="I384" s="1">
        <v>688.189912162577</v>
      </c>
      <c r="J384" s="1">
        <v>723.77740666655404</v>
      </c>
      <c r="K384" s="1"/>
      <c r="L384" s="1"/>
      <c r="M384" s="1"/>
      <c r="N384" s="1"/>
      <c r="O384" s="1"/>
      <c r="P384" s="1"/>
      <c r="Q384" s="1">
        <v>-5996.5575597412699</v>
      </c>
      <c r="R384" s="1">
        <v>11292</v>
      </c>
      <c r="S384" t="s">
        <v>9</v>
      </c>
    </row>
    <row r="385" spans="1:19" x14ac:dyDescent="0.55000000000000004">
      <c r="A385" t="s">
        <v>17</v>
      </c>
      <c r="B385">
        <v>2000</v>
      </c>
      <c r="C385">
        <v>97154</v>
      </c>
      <c r="D385" s="2">
        <v>0</v>
      </c>
      <c r="E385" s="3">
        <v>97154</v>
      </c>
      <c r="F385" t="s">
        <v>12</v>
      </c>
      <c r="G385" t="s">
        <v>12</v>
      </c>
      <c r="H385" s="1">
        <v>73.382571568703199</v>
      </c>
      <c r="I385" s="1">
        <v>46403.215510378897</v>
      </c>
      <c r="J385" s="1">
        <v>16949.748551922701</v>
      </c>
      <c r="K385" s="1"/>
      <c r="L385" s="1"/>
      <c r="M385" s="1"/>
      <c r="N385" s="1"/>
      <c r="O385" s="1"/>
      <c r="P385" s="1"/>
      <c r="Q385" s="1">
        <v>28203.703808479899</v>
      </c>
      <c r="R385" s="1">
        <v>160580</v>
      </c>
      <c r="S385" t="s">
        <v>9</v>
      </c>
    </row>
    <row r="386" spans="1:19" x14ac:dyDescent="0.55000000000000004">
      <c r="A386" t="s">
        <v>17</v>
      </c>
      <c r="B386">
        <v>1999</v>
      </c>
      <c r="C386">
        <v>6193</v>
      </c>
      <c r="D386" s="2">
        <v>0</v>
      </c>
      <c r="E386" s="3">
        <v>6193</v>
      </c>
      <c r="F386" t="s">
        <v>12</v>
      </c>
      <c r="G386" t="s">
        <v>12</v>
      </c>
      <c r="H386" s="1">
        <v>0.37449996412466602</v>
      </c>
      <c r="I386" s="1">
        <v>2087.8364792371199</v>
      </c>
      <c r="J386" s="1">
        <v>4190.2943390746304</v>
      </c>
      <c r="K386" s="1"/>
      <c r="L386" s="1"/>
      <c r="M386" s="1"/>
      <c r="N386" s="1"/>
      <c r="O386" s="1"/>
      <c r="P386" s="1"/>
      <c r="Q386" s="1">
        <v>-14880.930777075</v>
      </c>
      <c r="R386" s="1">
        <v>27352</v>
      </c>
      <c r="S386" t="s">
        <v>9</v>
      </c>
    </row>
    <row r="387" spans="1:19" x14ac:dyDescent="0.55000000000000004">
      <c r="A387" t="s">
        <v>17</v>
      </c>
      <c r="B387">
        <v>1998</v>
      </c>
      <c r="C387">
        <v>38547</v>
      </c>
      <c r="D387" s="2">
        <v>2</v>
      </c>
      <c r="E387" s="3">
        <v>38549</v>
      </c>
      <c r="F387" t="s">
        <v>12</v>
      </c>
      <c r="G387" t="s">
        <v>12</v>
      </c>
      <c r="H387" s="1">
        <v>161.96400320707599</v>
      </c>
      <c r="I387" s="1">
        <v>46163.415898215499</v>
      </c>
      <c r="J387" s="1">
        <v>10910.417654369499</v>
      </c>
      <c r="K387" s="1"/>
      <c r="L387" s="1"/>
      <c r="M387" s="1"/>
      <c r="N387" s="1"/>
      <c r="O387" s="1"/>
      <c r="P387" s="1"/>
      <c r="Q387" s="1">
        <v>-60709.329012165603</v>
      </c>
      <c r="R387" s="1">
        <v>156494</v>
      </c>
      <c r="S387" t="s">
        <v>9</v>
      </c>
    </row>
    <row r="388" spans="1:19" x14ac:dyDescent="0.55000000000000004">
      <c r="A388" t="s">
        <v>17</v>
      </c>
      <c r="B388">
        <v>1997</v>
      </c>
      <c r="C388">
        <v>622</v>
      </c>
      <c r="D388" s="2">
        <v>1</v>
      </c>
      <c r="E388" s="3">
        <v>623</v>
      </c>
      <c r="F388" t="s">
        <v>12</v>
      </c>
      <c r="G388" t="s">
        <v>12</v>
      </c>
      <c r="H388" s="1">
        <v>53.517727720357698</v>
      </c>
      <c r="I388" s="1">
        <v>975.93632575071194</v>
      </c>
      <c r="J388" s="1">
        <v>72.240080913808498</v>
      </c>
      <c r="K388" s="1"/>
      <c r="L388" s="1"/>
      <c r="M388" s="1"/>
      <c r="N388" s="1"/>
      <c r="O388" s="1"/>
      <c r="P388" s="1"/>
      <c r="Q388" s="1">
        <v>-581.24568860909903</v>
      </c>
      <c r="R388" s="1">
        <v>2306</v>
      </c>
      <c r="S388" t="s">
        <v>9</v>
      </c>
    </row>
    <row r="389" spans="1:19" x14ac:dyDescent="0.55000000000000004">
      <c r="A389" t="s">
        <v>17</v>
      </c>
      <c r="B389">
        <v>1996</v>
      </c>
      <c r="C389">
        <v>40001</v>
      </c>
      <c r="D389" s="2">
        <v>0</v>
      </c>
      <c r="E389" s="3">
        <v>40001</v>
      </c>
      <c r="F389" t="s">
        <v>12</v>
      </c>
      <c r="G389" t="s">
        <v>12</v>
      </c>
      <c r="H389" s="1">
        <v>1.6682933795117101</v>
      </c>
      <c r="I389" s="1">
        <v>4901.9018177437301</v>
      </c>
      <c r="J389" s="1">
        <v>4139.4426665128703</v>
      </c>
      <c r="K389" s="1"/>
      <c r="L389" s="1"/>
      <c r="M389" s="1"/>
      <c r="N389" s="1"/>
      <c r="O389" s="1"/>
      <c r="P389" s="1"/>
      <c r="Q389" s="1">
        <v>17728.065892981798</v>
      </c>
      <c r="R389" s="1">
        <v>49044</v>
      </c>
      <c r="S389" t="s">
        <v>9</v>
      </c>
    </row>
    <row r="390" spans="1:19" x14ac:dyDescent="0.55000000000000004">
      <c r="A390" t="s">
        <v>17</v>
      </c>
      <c r="B390">
        <v>1995</v>
      </c>
      <c r="C390">
        <v>7600</v>
      </c>
      <c r="D390" s="2">
        <v>0</v>
      </c>
      <c r="E390" s="3">
        <v>7600</v>
      </c>
      <c r="F390" t="s">
        <v>12</v>
      </c>
      <c r="G390" t="s">
        <v>12</v>
      </c>
      <c r="H390" s="1">
        <v>5.4403140614832902E-12</v>
      </c>
      <c r="I390" s="1">
        <v>3315.1275241465701</v>
      </c>
      <c r="J390" s="1">
        <v>3038.92273927313</v>
      </c>
      <c r="K390" s="1"/>
      <c r="L390" s="1"/>
      <c r="M390" s="1"/>
      <c r="N390" s="1"/>
      <c r="O390" s="1"/>
      <c r="P390" s="1"/>
      <c r="Q390" s="1">
        <v>3665.0631947062202</v>
      </c>
      <c r="R390" s="1">
        <v>13954</v>
      </c>
      <c r="S390" t="s">
        <v>9</v>
      </c>
    </row>
    <row r="391" spans="1:19" x14ac:dyDescent="0.55000000000000004">
      <c r="A391" t="s">
        <v>17</v>
      </c>
      <c r="B391">
        <v>1994</v>
      </c>
      <c r="C391">
        <v>69681</v>
      </c>
      <c r="D391" s="2">
        <v>0</v>
      </c>
      <c r="E391" s="3">
        <v>69681</v>
      </c>
      <c r="F391" t="s">
        <v>12</v>
      </c>
      <c r="G391" t="s">
        <v>12</v>
      </c>
      <c r="H391" s="1">
        <v>305.63102427468903</v>
      </c>
      <c r="I391" s="1">
        <v>149637.01410786799</v>
      </c>
      <c r="J391" s="1">
        <v>20496.214568460899</v>
      </c>
      <c r="K391" s="1"/>
      <c r="L391" s="1"/>
      <c r="M391" s="1"/>
      <c r="N391" s="1"/>
      <c r="O391" s="1"/>
      <c r="P391" s="1"/>
      <c r="Q391" s="1">
        <v>-34852.552862678298</v>
      </c>
      <c r="R391" s="1">
        <v>274972</v>
      </c>
      <c r="S391" t="s">
        <v>9</v>
      </c>
    </row>
    <row r="392" spans="1:19" x14ac:dyDescent="0.55000000000000004">
      <c r="A392" t="s">
        <v>17</v>
      </c>
      <c r="B392">
        <v>1993</v>
      </c>
      <c r="C392">
        <v>783</v>
      </c>
      <c r="D392" s="2">
        <v>1</v>
      </c>
      <c r="E392" s="3">
        <v>784</v>
      </c>
      <c r="F392" t="s">
        <v>12</v>
      </c>
      <c r="G392" t="s">
        <v>12</v>
      </c>
      <c r="H392" s="1">
        <v>4.3531565455790702</v>
      </c>
      <c r="I392" s="1">
        <v>1021.5354399755601</v>
      </c>
      <c r="J392" s="1">
        <v>60.715411517073001</v>
      </c>
      <c r="K392" s="1"/>
      <c r="L392" s="1"/>
      <c r="M392" s="1"/>
      <c r="N392" s="1"/>
      <c r="O392" s="1"/>
      <c r="P392" s="1"/>
      <c r="Q392" s="1">
        <v>-175.775932225969</v>
      </c>
      <c r="R392" s="1">
        <v>2046</v>
      </c>
      <c r="S392" t="s">
        <v>9</v>
      </c>
    </row>
    <row r="393" spans="1:19" x14ac:dyDescent="0.55000000000000004">
      <c r="A393" t="s">
        <v>17</v>
      </c>
      <c r="B393">
        <v>1992</v>
      </c>
      <c r="C393">
        <v>6282</v>
      </c>
      <c r="D393" s="2">
        <v>0</v>
      </c>
      <c r="E393" s="3">
        <v>6282</v>
      </c>
      <c r="F393" t="s">
        <v>12</v>
      </c>
      <c r="G393" t="s">
        <v>12</v>
      </c>
      <c r="H393" s="1">
        <v>32.5384890039197</v>
      </c>
      <c r="I393" s="1">
        <v>12088.863003912</v>
      </c>
      <c r="J393" s="1">
        <v>15527.4764487177</v>
      </c>
      <c r="K393" s="1"/>
      <c r="L393" s="1"/>
      <c r="M393" s="1"/>
      <c r="N393" s="1"/>
      <c r="O393" s="1"/>
      <c r="P393" s="1"/>
      <c r="Q393" s="1">
        <v>-10782.6547100916</v>
      </c>
      <c r="R393" s="1">
        <v>44714</v>
      </c>
      <c r="S393" t="s">
        <v>9</v>
      </c>
    </row>
    <row r="394" spans="1:19" x14ac:dyDescent="0.55000000000000004">
      <c r="A394" t="s">
        <v>17</v>
      </c>
      <c r="B394">
        <v>1991</v>
      </c>
      <c r="C394">
        <v>9117</v>
      </c>
      <c r="D394" s="2">
        <v>0</v>
      </c>
      <c r="E394" s="3">
        <v>9117</v>
      </c>
      <c r="F394" t="s">
        <v>12</v>
      </c>
      <c r="G394" t="s">
        <v>12</v>
      </c>
      <c r="H394" s="1">
        <v>0.93965899607632397</v>
      </c>
      <c r="I394" s="1">
        <v>20125.461619354199</v>
      </c>
      <c r="J394" s="1">
        <v>1151.10448399446</v>
      </c>
      <c r="K394" s="1"/>
      <c r="L394" s="1"/>
      <c r="M394" s="1"/>
      <c r="N394" s="1"/>
      <c r="O394" s="1"/>
      <c r="P394" s="1"/>
      <c r="Q394" s="1">
        <v>-7351.4981841618101</v>
      </c>
      <c r="R394" s="1">
        <v>37746</v>
      </c>
      <c r="S394" t="s">
        <v>9</v>
      </c>
    </row>
    <row r="395" spans="1:19" x14ac:dyDescent="0.55000000000000004">
      <c r="A395" t="s">
        <v>17</v>
      </c>
      <c r="B395">
        <v>1990</v>
      </c>
      <c r="C395">
        <v>32194</v>
      </c>
      <c r="D395" s="2">
        <v>12</v>
      </c>
      <c r="E395" s="3">
        <v>32206</v>
      </c>
      <c r="F395" t="s">
        <v>12</v>
      </c>
      <c r="G395" t="s">
        <v>12</v>
      </c>
      <c r="H395" s="1">
        <v>175.52891446267901</v>
      </c>
      <c r="I395" s="1">
        <v>57794.609765955298</v>
      </c>
      <c r="J395" s="1">
        <v>5999.2234929299802</v>
      </c>
      <c r="K395" s="1"/>
      <c r="L395" s="1"/>
      <c r="M395" s="1"/>
      <c r="N395" s="1"/>
      <c r="O395" s="1"/>
      <c r="P395" s="1"/>
      <c r="Q395" s="1">
        <v>3735.72700512967</v>
      </c>
      <c r="R395" s="1">
        <v>96175</v>
      </c>
      <c r="S395" t="s">
        <v>9</v>
      </c>
    </row>
    <row r="396" spans="1:19" x14ac:dyDescent="0.55000000000000004">
      <c r="A396" t="s">
        <v>17</v>
      </c>
      <c r="B396">
        <v>1989</v>
      </c>
      <c r="C396">
        <v>285</v>
      </c>
      <c r="D396" s="2">
        <v>0</v>
      </c>
      <c r="E396" s="3">
        <v>285</v>
      </c>
      <c r="F396" t="s">
        <v>12</v>
      </c>
      <c r="G396" t="s">
        <v>12</v>
      </c>
      <c r="H396" s="1">
        <v>7.0705097073631706E-2</v>
      </c>
      <c r="I396" s="1">
        <v>41.599638541114402</v>
      </c>
      <c r="J396" s="1">
        <v>42.920632483880901</v>
      </c>
      <c r="K396" s="1"/>
      <c r="L396" s="1"/>
      <c r="M396" s="1"/>
      <c r="N396" s="1"/>
      <c r="O396" s="1"/>
      <c r="P396" s="1"/>
      <c r="Q396" s="1">
        <v>319.20571111210302</v>
      </c>
      <c r="R396" s="1">
        <v>370</v>
      </c>
      <c r="S396" t="s">
        <v>9</v>
      </c>
    </row>
    <row r="397" spans="1:19" x14ac:dyDescent="0.55000000000000004">
      <c r="A397" t="s">
        <v>17</v>
      </c>
      <c r="B397">
        <v>1988</v>
      </c>
      <c r="C397">
        <v>13157</v>
      </c>
      <c r="D397" s="2">
        <v>0</v>
      </c>
      <c r="E397" s="3">
        <v>13157</v>
      </c>
      <c r="F397" t="s">
        <v>12</v>
      </c>
      <c r="G397" t="s">
        <v>12</v>
      </c>
      <c r="H397" s="1">
        <v>0</v>
      </c>
      <c r="I397" s="1">
        <v>10462.823968855701</v>
      </c>
      <c r="J397" s="1">
        <v>1989.65971653724</v>
      </c>
      <c r="K397" s="1"/>
      <c r="L397" s="1"/>
      <c r="M397" s="1"/>
      <c r="N397" s="1"/>
      <c r="O397" s="1"/>
      <c r="P397" s="1"/>
      <c r="Q397" s="1">
        <v>8275.4571372231294</v>
      </c>
      <c r="R397" s="1">
        <v>25609</v>
      </c>
      <c r="S397" t="s">
        <v>9</v>
      </c>
    </row>
    <row r="398" spans="1:19" x14ac:dyDescent="0.55000000000000004">
      <c r="A398" t="s">
        <v>17</v>
      </c>
      <c r="B398">
        <v>1987</v>
      </c>
      <c r="C398">
        <v>3136</v>
      </c>
      <c r="D398" s="2">
        <v>27</v>
      </c>
      <c r="E398" s="3">
        <v>3163</v>
      </c>
      <c r="F398" t="s">
        <v>12</v>
      </c>
      <c r="G398" t="s">
        <v>12</v>
      </c>
      <c r="H398" s="1">
        <v>0</v>
      </c>
      <c r="I398" s="1">
        <v>6048.5230689101099</v>
      </c>
      <c r="J398" s="1">
        <v>1164.4597721688599</v>
      </c>
      <c r="K398" s="1"/>
      <c r="L398" s="1"/>
      <c r="M398" s="1"/>
      <c r="N398" s="1"/>
      <c r="O398" s="1"/>
      <c r="P398" s="1"/>
      <c r="Q398" s="1">
        <v>148.31959107774699</v>
      </c>
      <c r="R398" s="1">
        <v>10376</v>
      </c>
      <c r="S398" t="s">
        <v>9</v>
      </c>
    </row>
    <row r="399" spans="1:19" x14ac:dyDescent="0.55000000000000004">
      <c r="A399" t="s">
        <v>17</v>
      </c>
      <c r="B399">
        <v>1986</v>
      </c>
      <c r="C399">
        <v>14841</v>
      </c>
      <c r="D399" s="2">
        <v>37</v>
      </c>
      <c r="E399" s="3">
        <v>14878</v>
      </c>
      <c r="F399" t="s">
        <v>12</v>
      </c>
      <c r="G399" t="s">
        <v>12</v>
      </c>
      <c r="H399" s="1">
        <v>0</v>
      </c>
      <c r="I399" s="1">
        <v>41846.556247663502</v>
      </c>
      <c r="J399" s="1">
        <v>3752.5214903585602</v>
      </c>
      <c r="K399" s="1"/>
      <c r="L399" s="1"/>
      <c r="M399" s="1"/>
      <c r="N399" s="1"/>
      <c r="O399" s="1"/>
      <c r="P399" s="1"/>
      <c r="Q399" s="1">
        <v>454.74862869407599</v>
      </c>
      <c r="R399" s="1">
        <v>60477</v>
      </c>
      <c r="S399" t="s">
        <v>9</v>
      </c>
    </row>
    <row r="400" spans="1:19" x14ac:dyDescent="0.55000000000000004">
      <c r="A400" t="s">
        <v>17</v>
      </c>
      <c r="B400">
        <v>1985</v>
      </c>
      <c r="C400">
        <v>178</v>
      </c>
      <c r="D400" s="2">
        <v>14</v>
      </c>
      <c r="E400" s="3">
        <v>192</v>
      </c>
      <c r="F400" t="s">
        <v>12</v>
      </c>
      <c r="G400" t="s">
        <v>12</v>
      </c>
      <c r="H400" s="1">
        <v>2.0516361867539801E-2</v>
      </c>
      <c r="I400" s="1">
        <v>885.36565095232197</v>
      </c>
      <c r="J400" s="1">
        <v>38.640729709623201</v>
      </c>
      <c r="K400" s="1"/>
      <c r="L400" s="1"/>
      <c r="M400" s="1"/>
      <c r="N400" s="1"/>
      <c r="O400" s="1"/>
      <c r="P400" s="1"/>
      <c r="Q400" s="1">
        <v>-122.92236285526501</v>
      </c>
      <c r="R400" s="1">
        <v>1239</v>
      </c>
      <c r="S400" t="s">
        <v>9</v>
      </c>
    </row>
    <row r="401" spans="1:19" x14ac:dyDescent="0.55000000000000004">
      <c r="A401" t="s">
        <v>17</v>
      </c>
      <c r="B401">
        <v>1984</v>
      </c>
      <c r="C401">
        <v>9356</v>
      </c>
      <c r="D401" s="2">
        <v>0</v>
      </c>
      <c r="E401" s="3">
        <v>9356</v>
      </c>
      <c r="F401" t="s">
        <v>12</v>
      </c>
      <c r="G401" t="s">
        <v>12</v>
      </c>
      <c r="H401" s="1">
        <v>0</v>
      </c>
      <c r="I401" s="1">
        <v>24413.058087221601</v>
      </c>
      <c r="J401" s="1">
        <v>2347.2545299946401</v>
      </c>
      <c r="K401" s="1"/>
      <c r="L401" s="1"/>
      <c r="M401" s="1"/>
      <c r="N401" s="1"/>
      <c r="O401" s="1"/>
      <c r="P401" s="1"/>
      <c r="Q401" s="1">
        <v>3861.03102923804</v>
      </c>
      <c r="R401" s="1">
        <v>36116</v>
      </c>
      <c r="S401" t="s">
        <v>9</v>
      </c>
    </row>
    <row r="402" spans="1:19" x14ac:dyDescent="0.55000000000000004">
      <c r="A402" t="s">
        <v>17</v>
      </c>
      <c r="B402">
        <v>1983</v>
      </c>
      <c r="C402">
        <v>800</v>
      </c>
      <c r="D402" s="2">
        <v>0</v>
      </c>
      <c r="E402" s="3">
        <v>800</v>
      </c>
      <c r="F402" t="s">
        <v>12</v>
      </c>
      <c r="G402" t="s">
        <v>12</v>
      </c>
      <c r="H402" s="1">
        <v>5.02080954835247</v>
      </c>
      <c r="I402" s="1">
        <v>1647.0860927467199</v>
      </c>
      <c r="J402" s="1">
        <v>208.98394065036999</v>
      </c>
      <c r="K402" s="1"/>
      <c r="L402" s="1"/>
      <c r="M402" s="1"/>
      <c r="N402" s="1"/>
      <c r="O402" s="1"/>
      <c r="P402" s="1"/>
      <c r="Q402" s="1">
        <v>52.997327140494598</v>
      </c>
      <c r="R402" s="1">
        <v>2661</v>
      </c>
      <c r="S402" t="s">
        <v>9</v>
      </c>
    </row>
    <row r="403" spans="1:19" x14ac:dyDescent="0.55000000000000004">
      <c r="A403" t="s">
        <v>17</v>
      </c>
      <c r="B403">
        <v>1982</v>
      </c>
      <c r="C403">
        <v>7535</v>
      </c>
      <c r="D403" s="2">
        <v>66</v>
      </c>
      <c r="E403" s="3">
        <v>7601</v>
      </c>
      <c r="F403" t="s">
        <v>12</v>
      </c>
      <c r="G403" t="s">
        <v>12</v>
      </c>
      <c r="H403" s="1"/>
      <c r="I403" s="1">
        <v>22747.352773422201</v>
      </c>
      <c r="J403" s="1">
        <v>2375.50416920819</v>
      </c>
      <c r="K403" s="1"/>
      <c r="L403" s="1"/>
      <c r="M403" s="1"/>
      <c r="N403" s="1"/>
      <c r="O403" s="1"/>
      <c r="P403" s="1"/>
      <c r="Q403" s="1">
        <v>-203.76875166448599</v>
      </c>
      <c r="R403" s="1">
        <v>32928</v>
      </c>
      <c r="S403" t="s">
        <v>9</v>
      </c>
    </row>
    <row r="404" spans="1:19" x14ac:dyDescent="0.55000000000000004">
      <c r="A404" t="s">
        <v>17</v>
      </c>
      <c r="B404">
        <v>1981</v>
      </c>
      <c r="C404">
        <v>63</v>
      </c>
      <c r="D404" s="2">
        <v>0</v>
      </c>
      <c r="E404" s="3">
        <v>63</v>
      </c>
      <c r="F404" t="s">
        <v>12</v>
      </c>
      <c r="G404" t="s">
        <v>12</v>
      </c>
      <c r="H404" s="1"/>
      <c r="I404" s="1">
        <v>225.99119270027899</v>
      </c>
      <c r="J404" s="1">
        <v>6.9413205946458802</v>
      </c>
      <c r="K404" s="1"/>
      <c r="L404" s="1"/>
      <c r="M404" s="1"/>
      <c r="N404" s="1"/>
      <c r="O404" s="1"/>
      <c r="P404" s="1"/>
      <c r="Q404" s="1">
        <v>-5.30882388366543</v>
      </c>
      <c r="R404" s="1">
        <v>301</v>
      </c>
      <c r="S404" t="s">
        <v>9</v>
      </c>
    </row>
    <row r="405" spans="1:19" x14ac:dyDescent="0.55000000000000004">
      <c r="A405" t="s">
        <v>17</v>
      </c>
      <c r="B405">
        <v>1980</v>
      </c>
      <c r="C405">
        <v>3905</v>
      </c>
      <c r="D405" s="2">
        <v>0</v>
      </c>
      <c r="E405" s="3">
        <v>3905</v>
      </c>
      <c r="F405" t="s">
        <v>12</v>
      </c>
      <c r="G405" t="s">
        <v>12</v>
      </c>
      <c r="H405" s="1"/>
      <c r="I405" s="1">
        <v>4635.4211338201103</v>
      </c>
      <c r="J405" s="1">
        <v>783.40606269935097</v>
      </c>
      <c r="K405" s="1"/>
      <c r="L405" s="1"/>
      <c r="M405" s="1"/>
      <c r="N405" s="1"/>
      <c r="O405" s="1"/>
      <c r="P405" s="1"/>
      <c r="Q405" s="1">
        <v>-3166.8031021698898</v>
      </c>
      <c r="R405" s="1">
        <v>12491</v>
      </c>
      <c r="S405" t="s">
        <v>9</v>
      </c>
    </row>
    <row r="406" spans="1:19" x14ac:dyDescent="0.55000000000000004">
      <c r="A406" t="s">
        <v>17</v>
      </c>
      <c r="B406">
        <v>1979</v>
      </c>
      <c r="C406">
        <v>416</v>
      </c>
      <c r="D406" s="2">
        <v>0</v>
      </c>
      <c r="E406" s="3">
        <v>416</v>
      </c>
      <c r="F406" t="s">
        <v>12</v>
      </c>
      <c r="G406" t="s">
        <v>12</v>
      </c>
      <c r="H406" s="1"/>
      <c r="I406" s="1">
        <v>1015.5331994905</v>
      </c>
      <c r="J406" s="1">
        <v>76.2657224997713</v>
      </c>
      <c r="K406" s="1"/>
      <c r="L406" s="1"/>
      <c r="M406" s="1"/>
      <c r="N406" s="1"/>
      <c r="O406" s="1"/>
      <c r="P406" s="1"/>
      <c r="Q406" s="1">
        <v>-198.298792278809</v>
      </c>
      <c r="R406" s="1">
        <v>1706</v>
      </c>
      <c r="S406" t="s">
        <v>9</v>
      </c>
    </row>
    <row r="407" spans="1:19" x14ac:dyDescent="0.55000000000000004">
      <c r="A407" t="s">
        <v>17</v>
      </c>
      <c r="B407">
        <v>1978</v>
      </c>
      <c r="C407">
        <v>1427</v>
      </c>
      <c r="D407" s="2">
        <v>3</v>
      </c>
      <c r="E407" s="3">
        <v>1430</v>
      </c>
      <c r="F407" t="s">
        <v>12</v>
      </c>
      <c r="G407" t="s">
        <v>12</v>
      </c>
      <c r="H407" s="1"/>
      <c r="I407" s="1">
        <v>3957.19427782924</v>
      </c>
      <c r="J407" s="1">
        <v>250.67856399433501</v>
      </c>
      <c r="K407" s="1"/>
      <c r="L407" s="1"/>
      <c r="M407" s="1"/>
      <c r="N407" s="1"/>
      <c r="O407" s="1"/>
      <c r="P407" s="1"/>
      <c r="Q407" s="1">
        <v>382.814822712026</v>
      </c>
      <c r="R407" s="1">
        <v>5638</v>
      </c>
      <c r="S407" t="s">
        <v>9</v>
      </c>
    </row>
    <row r="408" spans="1:19" x14ac:dyDescent="0.55000000000000004">
      <c r="A408" t="s">
        <v>17</v>
      </c>
      <c r="B408">
        <v>1977</v>
      </c>
      <c r="C408">
        <v>116</v>
      </c>
      <c r="D408" s="2">
        <v>0</v>
      </c>
      <c r="E408" s="3">
        <v>116</v>
      </c>
      <c r="F408" t="s">
        <v>12</v>
      </c>
      <c r="G408" t="s">
        <v>12</v>
      </c>
      <c r="H408" s="1"/>
      <c r="I408" s="1">
        <v>366.32243898908303</v>
      </c>
      <c r="J408" s="1">
        <v>14.5524217915516</v>
      </c>
      <c r="K408" s="1"/>
      <c r="L408" s="1"/>
      <c r="M408" s="1"/>
      <c r="N408" s="1"/>
      <c r="O408" s="1"/>
      <c r="P408" s="1"/>
      <c r="Q408" s="1">
        <v>70.804451823072199</v>
      </c>
      <c r="R408" s="1">
        <v>497</v>
      </c>
      <c r="S408" t="s">
        <v>9</v>
      </c>
    </row>
    <row r="409" spans="1:19" x14ac:dyDescent="0.55000000000000004">
      <c r="A409" t="s">
        <v>17</v>
      </c>
      <c r="B409">
        <v>1976</v>
      </c>
      <c r="C409">
        <v>2038</v>
      </c>
      <c r="D409" s="2">
        <v>0</v>
      </c>
      <c r="E409" s="3">
        <v>2038</v>
      </c>
      <c r="F409" t="s">
        <v>12</v>
      </c>
      <c r="G409" t="s">
        <v>12</v>
      </c>
      <c r="H409" s="1"/>
      <c r="I409" s="1">
        <v>11499.341890315</v>
      </c>
      <c r="J409" s="1">
        <v>363.18786464410698</v>
      </c>
      <c r="K409" s="1"/>
      <c r="L409" s="1"/>
      <c r="M409" s="1"/>
      <c r="N409" s="1"/>
      <c r="O409" s="1"/>
      <c r="P409" s="1"/>
      <c r="Q409" s="1"/>
      <c r="R409" s="1">
        <v>13901</v>
      </c>
      <c r="S409" t="s">
        <v>12</v>
      </c>
    </row>
    <row r="410" spans="1:19" x14ac:dyDescent="0.55000000000000004">
      <c r="A410" t="s">
        <v>17</v>
      </c>
      <c r="B410">
        <v>1975</v>
      </c>
      <c r="C410">
        <v>59</v>
      </c>
      <c r="D410" s="2">
        <v>38</v>
      </c>
      <c r="E410" s="3">
        <v>97</v>
      </c>
      <c r="F410" t="s">
        <v>12</v>
      </c>
      <c r="G410" t="s">
        <v>12</v>
      </c>
      <c r="H410" s="1"/>
      <c r="I410" s="1">
        <v>240.021497265699</v>
      </c>
      <c r="J410" s="1">
        <v>12.961915037087</v>
      </c>
      <c r="K410" s="1"/>
      <c r="L410" s="1"/>
      <c r="M410" s="1"/>
      <c r="N410" s="1"/>
      <c r="O410" s="1"/>
      <c r="P410" s="1"/>
      <c r="Q410" s="1"/>
      <c r="R410" s="1">
        <v>350</v>
      </c>
      <c r="S410" t="s">
        <v>11</v>
      </c>
    </row>
    <row r="411" spans="1:19" x14ac:dyDescent="0.55000000000000004">
      <c r="A411" t="s">
        <v>17</v>
      </c>
      <c r="B411">
        <v>1974</v>
      </c>
      <c r="C411">
        <v>995</v>
      </c>
      <c r="D411" s="2">
        <v>14</v>
      </c>
      <c r="E411" s="3">
        <v>1009</v>
      </c>
      <c r="F411" t="s">
        <v>12</v>
      </c>
      <c r="G411" t="s">
        <v>12</v>
      </c>
      <c r="H411" s="1"/>
      <c r="I411" s="1">
        <v>3817.9411764705801</v>
      </c>
      <c r="J411" s="1">
        <v>169.58945386063999</v>
      </c>
      <c r="K411" s="1"/>
      <c r="L411" s="1"/>
      <c r="M411" s="1"/>
      <c r="N411" s="1"/>
      <c r="O411" s="1"/>
      <c r="P411" s="1"/>
      <c r="Q411" s="1"/>
      <c r="R411" s="1">
        <v>4997</v>
      </c>
      <c r="S411" t="s">
        <v>12</v>
      </c>
    </row>
    <row r="412" spans="1:19" x14ac:dyDescent="0.55000000000000004">
      <c r="A412" t="s">
        <v>17</v>
      </c>
      <c r="B412">
        <v>1973</v>
      </c>
      <c r="C412">
        <v>11</v>
      </c>
      <c r="D412" s="2">
        <v>0</v>
      </c>
      <c r="E412" s="3">
        <v>11</v>
      </c>
      <c r="F412" t="s">
        <v>12</v>
      </c>
      <c r="G412" t="s">
        <v>12</v>
      </c>
      <c r="H412" s="1"/>
      <c r="I412" s="1">
        <v>46.973491454482101</v>
      </c>
      <c r="J412" s="1">
        <v>1</v>
      </c>
      <c r="K412" s="1"/>
      <c r="L412" s="1"/>
      <c r="M412" s="1"/>
      <c r="N412" s="1"/>
      <c r="O412" s="1"/>
      <c r="P412" s="1"/>
      <c r="Q412" s="1"/>
      <c r="R412" s="1">
        <v>59</v>
      </c>
      <c r="S412" t="s">
        <v>12</v>
      </c>
    </row>
    <row r="413" spans="1:19" x14ac:dyDescent="0.55000000000000004">
      <c r="A413" t="s">
        <v>17</v>
      </c>
      <c r="B413">
        <v>1972</v>
      </c>
      <c r="C413">
        <v>1038</v>
      </c>
      <c r="D413" s="2">
        <v>0</v>
      </c>
      <c r="E413" s="3">
        <v>1038</v>
      </c>
      <c r="F413" t="s">
        <v>12</v>
      </c>
      <c r="G413" t="s">
        <v>12</v>
      </c>
      <c r="H413" s="1"/>
      <c r="I413" s="1">
        <v>5436.0372096851197</v>
      </c>
      <c r="J413" s="1">
        <v>566</v>
      </c>
      <c r="K413" s="1"/>
      <c r="L413" s="1"/>
      <c r="M413" s="1"/>
      <c r="N413" s="1"/>
      <c r="O413" s="1"/>
      <c r="P413" s="1"/>
      <c r="Q413" s="1"/>
      <c r="R413" s="1">
        <v>7040</v>
      </c>
      <c r="S413" t="s">
        <v>12</v>
      </c>
    </row>
    <row r="414" spans="1:19" x14ac:dyDescent="0.55000000000000004">
      <c r="A414" t="s">
        <v>17</v>
      </c>
      <c r="B414">
        <v>1971</v>
      </c>
      <c r="C414">
        <v>32</v>
      </c>
      <c r="D414" s="2">
        <v>0</v>
      </c>
      <c r="E414" s="3">
        <v>32</v>
      </c>
      <c r="F414" t="s">
        <v>12</v>
      </c>
      <c r="G414" t="s">
        <v>12</v>
      </c>
      <c r="H414" s="1"/>
      <c r="I414" s="1">
        <v>331.62308499475301</v>
      </c>
      <c r="J414" s="1">
        <v>3</v>
      </c>
      <c r="K414" s="1"/>
      <c r="L414" s="1"/>
      <c r="M414" s="1"/>
      <c r="N414" s="1"/>
      <c r="O414" s="1"/>
      <c r="P414" s="1"/>
      <c r="Q414" s="1"/>
      <c r="R414" s="1">
        <v>367</v>
      </c>
      <c r="S414" t="s">
        <v>12</v>
      </c>
    </row>
    <row r="415" spans="1:19" x14ac:dyDescent="0.55000000000000004">
      <c r="A415" t="s">
        <v>17</v>
      </c>
      <c r="B415">
        <v>1970</v>
      </c>
      <c r="C415">
        <v>223</v>
      </c>
      <c r="D415" s="2">
        <v>0</v>
      </c>
      <c r="E415" s="3">
        <v>223</v>
      </c>
      <c r="F415" t="s">
        <v>12</v>
      </c>
      <c r="G415" t="s">
        <v>12</v>
      </c>
      <c r="H415" s="1"/>
      <c r="I415" s="1">
        <v>1906.2077922077899</v>
      </c>
      <c r="J415" s="1">
        <v>41</v>
      </c>
      <c r="K415" s="1"/>
      <c r="L415" s="1"/>
      <c r="M415" s="1"/>
      <c r="N415" s="1"/>
      <c r="O415" s="1"/>
      <c r="P415" s="1"/>
      <c r="Q415" s="1"/>
      <c r="R415" s="1">
        <v>2170</v>
      </c>
      <c r="S415" t="s">
        <v>12</v>
      </c>
    </row>
    <row r="416" spans="1:19" x14ac:dyDescent="0.55000000000000004">
      <c r="A416" t="s">
        <v>17</v>
      </c>
      <c r="B416">
        <v>1969</v>
      </c>
      <c r="C416">
        <v>18</v>
      </c>
      <c r="D416" s="2">
        <v>0</v>
      </c>
      <c r="E416" s="3">
        <v>18</v>
      </c>
      <c r="F416" t="s">
        <v>12</v>
      </c>
      <c r="G416" t="s">
        <v>12</v>
      </c>
      <c r="H416" s="1"/>
      <c r="I416" s="1">
        <v>69.245473110959907</v>
      </c>
      <c r="J416" s="1">
        <v>1</v>
      </c>
      <c r="K416" s="1"/>
      <c r="L416" s="1"/>
      <c r="M416" s="1"/>
      <c r="N416" s="1"/>
      <c r="O416" s="1"/>
      <c r="P416" s="1"/>
      <c r="Q416" s="1"/>
      <c r="R416" s="1">
        <v>88</v>
      </c>
      <c r="S416" t="s">
        <v>12</v>
      </c>
    </row>
    <row r="417" spans="1:19" x14ac:dyDescent="0.55000000000000004">
      <c r="A417" t="s">
        <v>17</v>
      </c>
      <c r="B417">
        <v>1968</v>
      </c>
      <c r="C417">
        <v>617</v>
      </c>
      <c r="D417" s="2">
        <v>0</v>
      </c>
      <c r="E417" s="3">
        <v>617</v>
      </c>
      <c r="F417" t="s">
        <v>12</v>
      </c>
      <c r="G417" t="s">
        <v>12</v>
      </c>
      <c r="H417" s="1"/>
      <c r="I417" s="1">
        <v>2586.4999670502798</v>
      </c>
      <c r="J417" s="1">
        <v>50</v>
      </c>
      <c r="K417" s="1"/>
      <c r="L417" s="1"/>
      <c r="M417" s="1"/>
      <c r="N417" s="1"/>
      <c r="O417" s="1"/>
      <c r="P417" s="1"/>
      <c r="Q417" s="1"/>
      <c r="R417" s="1">
        <v>3253</v>
      </c>
      <c r="S417" t="s">
        <v>12</v>
      </c>
    </row>
    <row r="418" spans="1:19" x14ac:dyDescent="0.55000000000000004">
      <c r="A418" t="s">
        <v>17</v>
      </c>
      <c r="B418">
        <v>1967</v>
      </c>
      <c r="C418">
        <v>4</v>
      </c>
      <c r="D418" s="2">
        <v>0</v>
      </c>
      <c r="E418" s="3">
        <v>4</v>
      </c>
      <c r="F418" t="s">
        <v>12</v>
      </c>
      <c r="G418" t="s">
        <v>12</v>
      </c>
      <c r="H418" s="1"/>
      <c r="I418" s="1">
        <v>30.528095772540201</v>
      </c>
      <c r="J418" s="1">
        <v>0.22775907220351599</v>
      </c>
      <c r="K418" s="1"/>
      <c r="L418" s="1"/>
      <c r="M418" s="1"/>
      <c r="N418" s="1"/>
      <c r="O418" s="1"/>
      <c r="P418" s="1"/>
      <c r="Q418" s="1"/>
      <c r="R418" s="1">
        <v>35</v>
      </c>
      <c r="S418" t="s">
        <v>12</v>
      </c>
    </row>
    <row r="419" spans="1:19" x14ac:dyDescent="0.55000000000000004">
      <c r="A419" t="s">
        <v>17</v>
      </c>
      <c r="B419">
        <v>1966</v>
      </c>
      <c r="C419">
        <v>350</v>
      </c>
      <c r="D419" s="2">
        <v>1</v>
      </c>
      <c r="E419" s="3">
        <v>351</v>
      </c>
      <c r="F419" t="s">
        <v>12</v>
      </c>
      <c r="G419" t="s">
        <v>12</v>
      </c>
      <c r="H419" s="1"/>
      <c r="I419" s="1">
        <v>1786.2248004329599</v>
      </c>
      <c r="J419" s="1">
        <v>23.507644432417798</v>
      </c>
      <c r="K419" s="1"/>
      <c r="L419" s="1"/>
      <c r="M419" s="1"/>
      <c r="N419" s="1"/>
      <c r="O419" s="1"/>
      <c r="P419" s="1"/>
      <c r="Q419" s="1"/>
      <c r="R419" s="1">
        <v>2161</v>
      </c>
      <c r="S419" t="s">
        <v>12</v>
      </c>
    </row>
    <row r="420" spans="1:19" x14ac:dyDescent="0.55000000000000004">
      <c r="A420" t="s">
        <v>17</v>
      </c>
      <c r="B420">
        <v>1965</v>
      </c>
      <c r="C420">
        <v>0</v>
      </c>
      <c r="D420" s="2">
        <v>0</v>
      </c>
      <c r="E420" s="3">
        <v>0</v>
      </c>
      <c r="F420" t="s">
        <v>12</v>
      </c>
      <c r="G420" t="s">
        <v>12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>
        <v>0</v>
      </c>
      <c r="S420" t="s">
        <v>12</v>
      </c>
    </row>
    <row r="421" spans="1:19" x14ac:dyDescent="0.55000000000000004">
      <c r="A421" t="s">
        <v>17</v>
      </c>
      <c r="B421">
        <v>1964</v>
      </c>
      <c r="C421">
        <v>985</v>
      </c>
      <c r="D421" s="2">
        <v>0</v>
      </c>
      <c r="E421" s="3">
        <v>985</v>
      </c>
      <c r="F421" t="s">
        <v>12</v>
      </c>
      <c r="G421" t="s">
        <v>12</v>
      </c>
      <c r="H421" s="1"/>
      <c r="I421" s="1">
        <v>1968.43194481295</v>
      </c>
      <c r="J421" s="1">
        <v>279.89785088883002</v>
      </c>
      <c r="K421" s="1"/>
      <c r="L421" s="1"/>
      <c r="M421" s="1"/>
      <c r="N421" s="1"/>
      <c r="O421" s="1"/>
      <c r="P421" s="1"/>
      <c r="Q421" s="1"/>
      <c r="R421" s="1">
        <v>3233</v>
      </c>
      <c r="S421" t="s">
        <v>11</v>
      </c>
    </row>
    <row r="422" spans="1:19" x14ac:dyDescent="0.55000000000000004">
      <c r="A422" t="s">
        <v>17</v>
      </c>
      <c r="B422">
        <v>1963</v>
      </c>
      <c r="C422">
        <v>12</v>
      </c>
      <c r="D422" s="2">
        <v>0</v>
      </c>
      <c r="E422" s="3">
        <v>12</v>
      </c>
      <c r="F422" t="s">
        <v>12</v>
      </c>
      <c r="G422" t="s">
        <v>12</v>
      </c>
      <c r="H422" s="1"/>
      <c r="I422" s="1">
        <v>16.1180441270815</v>
      </c>
      <c r="J422" s="1">
        <v>1.3023904493598499</v>
      </c>
      <c r="K422" s="1"/>
      <c r="L422" s="1"/>
      <c r="M422" s="1"/>
      <c r="N422" s="1"/>
      <c r="O422" s="1"/>
      <c r="P422" s="1"/>
      <c r="Q422" s="1"/>
      <c r="R422" s="1">
        <v>29</v>
      </c>
      <c r="S422" t="s">
        <v>12</v>
      </c>
    </row>
    <row r="423" spans="1:19" x14ac:dyDescent="0.55000000000000004">
      <c r="A423" t="s">
        <v>17</v>
      </c>
      <c r="B423">
        <v>1962</v>
      </c>
      <c r="C423">
        <v>323</v>
      </c>
      <c r="D423" s="2">
        <v>2</v>
      </c>
      <c r="E423" s="3">
        <v>325</v>
      </c>
      <c r="F423" t="s">
        <v>12</v>
      </c>
      <c r="G423" t="s">
        <v>12</v>
      </c>
      <c r="H423" s="1"/>
      <c r="I423" s="1">
        <v>783.10673215141298</v>
      </c>
      <c r="J423" s="1">
        <v>16.9796871791361</v>
      </c>
      <c r="K423" s="1"/>
      <c r="L423" s="1"/>
      <c r="M423" s="1"/>
      <c r="N423" s="1"/>
      <c r="O423" s="1"/>
      <c r="P423" s="1"/>
      <c r="Q423" s="1"/>
      <c r="R423" s="1">
        <v>1125</v>
      </c>
      <c r="S423" t="s">
        <v>12</v>
      </c>
    </row>
    <row r="424" spans="1:19" x14ac:dyDescent="0.55000000000000004">
      <c r="A424" t="s">
        <v>17</v>
      </c>
      <c r="B424">
        <v>1961</v>
      </c>
      <c r="C424">
        <v>0</v>
      </c>
      <c r="D424" s="2">
        <v>0</v>
      </c>
      <c r="E424" s="3">
        <v>0</v>
      </c>
      <c r="F424" t="s">
        <v>12</v>
      </c>
      <c r="G424" t="s">
        <v>12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>
        <v>0</v>
      </c>
      <c r="S424" t="s">
        <v>12</v>
      </c>
    </row>
    <row r="425" spans="1:19" x14ac:dyDescent="0.55000000000000004">
      <c r="A425" t="s">
        <v>17</v>
      </c>
      <c r="B425">
        <v>1960</v>
      </c>
      <c r="C425">
        <v>1000</v>
      </c>
      <c r="D425" s="2">
        <v>0</v>
      </c>
      <c r="E425" s="3">
        <v>1000</v>
      </c>
      <c r="F425" t="s">
        <v>12</v>
      </c>
      <c r="G425" t="s">
        <v>12</v>
      </c>
      <c r="H425" s="1"/>
      <c r="I425" s="1">
        <v>2695.4164613109901</v>
      </c>
      <c r="J425" s="1">
        <v>166.33809758501701</v>
      </c>
      <c r="K425" s="1"/>
      <c r="L425" s="1"/>
      <c r="M425" s="1"/>
      <c r="N425" s="1"/>
      <c r="O425" s="1"/>
      <c r="P425" s="1"/>
      <c r="Q425" s="1"/>
      <c r="R425" s="1">
        <v>3862</v>
      </c>
      <c r="S425" t="s">
        <v>11</v>
      </c>
    </row>
    <row r="426" spans="1:19" x14ac:dyDescent="0.55000000000000004">
      <c r="A426" t="s">
        <v>17</v>
      </c>
      <c r="B426">
        <v>1959</v>
      </c>
      <c r="C426">
        <v>0</v>
      </c>
      <c r="D426" s="2">
        <v>0</v>
      </c>
      <c r="E426" s="3">
        <v>0</v>
      </c>
      <c r="F426" t="s">
        <v>12</v>
      </c>
      <c r="G426" t="s">
        <v>12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>
        <v>0</v>
      </c>
      <c r="S426" t="s">
        <v>12</v>
      </c>
    </row>
    <row r="427" spans="1:19" x14ac:dyDescent="0.55000000000000004">
      <c r="A427" t="s">
        <v>17</v>
      </c>
      <c r="B427">
        <v>1958</v>
      </c>
      <c r="C427">
        <v>434</v>
      </c>
      <c r="D427" s="2">
        <v>0</v>
      </c>
      <c r="E427" s="3">
        <v>434</v>
      </c>
      <c r="F427" t="s">
        <v>12</v>
      </c>
      <c r="G427" t="s">
        <v>12</v>
      </c>
      <c r="H427" s="1"/>
      <c r="I427" s="1">
        <v>1929.28742469498</v>
      </c>
      <c r="J427" s="1">
        <v>8.0030628258998604</v>
      </c>
      <c r="K427" s="1"/>
      <c r="L427" s="1"/>
      <c r="M427" s="1"/>
      <c r="N427" s="1"/>
      <c r="O427" s="1"/>
      <c r="P427" s="1"/>
      <c r="Q427" s="1"/>
      <c r="R427" s="1">
        <v>2371</v>
      </c>
      <c r="S427" t="s">
        <v>12</v>
      </c>
    </row>
    <row r="428" spans="1:19" x14ac:dyDescent="0.55000000000000004">
      <c r="A428" t="s">
        <v>17</v>
      </c>
      <c r="B428">
        <v>1957</v>
      </c>
      <c r="C428">
        <v>0</v>
      </c>
      <c r="D428" s="2">
        <v>0</v>
      </c>
      <c r="E428" s="3">
        <v>0</v>
      </c>
      <c r="F428" t="s">
        <v>12</v>
      </c>
      <c r="G428" t="s">
        <v>12</v>
      </c>
      <c r="H428" s="1"/>
      <c r="I428" s="1">
        <v>826.94327647758803</v>
      </c>
      <c r="J428" s="1">
        <v>42.593811979373299</v>
      </c>
      <c r="K428" s="1"/>
      <c r="L428" s="1"/>
      <c r="M428" s="1"/>
      <c r="N428" s="1"/>
      <c r="O428" s="1"/>
      <c r="P428" s="1"/>
      <c r="Q428" s="1"/>
      <c r="R428" s="1">
        <v>870</v>
      </c>
      <c r="S428" t="s">
        <v>12</v>
      </c>
    </row>
    <row r="429" spans="1:19" x14ac:dyDescent="0.55000000000000004">
      <c r="A429" t="s">
        <v>17</v>
      </c>
      <c r="B429">
        <v>1956</v>
      </c>
      <c r="C429">
        <v>9</v>
      </c>
      <c r="D429" s="2">
        <v>0</v>
      </c>
      <c r="E429" s="3">
        <v>9</v>
      </c>
      <c r="F429" t="s">
        <v>12</v>
      </c>
      <c r="G429" t="s">
        <v>12</v>
      </c>
      <c r="H429" s="1"/>
      <c r="I429" s="1">
        <v>28.630961115187102</v>
      </c>
      <c r="J429" s="1">
        <v>2.0007336757153298</v>
      </c>
      <c r="K429" s="1"/>
      <c r="L429" s="1"/>
      <c r="M429" s="1"/>
      <c r="N429" s="1"/>
      <c r="O429" s="1"/>
      <c r="P429" s="1"/>
      <c r="Q429" s="1"/>
      <c r="R429" s="1">
        <v>40</v>
      </c>
      <c r="S429" t="s">
        <v>12</v>
      </c>
    </row>
    <row r="430" spans="1:19" x14ac:dyDescent="0.55000000000000004">
      <c r="A430" t="s">
        <v>17</v>
      </c>
      <c r="B430">
        <v>1955</v>
      </c>
      <c r="C430">
        <v>11</v>
      </c>
      <c r="D430" s="2">
        <v>0</v>
      </c>
      <c r="E430" s="3">
        <v>11</v>
      </c>
      <c r="F430" t="s">
        <v>12</v>
      </c>
      <c r="G430" t="s">
        <v>12</v>
      </c>
      <c r="H430" s="1"/>
      <c r="I430" s="1">
        <v>65.362336510751504</v>
      </c>
      <c r="J430" s="1">
        <v>2.1995123032586998</v>
      </c>
      <c r="K430" s="1"/>
      <c r="L430" s="1"/>
      <c r="M430" s="1"/>
      <c r="N430" s="1"/>
      <c r="O430" s="1"/>
      <c r="P430" s="1"/>
      <c r="Q430" s="1"/>
      <c r="R430" s="1">
        <v>79</v>
      </c>
      <c r="S430" t="s">
        <v>11</v>
      </c>
    </row>
    <row r="431" spans="1:19" x14ac:dyDescent="0.55000000000000004">
      <c r="A431" t="s">
        <v>17</v>
      </c>
      <c r="B431">
        <v>1954</v>
      </c>
      <c r="C431">
        <v>210</v>
      </c>
      <c r="D431" s="2">
        <v>0</v>
      </c>
      <c r="E431" s="3">
        <v>210</v>
      </c>
      <c r="F431" t="s">
        <v>12</v>
      </c>
      <c r="G431" t="s">
        <v>12</v>
      </c>
      <c r="H431" s="1"/>
      <c r="I431" s="1">
        <v>691.408845423142</v>
      </c>
      <c r="J431" s="1">
        <v>7.0315613405747603</v>
      </c>
      <c r="K431" s="1"/>
      <c r="L431" s="1"/>
      <c r="M431" s="1"/>
      <c r="N431" s="1"/>
      <c r="O431" s="1"/>
      <c r="P431" s="1"/>
      <c r="Q431" s="1"/>
      <c r="R431" s="1">
        <v>908</v>
      </c>
      <c r="S431" t="s">
        <v>12</v>
      </c>
    </row>
    <row r="432" spans="1:19" x14ac:dyDescent="0.55000000000000004">
      <c r="A432" t="s">
        <v>17</v>
      </c>
      <c r="B432">
        <v>1953</v>
      </c>
      <c r="C432">
        <v>0</v>
      </c>
      <c r="D432" s="2">
        <v>0</v>
      </c>
      <c r="E432" s="3">
        <v>0</v>
      </c>
      <c r="F432" t="s">
        <v>12</v>
      </c>
      <c r="G432" t="s">
        <v>12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>
        <v>0</v>
      </c>
      <c r="S432" t="s">
        <v>12</v>
      </c>
    </row>
    <row r="433" spans="1:19" x14ac:dyDescent="0.55000000000000004">
      <c r="A433" t="s">
        <v>17</v>
      </c>
      <c r="B433">
        <v>1952</v>
      </c>
      <c r="C433">
        <v>0</v>
      </c>
      <c r="D433" s="2">
        <v>0</v>
      </c>
      <c r="E433" s="3">
        <v>0</v>
      </c>
      <c r="F433" t="s">
        <v>12</v>
      </c>
      <c r="G433" t="s">
        <v>12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>
        <v>0</v>
      </c>
      <c r="S433" t="s">
        <v>12</v>
      </c>
    </row>
    <row r="434" spans="1:19" x14ac:dyDescent="0.55000000000000004">
      <c r="A434" t="s">
        <v>18</v>
      </c>
      <c r="B434">
        <v>2023</v>
      </c>
      <c r="C434">
        <v>9819</v>
      </c>
      <c r="D434" s="2">
        <v>0</v>
      </c>
      <c r="E434" s="3">
        <v>9819</v>
      </c>
      <c r="F434">
        <v>239</v>
      </c>
      <c r="G434" t="s">
        <v>12</v>
      </c>
      <c r="H434" s="1">
        <v>238.08742921829699</v>
      </c>
      <c r="I434" s="1">
        <v>176.33019918821901</v>
      </c>
      <c r="J434" s="1">
        <v>544.20415210195301</v>
      </c>
      <c r="K434" s="1"/>
      <c r="L434" s="1">
        <v>15418</v>
      </c>
      <c r="M434" s="1">
        <v>221</v>
      </c>
      <c r="N434" s="1"/>
      <c r="O434" s="1"/>
      <c r="P434" s="1"/>
      <c r="Q434" s="1">
        <v>-30616.095808169201</v>
      </c>
      <c r="R434" s="1">
        <v>26656</v>
      </c>
      <c r="S434" t="s">
        <v>11</v>
      </c>
    </row>
    <row r="435" spans="1:19" x14ac:dyDescent="0.55000000000000004">
      <c r="A435" t="s">
        <v>18</v>
      </c>
      <c r="B435">
        <v>2022</v>
      </c>
      <c r="C435">
        <v>24929</v>
      </c>
      <c r="D435" s="2">
        <v>0</v>
      </c>
      <c r="E435" s="3">
        <v>24929</v>
      </c>
      <c r="F435" t="s">
        <v>12</v>
      </c>
      <c r="G435" t="s">
        <v>12</v>
      </c>
      <c r="H435" s="1">
        <v>1003.59740899906</v>
      </c>
      <c r="I435" s="1">
        <v>998.52442640306003</v>
      </c>
      <c r="J435" s="1">
        <v>3797.1893188587101</v>
      </c>
      <c r="K435" s="1"/>
      <c r="L435" s="1">
        <v>224361</v>
      </c>
      <c r="M435" s="1"/>
      <c r="N435" s="1"/>
      <c r="O435" s="1"/>
      <c r="P435" s="1"/>
      <c r="Q435" s="1">
        <v>-214662.63015631499</v>
      </c>
      <c r="R435" s="1">
        <v>255089</v>
      </c>
      <c r="S435" t="s">
        <v>11</v>
      </c>
    </row>
    <row r="436" spans="1:19" x14ac:dyDescent="0.55000000000000004">
      <c r="A436" t="s">
        <v>18</v>
      </c>
      <c r="B436">
        <v>2021</v>
      </c>
      <c r="C436">
        <v>53932</v>
      </c>
      <c r="D436" s="2">
        <v>81</v>
      </c>
      <c r="E436" s="3">
        <v>54013</v>
      </c>
      <c r="F436" t="s">
        <v>12</v>
      </c>
      <c r="G436" t="s">
        <v>12</v>
      </c>
      <c r="H436" s="1">
        <v>0</v>
      </c>
      <c r="I436" s="1">
        <v>482.02734501468899</v>
      </c>
      <c r="J436" s="1">
        <v>998.06999103287205</v>
      </c>
      <c r="K436" s="1"/>
      <c r="L436" s="1">
        <v>23114</v>
      </c>
      <c r="M436" s="1"/>
      <c r="N436" s="1"/>
      <c r="O436" s="1">
        <v>35</v>
      </c>
      <c r="P436" s="1"/>
      <c r="Q436" s="1">
        <v>-14189.810807305899</v>
      </c>
      <c r="R436" s="1">
        <v>78642</v>
      </c>
      <c r="S436" t="s">
        <v>11</v>
      </c>
    </row>
    <row r="437" spans="1:19" x14ac:dyDescent="0.55000000000000004">
      <c r="A437" t="s">
        <v>18</v>
      </c>
      <c r="B437">
        <v>2020</v>
      </c>
      <c r="C437">
        <v>30</v>
      </c>
      <c r="D437" s="2">
        <v>0</v>
      </c>
      <c r="E437" s="3">
        <v>30</v>
      </c>
      <c r="F437" t="s">
        <v>12</v>
      </c>
      <c r="G437" t="s">
        <v>12</v>
      </c>
      <c r="H437" s="1">
        <v>28.218060378400001</v>
      </c>
      <c r="I437" s="1">
        <v>72.726441916610995</v>
      </c>
      <c r="J437" s="1">
        <v>66.464210239631797</v>
      </c>
      <c r="K437" s="1"/>
      <c r="L437" s="1">
        <v>19940</v>
      </c>
      <c r="M437" s="1">
        <v>30</v>
      </c>
      <c r="N437" s="1"/>
      <c r="O437" s="1"/>
      <c r="P437" s="1"/>
      <c r="Q437" s="1">
        <v>-16636.989902377401</v>
      </c>
      <c r="R437" s="1">
        <v>20167</v>
      </c>
      <c r="S437" t="s">
        <v>11</v>
      </c>
    </row>
    <row r="438" spans="1:19" x14ac:dyDescent="0.55000000000000004">
      <c r="A438" t="s">
        <v>18</v>
      </c>
      <c r="B438">
        <v>2019</v>
      </c>
      <c r="C438">
        <v>89</v>
      </c>
      <c r="D438" s="2">
        <v>0</v>
      </c>
      <c r="E438" s="3">
        <v>89</v>
      </c>
      <c r="F438" t="s">
        <v>12</v>
      </c>
      <c r="G438" t="s">
        <v>12</v>
      </c>
      <c r="H438" s="1">
        <v>121.26739999954</v>
      </c>
      <c r="I438" s="1">
        <v>59.109092788858</v>
      </c>
      <c r="J438" s="1">
        <v>133.51430298064099</v>
      </c>
      <c r="K438" s="1"/>
      <c r="L438" s="1">
        <v>25340</v>
      </c>
      <c r="M438" s="1"/>
      <c r="N438" s="1"/>
      <c r="O438" s="1"/>
      <c r="P438" s="1"/>
      <c r="Q438" s="1">
        <v>-25499.0274918014</v>
      </c>
      <c r="R438" s="1">
        <v>25743</v>
      </c>
      <c r="S438" t="s">
        <v>11</v>
      </c>
    </row>
    <row r="439" spans="1:19" x14ac:dyDescent="0.55000000000000004">
      <c r="A439" t="s">
        <v>18</v>
      </c>
      <c r="B439">
        <v>2018</v>
      </c>
      <c r="C439">
        <v>48489</v>
      </c>
      <c r="D439" s="2">
        <v>0</v>
      </c>
      <c r="E439" s="3">
        <v>48489</v>
      </c>
      <c r="F439" t="s">
        <v>12</v>
      </c>
      <c r="G439" t="s">
        <v>12</v>
      </c>
      <c r="H439" s="1">
        <v>176.57476888810001</v>
      </c>
      <c r="I439" s="1">
        <v>1736.44231477628</v>
      </c>
      <c r="J439" s="1">
        <v>6600.9765646954102</v>
      </c>
      <c r="K439" s="1">
        <v>5</v>
      </c>
      <c r="L439" s="1">
        <v>34379</v>
      </c>
      <c r="M439" s="1">
        <v>3080</v>
      </c>
      <c r="N439" s="1"/>
      <c r="O439" s="1"/>
      <c r="P439" s="1"/>
      <c r="Q439" s="1">
        <v>-66321.276576344098</v>
      </c>
      <c r="R439" s="1">
        <v>94467</v>
      </c>
      <c r="S439" t="s">
        <v>11</v>
      </c>
    </row>
    <row r="440" spans="1:19" x14ac:dyDescent="0.55000000000000004">
      <c r="A440" t="s">
        <v>18</v>
      </c>
      <c r="B440">
        <v>2017</v>
      </c>
      <c r="C440">
        <v>15423</v>
      </c>
      <c r="D440" s="2">
        <v>10</v>
      </c>
      <c r="E440" s="3">
        <v>15433</v>
      </c>
      <c r="F440" t="s">
        <v>12</v>
      </c>
      <c r="G440" t="s">
        <v>12</v>
      </c>
      <c r="H440" s="1">
        <v>47.914316197787798</v>
      </c>
      <c r="I440" s="1">
        <v>235.34642789627401</v>
      </c>
      <c r="J440" s="1">
        <v>2725.1234522202299</v>
      </c>
      <c r="K440" s="1"/>
      <c r="L440" s="1">
        <v>3856</v>
      </c>
      <c r="M440" s="1"/>
      <c r="N440" s="1"/>
      <c r="O440" s="1">
        <v>2</v>
      </c>
      <c r="P440" s="1"/>
      <c r="Q440" s="1">
        <v>-18478.4980949561</v>
      </c>
      <c r="R440" s="1">
        <v>22299</v>
      </c>
      <c r="S440" t="s">
        <v>11</v>
      </c>
    </row>
    <row r="441" spans="1:19" x14ac:dyDescent="0.55000000000000004">
      <c r="A441" t="s">
        <v>18</v>
      </c>
      <c r="B441">
        <v>2016</v>
      </c>
      <c r="C441">
        <v>8608</v>
      </c>
      <c r="D441" s="2">
        <v>4</v>
      </c>
      <c r="E441" s="3">
        <v>8612</v>
      </c>
      <c r="F441" t="s">
        <v>12</v>
      </c>
      <c r="G441" t="s">
        <v>12</v>
      </c>
      <c r="H441" s="1">
        <v>168.87186976379999</v>
      </c>
      <c r="I441" s="1">
        <v>134.234358660097</v>
      </c>
      <c r="J441" s="1">
        <v>1514.01189075454</v>
      </c>
      <c r="K441" s="1"/>
      <c r="L441" s="1">
        <v>5602</v>
      </c>
      <c r="M441" s="1">
        <v>1796</v>
      </c>
      <c r="N441" s="1"/>
      <c r="O441" s="1">
        <v>2</v>
      </c>
      <c r="P441" s="1"/>
      <c r="Q441" s="1">
        <v>-7757.7424635206999</v>
      </c>
      <c r="R441" s="1">
        <v>17829</v>
      </c>
      <c r="S441" t="s">
        <v>11</v>
      </c>
    </row>
    <row r="442" spans="1:19" x14ac:dyDescent="0.55000000000000004">
      <c r="A442" t="s">
        <v>18</v>
      </c>
      <c r="B442">
        <v>2015</v>
      </c>
      <c r="C442">
        <v>10087</v>
      </c>
      <c r="D442" s="2">
        <v>9</v>
      </c>
      <c r="E442" s="3">
        <v>10096</v>
      </c>
      <c r="F442" t="s">
        <v>12</v>
      </c>
      <c r="G442" t="s">
        <v>12</v>
      </c>
      <c r="H442" s="1">
        <v>0</v>
      </c>
      <c r="I442" s="1">
        <v>184.12960914652601</v>
      </c>
      <c r="J442" s="1">
        <v>623.18102075543095</v>
      </c>
      <c r="K442" s="1"/>
      <c r="L442" s="1">
        <v>16752</v>
      </c>
      <c r="M442" s="1">
        <v>1081</v>
      </c>
      <c r="N442" s="1"/>
      <c r="O442" s="1">
        <v>13</v>
      </c>
      <c r="P442" s="1"/>
      <c r="Q442" s="1">
        <v>-18510.653566423702</v>
      </c>
      <c r="R442" s="1">
        <v>28749</v>
      </c>
      <c r="S442" t="s">
        <v>11</v>
      </c>
    </row>
    <row r="443" spans="1:19" x14ac:dyDescent="0.55000000000000004">
      <c r="A443" t="s">
        <v>18</v>
      </c>
      <c r="B443">
        <v>2014</v>
      </c>
      <c r="C443">
        <v>68610</v>
      </c>
      <c r="D443" s="2">
        <v>3</v>
      </c>
      <c r="E443" s="3">
        <v>68613</v>
      </c>
      <c r="F443" t="s">
        <v>12</v>
      </c>
      <c r="G443" t="s">
        <v>12</v>
      </c>
      <c r="H443" s="1">
        <v>0</v>
      </c>
      <c r="I443" s="1">
        <v>5455.0514751026203</v>
      </c>
      <c r="J443" s="1">
        <v>20024.559643241701</v>
      </c>
      <c r="K443" s="1"/>
      <c r="L443" s="1">
        <v>25490</v>
      </c>
      <c r="M443" s="1">
        <v>7859</v>
      </c>
      <c r="N443" s="1"/>
      <c r="O443" s="1">
        <v>2</v>
      </c>
      <c r="P443" s="1">
        <v>4</v>
      </c>
      <c r="Q443" s="1">
        <v>-139257.076041878</v>
      </c>
      <c r="R443" s="1">
        <v>127448</v>
      </c>
      <c r="S443" t="s">
        <v>11</v>
      </c>
    </row>
    <row r="444" spans="1:19" x14ac:dyDescent="0.55000000000000004">
      <c r="A444" t="s">
        <v>18</v>
      </c>
      <c r="B444">
        <v>2013</v>
      </c>
      <c r="C444">
        <v>86262</v>
      </c>
      <c r="D444" s="2">
        <v>49</v>
      </c>
      <c r="E444" s="3">
        <v>86311</v>
      </c>
      <c r="F444" t="s">
        <v>12</v>
      </c>
      <c r="G444" t="s">
        <v>12</v>
      </c>
      <c r="H444" s="1">
        <v>51.904877271807003</v>
      </c>
      <c r="I444" s="1">
        <v>1908.8755112332799</v>
      </c>
      <c r="J444" s="1">
        <v>9484.7323636540495</v>
      </c>
      <c r="K444" s="1"/>
      <c r="L444" s="1">
        <v>71637</v>
      </c>
      <c r="M444" s="1">
        <v>12665</v>
      </c>
      <c r="N444" s="1"/>
      <c r="O444" s="1">
        <v>38</v>
      </c>
      <c r="P444" s="1">
        <v>4</v>
      </c>
      <c r="Q444" s="1">
        <v>-84719.028468158504</v>
      </c>
      <c r="R444" s="1">
        <v>182101</v>
      </c>
      <c r="S444" t="s">
        <v>11</v>
      </c>
    </row>
    <row r="445" spans="1:19" x14ac:dyDescent="0.55000000000000004">
      <c r="A445" t="s">
        <v>18</v>
      </c>
      <c r="B445">
        <v>2012</v>
      </c>
      <c r="C445">
        <v>26230</v>
      </c>
      <c r="D445" s="2">
        <v>3</v>
      </c>
      <c r="E445" s="3">
        <v>26233</v>
      </c>
      <c r="F445" t="s">
        <v>12</v>
      </c>
      <c r="G445" t="s">
        <v>12</v>
      </c>
      <c r="H445" s="1">
        <v>9.8947268457141995</v>
      </c>
      <c r="I445" s="1">
        <v>2422.2276212439801</v>
      </c>
      <c r="J445" s="1">
        <v>6341.4164594968897</v>
      </c>
      <c r="K445" s="1"/>
      <c r="L445" s="1">
        <v>148637</v>
      </c>
      <c r="M445" s="1"/>
      <c r="N445" s="1"/>
      <c r="O445" s="1">
        <v>17</v>
      </c>
      <c r="P445" s="1"/>
      <c r="Q445" s="1">
        <v>-148582.54073487699</v>
      </c>
      <c r="R445" s="1">
        <v>183661</v>
      </c>
      <c r="S445" t="s">
        <v>11</v>
      </c>
    </row>
    <row r="446" spans="1:19" x14ac:dyDescent="0.55000000000000004">
      <c r="A446" t="s">
        <v>18</v>
      </c>
      <c r="B446">
        <v>2011</v>
      </c>
      <c r="C446">
        <v>757</v>
      </c>
      <c r="D446" s="2">
        <v>1</v>
      </c>
      <c r="E446" s="3">
        <v>758</v>
      </c>
      <c r="F446" t="s">
        <v>12</v>
      </c>
      <c r="G446" t="s">
        <v>12</v>
      </c>
      <c r="H446" s="1">
        <v>15.3528850848539</v>
      </c>
      <c r="I446" s="1">
        <v>560.20634473171594</v>
      </c>
      <c r="J446" s="1">
        <v>1686.94972200242</v>
      </c>
      <c r="K446" s="1"/>
      <c r="L446" s="1">
        <v>22182</v>
      </c>
      <c r="M446" s="1"/>
      <c r="N446" s="1"/>
      <c r="O446" s="1">
        <v>29</v>
      </c>
      <c r="P446" s="1"/>
      <c r="Q446" s="1">
        <v>-22288.354942403901</v>
      </c>
      <c r="R446" s="1">
        <v>25232</v>
      </c>
      <c r="S446" t="s">
        <v>11</v>
      </c>
    </row>
    <row r="447" spans="1:19" x14ac:dyDescent="0.55000000000000004">
      <c r="A447" t="s">
        <v>18</v>
      </c>
      <c r="B447">
        <v>2010</v>
      </c>
      <c r="C447">
        <v>60262</v>
      </c>
      <c r="D447" s="2">
        <v>0</v>
      </c>
      <c r="E447" s="3">
        <v>60262</v>
      </c>
      <c r="F447" t="s">
        <v>12</v>
      </c>
      <c r="G447" t="s">
        <v>12</v>
      </c>
      <c r="H447" s="1">
        <v>0</v>
      </c>
      <c r="I447" s="1">
        <v>3439.3948632162101</v>
      </c>
      <c r="J447" s="1"/>
      <c r="K447" s="1"/>
      <c r="L447" s="1">
        <v>23699</v>
      </c>
      <c r="M447" s="1">
        <v>14784</v>
      </c>
      <c r="N447" s="1"/>
      <c r="O447" s="1"/>
      <c r="P447" s="1"/>
      <c r="Q447" s="1">
        <v>-40415.324912550801</v>
      </c>
      <c r="R447" s="1">
        <v>102184</v>
      </c>
      <c r="S447" t="s">
        <v>11</v>
      </c>
    </row>
    <row r="448" spans="1:19" x14ac:dyDescent="0.55000000000000004">
      <c r="A448" t="s">
        <v>18</v>
      </c>
      <c r="B448">
        <v>2009</v>
      </c>
      <c r="C448">
        <v>45297</v>
      </c>
      <c r="D448" s="2">
        <v>0</v>
      </c>
      <c r="E448" s="3">
        <v>45297</v>
      </c>
      <c r="F448" t="s">
        <v>12</v>
      </c>
      <c r="G448" t="s">
        <v>12</v>
      </c>
      <c r="H448" s="1">
        <v>247.36054584739199</v>
      </c>
      <c r="I448" s="1">
        <v>2270.857735567</v>
      </c>
      <c r="J448" s="1">
        <v>5457.8616542151303</v>
      </c>
      <c r="K448" s="1"/>
      <c r="L448" s="1">
        <v>26603</v>
      </c>
      <c r="M448" s="1"/>
      <c r="N448" s="1"/>
      <c r="O448" s="1"/>
      <c r="P448" s="1"/>
      <c r="Q448" s="1">
        <v>-28716.700523379001</v>
      </c>
      <c r="R448" s="1">
        <v>79876</v>
      </c>
      <c r="S448" t="s">
        <v>11</v>
      </c>
    </row>
    <row r="449" spans="1:19" x14ac:dyDescent="0.55000000000000004">
      <c r="A449" t="s">
        <v>18</v>
      </c>
      <c r="B449">
        <v>2008</v>
      </c>
      <c r="C449">
        <v>29867</v>
      </c>
      <c r="D449" s="2">
        <v>49</v>
      </c>
      <c r="E449" s="3">
        <v>29916</v>
      </c>
      <c r="F449" t="s">
        <v>12</v>
      </c>
      <c r="G449" t="s">
        <v>12</v>
      </c>
      <c r="H449" s="1">
        <v>149.247493681392</v>
      </c>
      <c r="I449" s="1">
        <v>530.07942031453501</v>
      </c>
      <c r="J449" s="1">
        <v>2540.4522264357001</v>
      </c>
      <c r="K449" s="1"/>
      <c r="L449" s="1"/>
      <c r="M449" s="1"/>
      <c r="N449" s="1"/>
      <c r="O449" s="1"/>
      <c r="P449" s="1"/>
      <c r="Q449" s="1">
        <v>-2630.4687900469198</v>
      </c>
      <c r="R449" s="1">
        <v>35766</v>
      </c>
      <c r="S449" t="s">
        <v>9</v>
      </c>
    </row>
    <row r="450" spans="1:19" x14ac:dyDescent="0.55000000000000004">
      <c r="A450" t="s">
        <v>18</v>
      </c>
      <c r="B450">
        <v>2007</v>
      </c>
      <c r="C450">
        <v>5347</v>
      </c>
      <c r="D450" s="2">
        <v>0</v>
      </c>
      <c r="E450" s="3">
        <v>5347</v>
      </c>
      <c r="F450" t="s">
        <v>12</v>
      </c>
      <c r="G450" t="s">
        <v>12</v>
      </c>
      <c r="H450" s="1">
        <v>0</v>
      </c>
      <c r="I450" s="1">
        <v>106.311417425857</v>
      </c>
      <c r="J450" s="1">
        <v>979.87081339380995</v>
      </c>
      <c r="K450" s="1"/>
      <c r="L450" s="1"/>
      <c r="M450" s="1"/>
      <c r="N450" s="1"/>
      <c r="O450" s="1"/>
      <c r="P450" s="1"/>
      <c r="Q450" s="1">
        <v>-9789.0131575671003</v>
      </c>
      <c r="R450" s="1">
        <v>16222</v>
      </c>
      <c r="S450" t="s">
        <v>9</v>
      </c>
    </row>
    <row r="451" spans="1:19" x14ac:dyDescent="0.55000000000000004">
      <c r="A451" t="s">
        <v>18</v>
      </c>
      <c r="B451">
        <v>2006</v>
      </c>
      <c r="C451">
        <v>35816</v>
      </c>
      <c r="D451" s="2">
        <v>0</v>
      </c>
      <c r="E451" s="3">
        <v>35816</v>
      </c>
      <c r="F451" t="s">
        <v>12</v>
      </c>
      <c r="G451" t="s">
        <v>12</v>
      </c>
      <c r="H451" s="1">
        <v>65.802959953065795</v>
      </c>
      <c r="I451" s="1">
        <v>2343.7708642283101</v>
      </c>
      <c r="J451" s="1">
        <v>4479.5539457824198</v>
      </c>
      <c r="K451" s="1"/>
      <c r="L451" s="1"/>
      <c r="M451" s="1"/>
      <c r="N451" s="1"/>
      <c r="O451" s="1"/>
      <c r="P451" s="1"/>
      <c r="Q451" s="1">
        <v>-12868.811198035501</v>
      </c>
      <c r="R451" s="1">
        <v>55574</v>
      </c>
      <c r="S451" t="s">
        <v>9</v>
      </c>
    </row>
    <row r="452" spans="1:19" x14ac:dyDescent="0.55000000000000004">
      <c r="A452" t="s">
        <v>18</v>
      </c>
      <c r="B452">
        <v>2005</v>
      </c>
      <c r="C452">
        <v>98537</v>
      </c>
      <c r="D452" s="2">
        <v>0</v>
      </c>
      <c r="E452" s="3">
        <v>98537</v>
      </c>
      <c r="F452" t="s">
        <v>12</v>
      </c>
      <c r="G452" t="s">
        <v>12</v>
      </c>
      <c r="H452" s="1">
        <v>21.733644474790001</v>
      </c>
      <c r="I452" s="1">
        <v>5856.1118841834104</v>
      </c>
      <c r="J452" s="1">
        <v>15253.0241620834</v>
      </c>
      <c r="K452" s="1"/>
      <c r="L452" s="1"/>
      <c r="M452" s="1"/>
      <c r="N452" s="1"/>
      <c r="O452" s="1"/>
      <c r="P452" s="1"/>
      <c r="Q452" s="1">
        <v>-89328.719995117994</v>
      </c>
      <c r="R452" s="1">
        <v>208997</v>
      </c>
      <c r="S452" t="s">
        <v>9</v>
      </c>
    </row>
    <row r="453" spans="1:19" x14ac:dyDescent="0.55000000000000004">
      <c r="A453" t="s">
        <v>18</v>
      </c>
      <c r="B453">
        <v>2004</v>
      </c>
      <c r="C453">
        <v>9281</v>
      </c>
      <c r="D453" s="2">
        <v>5</v>
      </c>
      <c r="E453" s="3">
        <v>9286</v>
      </c>
      <c r="F453" t="s">
        <v>12</v>
      </c>
      <c r="G453" t="s">
        <v>12</v>
      </c>
      <c r="H453" s="1">
        <v>0</v>
      </c>
      <c r="I453" s="1">
        <v>8278.7386698999908</v>
      </c>
      <c r="J453" s="1">
        <v>37223.600772920399</v>
      </c>
      <c r="K453" s="1"/>
      <c r="L453" s="1"/>
      <c r="M453" s="1"/>
      <c r="N453" s="1"/>
      <c r="O453" s="1"/>
      <c r="P453" s="1"/>
      <c r="Q453" s="1">
        <v>-69425.579457382395</v>
      </c>
      <c r="R453" s="1">
        <v>124214</v>
      </c>
      <c r="S453" t="s">
        <v>9</v>
      </c>
    </row>
    <row r="454" spans="1:19" x14ac:dyDescent="0.55000000000000004">
      <c r="A454" t="s">
        <v>18</v>
      </c>
      <c r="B454">
        <v>2003</v>
      </c>
      <c r="C454">
        <v>13166</v>
      </c>
      <c r="D454" s="2">
        <v>0</v>
      </c>
      <c r="E454" s="3">
        <v>13166</v>
      </c>
      <c r="F454" t="s">
        <v>12</v>
      </c>
      <c r="G454" t="s">
        <v>12</v>
      </c>
      <c r="H454" s="1">
        <v>0</v>
      </c>
      <c r="I454" s="1">
        <v>870.37984752469401</v>
      </c>
      <c r="J454" s="1">
        <v>3119.3764170487598</v>
      </c>
      <c r="K454" s="1"/>
      <c r="L454" s="1"/>
      <c r="M454" s="1"/>
      <c r="N454" s="1"/>
      <c r="O454" s="1"/>
      <c r="P454" s="1"/>
      <c r="Q454" s="1">
        <v>-11960.6944480521</v>
      </c>
      <c r="R454" s="1">
        <v>29116</v>
      </c>
      <c r="S454" t="s">
        <v>9</v>
      </c>
    </row>
    <row r="455" spans="1:19" x14ac:dyDescent="0.55000000000000004">
      <c r="A455" t="s">
        <v>18</v>
      </c>
      <c r="B455">
        <v>2002</v>
      </c>
      <c r="C455">
        <v>24637</v>
      </c>
      <c r="D455" s="2">
        <v>0</v>
      </c>
      <c r="E455" s="3">
        <v>24637</v>
      </c>
      <c r="F455" t="s">
        <v>12</v>
      </c>
      <c r="G455" t="s">
        <v>12</v>
      </c>
      <c r="H455" s="1">
        <v>3.1895576336957599E-3</v>
      </c>
      <c r="I455" s="1">
        <v>1754.38345734986</v>
      </c>
      <c r="J455" s="1">
        <v>6478.0593081978895</v>
      </c>
      <c r="K455" s="1"/>
      <c r="L455" s="1"/>
      <c r="M455" s="1"/>
      <c r="N455" s="1"/>
      <c r="O455" s="1"/>
      <c r="P455" s="1"/>
      <c r="Q455" s="1">
        <v>-29259.221671683099</v>
      </c>
      <c r="R455" s="1">
        <v>62129</v>
      </c>
      <c r="S455" t="s">
        <v>9</v>
      </c>
    </row>
    <row r="456" spans="1:19" x14ac:dyDescent="0.55000000000000004">
      <c r="A456" t="s">
        <v>18</v>
      </c>
      <c r="B456">
        <v>2001</v>
      </c>
      <c r="C456">
        <v>170981</v>
      </c>
      <c r="D456" s="2">
        <v>2</v>
      </c>
      <c r="E456" s="3">
        <v>170983</v>
      </c>
      <c r="F456" t="s">
        <v>12</v>
      </c>
      <c r="G456" t="s">
        <v>12</v>
      </c>
      <c r="H456" s="1">
        <v>4.8165213064393197E-2</v>
      </c>
      <c r="I456" s="1">
        <v>7137.6416783350996</v>
      </c>
      <c r="J456" s="1">
        <v>37624.654811709297</v>
      </c>
      <c r="K456" s="1"/>
      <c r="L456" s="1"/>
      <c r="M456" s="1"/>
      <c r="N456" s="1"/>
      <c r="O456" s="1"/>
      <c r="P456" s="1"/>
      <c r="Q456" s="1">
        <v>-8864.4694974959293</v>
      </c>
      <c r="R456" s="1">
        <v>224610</v>
      </c>
      <c r="S456" t="s">
        <v>9</v>
      </c>
    </row>
    <row r="457" spans="1:19" x14ac:dyDescent="0.55000000000000004">
      <c r="A457" t="s">
        <v>18</v>
      </c>
      <c r="B457">
        <v>2000</v>
      </c>
      <c r="C457">
        <v>89858</v>
      </c>
      <c r="D457" s="2">
        <v>1</v>
      </c>
      <c r="E457" s="3">
        <v>89859</v>
      </c>
      <c r="F457" t="s">
        <v>12</v>
      </c>
      <c r="G457" t="s">
        <v>12</v>
      </c>
      <c r="H457" s="1">
        <v>1.6871923496542101</v>
      </c>
      <c r="I457" s="1">
        <v>42735.730632451501</v>
      </c>
      <c r="J457" s="1">
        <v>197459.80685444601</v>
      </c>
      <c r="K457" s="1"/>
      <c r="L457" s="1"/>
      <c r="M457" s="1"/>
      <c r="N457" s="1"/>
      <c r="O457" s="1"/>
      <c r="P457" s="1"/>
      <c r="Q457" s="1">
        <v>-80549.990902576494</v>
      </c>
      <c r="R457" s="1">
        <v>410606</v>
      </c>
      <c r="S457" t="s">
        <v>9</v>
      </c>
    </row>
    <row r="458" spans="1:19" x14ac:dyDescent="0.55000000000000004">
      <c r="A458" t="s">
        <v>18</v>
      </c>
      <c r="B458">
        <v>1999</v>
      </c>
      <c r="C458">
        <v>24552</v>
      </c>
      <c r="D458" s="2">
        <v>0</v>
      </c>
      <c r="E458" s="3">
        <v>24552</v>
      </c>
      <c r="F458" t="s">
        <v>12</v>
      </c>
      <c r="G458" t="s">
        <v>12</v>
      </c>
      <c r="H458" s="1">
        <v>1.2419378016678301E-9</v>
      </c>
      <c r="I458" s="1">
        <v>4530.1967583881096</v>
      </c>
      <c r="J458" s="1">
        <v>5254.7861025509001</v>
      </c>
      <c r="K458" s="1"/>
      <c r="L458" s="1"/>
      <c r="M458" s="1"/>
      <c r="N458" s="1"/>
      <c r="O458" s="1"/>
      <c r="P458" s="1"/>
      <c r="Q458" s="1">
        <v>-145922.023618229</v>
      </c>
      <c r="R458" s="1">
        <v>180257</v>
      </c>
      <c r="S458" t="s">
        <v>9</v>
      </c>
    </row>
    <row r="459" spans="1:19" x14ac:dyDescent="0.55000000000000004">
      <c r="A459" t="s">
        <v>18</v>
      </c>
      <c r="B459">
        <v>1998</v>
      </c>
      <c r="C459">
        <v>32570</v>
      </c>
      <c r="D459" s="2">
        <v>20</v>
      </c>
      <c r="E459" s="3">
        <v>32590</v>
      </c>
      <c r="F459" t="s">
        <v>12</v>
      </c>
      <c r="G459" t="s">
        <v>12</v>
      </c>
      <c r="H459" s="1">
        <v>0.169740228771807</v>
      </c>
      <c r="I459" s="1">
        <v>7834.24959739526</v>
      </c>
      <c r="J459" s="1">
        <v>18090.754788373099</v>
      </c>
      <c r="K459" s="1"/>
      <c r="L459" s="1"/>
      <c r="M459" s="1"/>
      <c r="N459" s="1"/>
      <c r="O459" s="1"/>
      <c r="P459" s="1"/>
      <c r="Q459" s="1">
        <v>-136121.86534716701</v>
      </c>
      <c r="R459" s="1">
        <v>194637</v>
      </c>
      <c r="S459" t="s">
        <v>9</v>
      </c>
    </row>
    <row r="460" spans="1:19" x14ac:dyDescent="0.55000000000000004">
      <c r="A460" t="s">
        <v>18</v>
      </c>
      <c r="B460">
        <v>1997</v>
      </c>
      <c r="C460">
        <v>266941</v>
      </c>
      <c r="D460" s="2">
        <v>6</v>
      </c>
      <c r="E460" s="3">
        <v>266946</v>
      </c>
      <c r="F460" t="s">
        <v>12</v>
      </c>
      <c r="G460" t="s">
        <v>12</v>
      </c>
      <c r="H460" s="1">
        <v>18893.273848258599</v>
      </c>
      <c r="I460" s="1">
        <v>477531.03484839498</v>
      </c>
      <c r="J460" s="1">
        <v>327863.941704066</v>
      </c>
      <c r="K460" s="1"/>
      <c r="L460" s="1"/>
      <c r="M460" s="1"/>
      <c r="N460" s="1"/>
      <c r="O460" s="1"/>
      <c r="P460" s="1"/>
      <c r="Q460" s="1">
        <v>-606725.92357469397</v>
      </c>
      <c r="R460" s="1">
        <v>1697960</v>
      </c>
      <c r="S460" t="s">
        <v>9</v>
      </c>
    </row>
    <row r="461" spans="1:19" x14ac:dyDescent="0.55000000000000004">
      <c r="A461" t="s">
        <v>18</v>
      </c>
      <c r="B461">
        <v>1996</v>
      </c>
      <c r="C461">
        <v>87612</v>
      </c>
      <c r="D461" s="2">
        <v>841</v>
      </c>
      <c r="E461" s="3">
        <v>88453</v>
      </c>
      <c r="F461" t="s">
        <v>12</v>
      </c>
      <c r="G461" t="s">
        <v>12</v>
      </c>
      <c r="H461" s="1">
        <v>1.3701513440571201E-11</v>
      </c>
      <c r="I461" s="1">
        <v>5566.5037005373497</v>
      </c>
      <c r="J461" s="1">
        <v>3956.6457437157501</v>
      </c>
      <c r="K461" s="1"/>
      <c r="L461" s="1"/>
      <c r="M461" s="1"/>
      <c r="N461" s="1"/>
      <c r="O461" s="1"/>
      <c r="P461" s="1"/>
      <c r="Q461" s="1">
        <v>-39612.839693132701</v>
      </c>
      <c r="R461" s="1">
        <v>137589</v>
      </c>
      <c r="S461" t="s">
        <v>9</v>
      </c>
    </row>
    <row r="462" spans="1:19" x14ac:dyDescent="0.55000000000000004">
      <c r="A462" t="s">
        <v>18</v>
      </c>
      <c r="B462">
        <v>1995</v>
      </c>
      <c r="C462">
        <v>122856</v>
      </c>
      <c r="D462" s="2">
        <v>6</v>
      </c>
      <c r="E462" s="3">
        <v>122862</v>
      </c>
      <c r="F462" t="s">
        <v>12</v>
      </c>
      <c r="G462" t="s">
        <v>12</v>
      </c>
      <c r="H462" s="1">
        <v>1.31564374177078E-48</v>
      </c>
      <c r="I462" s="1">
        <v>8768.7786456731992</v>
      </c>
      <c r="J462" s="1">
        <v>6644.0122175453498</v>
      </c>
      <c r="K462" s="1"/>
      <c r="L462" s="1"/>
      <c r="M462" s="1"/>
      <c r="N462" s="1"/>
      <c r="O462" s="1"/>
      <c r="P462" s="1"/>
      <c r="Q462" s="1">
        <v>-64832.719029431799</v>
      </c>
      <c r="R462" s="1">
        <v>203108</v>
      </c>
      <c r="S462" t="s">
        <v>9</v>
      </c>
    </row>
    <row r="463" spans="1:19" x14ac:dyDescent="0.55000000000000004">
      <c r="A463" t="s">
        <v>18</v>
      </c>
      <c r="B463">
        <v>1994</v>
      </c>
      <c r="C463">
        <v>29125</v>
      </c>
      <c r="D463" s="2">
        <v>394</v>
      </c>
      <c r="E463" s="3">
        <v>29519</v>
      </c>
      <c r="F463" t="s">
        <v>12</v>
      </c>
      <c r="G463" t="s">
        <v>12</v>
      </c>
      <c r="H463" s="1">
        <v>0</v>
      </c>
      <c r="I463" s="1">
        <v>10876.785950581299</v>
      </c>
      <c r="J463" s="1">
        <v>35667</v>
      </c>
      <c r="K463" s="1"/>
      <c r="L463" s="1"/>
      <c r="M463" s="1"/>
      <c r="N463" s="1"/>
      <c r="O463" s="1"/>
      <c r="P463" s="1"/>
      <c r="Q463" s="1">
        <v>-142277.69271671801</v>
      </c>
      <c r="R463" s="1">
        <v>218340</v>
      </c>
      <c r="S463" t="s">
        <v>9</v>
      </c>
    </row>
    <row r="464" spans="1:19" x14ac:dyDescent="0.55000000000000004">
      <c r="A464" t="s">
        <v>18</v>
      </c>
      <c r="B464">
        <v>1993</v>
      </c>
      <c r="C464">
        <v>688013</v>
      </c>
      <c r="D464" s="2">
        <v>2</v>
      </c>
      <c r="E464" s="3">
        <v>688015</v>
      </c>
      <c r="F464" t="s">
        <v>12</v>
      </c>
      <c r="G464" t="s">
        <v>12</v>
      </c>
      <c r="H464" s="1">
        <v>632.01212287143903</v>
      </c>
      <c r="I464" s="1">
        <v>250705.774323305</v>
      </c>
      <c r="J464" s="1">
        <v>212353</v>
      </c>
      <c r="K464" s="1"/>
      <c r="L464" s="1"/>
      <c r="M464" s="1"/>
      <c r="N464" s="1"/>
      <c r="O464" s="1"/>
      <c r="P464" s="1"/>
      <c r="Q464" s="1">
        <v>205495.31036294601</v>
      </c>
      <c r="R464" s="1">
        <v>1151706</v>
      </c>
      <c r="S464" t="s">
        <v>9</v>
      </c>
    </row>
    <row r="465" spans="1:19" x14ac:dyDescent="0.55000000000000004">
      <c r="A465" t="s">
        <v>18</v>
      </c>
      <c r="B465">
        <v>1992</v>
      </c>
      <c r="C465">
        <v>66098</v>
      </c>
      <c r="D465" s="2">
        <v>422</v>
      </c>
      <c r="E465" s="3">
        <v>66520</v>
      </c>
      <c r="F465" t="s">
        <v>12</v>
      </c>
      <c r="G465" t="s">
        <v>12</v>
      </c>
      <c r="H465" s="1">
        <v>0.28925514632788302</v>
      </c>
      <c r="I465" s="1">
        <v>63140.613933562803</v>
      </c>
      <c r="J465" s="1">
        <v>145000</v>
      </c>
      <c r="K465" s="1"/>
      <c r="L465" s="1"/>
      <c r="M465" s="1"/>
      <c r="N465" s="1"/>
      <c r="O465" s="1"/>
      <c r="P465" s="1"/>
      <c r="Q465" s="1">
        <v>-103211.386925777</v>
      </c>
      <c r="R465" s="1">
        <v>377872</v>
      </c>
      <c r="S465" t="s">
        <v>9</v>
      </c>
    </row>
    <row r="466" spans="1:19" x14ac:dyDescent="0.55000000000000004">
      <c r="A466" t="s">
        <v>18</v>
      </c>
      <c r="B466">
        <v>1991</v>
      </c>
      <c r="C466">
        <v>141119</v>
      </c>
      <c r="D466" s="2">
        <v>33</v>
      </c>
      <c r="E466" s="3">
        <v>141152</v>
      </c>
      <c r="F466" t="s">
        <v>12</v>
      </c>
      <c r="G466" t="s">
        <v>12</v>
      </c>
      <c r="H466" s="1">
        <v>0</v>
      </c>
      <c r="I466" s="1">
        <v>194808.891275125</v>
      </c>
      <c r="J466" s="1">
        <v>176522</v>
      </c>
      <c r="K466" s="1"/>
      <c r="L466" s="1"/>
      <c r="M466" s="1"/>
      <c r="N466" s="1"/>
      <c r="O466" s="1"/>
      <c r="P466" s="1"/>
      <c r="Q466" s="1">
        <v>-70320.007002752594</v>
      </c>
      <c r="R466" s="1">
        <v>582803</v>
      </c>
      <c r="S466" t="s">
        <v>9</v>
      </c>
    </row>
    <row r="467" spans="1:19" x14ac:dyDescent="0.55000000000000004">
      <c r="A467" t="s">
        <v>18</v>
      </c>
      <c r="B467">
        <v>1990</v>
      </c>
      <c r="C467">
        <v>97035</v>
      </c>
      <c r="D467" s="2">
        <v>14</v>
      </c>
      <c r="E467" s="3">
        <v>97049</v>
      </c>
      <c r="F467" t="s">
        <v>12</v>
      </c>
      <c r="G467" t="s">
        <v>12</v>
      </c>
      <c r="H467" s="1">
        <v>0</v>
      </c>
      <c r="I467" s="1">
        <v>6809.0404648243202</v>
      </c>
      <c r="J467" s="1">
        <v>51178</v>
      </c>
      <c r="K467" s="1"/>
      <c r="L467" s="1"/>
      <c r="M467" s="1"/>
      <c r="N467" s="1"/>
      <c r="O467" s="1"/>
      <c r="P467" s="1"/>
      <c r="Q467" s="1">
        <v>-36242.083243653302</v>
      </c>
      <c r="R467" s="1">
        <v>191278</v>
      </c>
      <c r="S467" t="s">
        <v>9</v>
      </c>
    </row>
    <row r="468" spans="1:19" x14ac:dyDescent="0.55000000000000004">
      <c r="A468" t="s">
        <v>18</v>
      </c>
      <c r="B468">
        <v>1989</v>
      </c>
      <c r="C468">
        <v>384799</v>
      </c>
      <c r="D468" s="2">
        <v>20</v>
      </c>
      <c r="E468" s="3">
        <v>384819</v>
      </c>
      <c r="F468" t="s">
        <v>12</v>
      </c>
      <c r="G468" t="s">
        <v>12</v>
      </c>
      <c r="H468" s="1">
        <v>0.23633859649122799</v>
      </c>
      <c r="I468" s="1">
        <v>637567.43252741999</v>
      </c>
      <c r="J468" s="1">
        <v>189851</v>
      </c>
      <c r="K468" s="1"/>
      <c r="L468" s="1"/>
      <c r="M468" s="1"/>
      <c r="N468" s="1"/>
      <c r="O468" s="1"/>
      <c r="P468" s="1"/>
      <c r="Q468" s="1">
        <v>120210.697503541</v>
      </c>
      <c r="R468" s="1">
        <v>1212238</v>
      </c>
      <c r="S468" t="s">
        <v>9</v>
      </c>
    </row>
    <row r="469" spans="1:19" x14ac:dyDescent="0.55000000000000004">
      <c r="A469" t="s">
        <v>18</v>
      </c>
      <c r="B469">
        <v>1988</v>
      </c>
      <c r="C469">
        <v>179807</v>
      </c>
      <c r="D469" s="2">
        <v>2322</v>
      </c>
      <c r="E469" s="3">
        <v>182129</v>
      </c>
      <c r="F469" t="s">
        <v>12</v>
      </c>
      <c r="G469" t="s">
        <v>12</v>
      </c>
      <c r="H469" s="1">
        <v>0</v>
      </c>
      <c r="I469" s="1">
        <v>15779.265670508201</v>
      </c>
      <c r="J469" s="1">
        <v>26231</v>
      </c>
      <c r="K469" s="1"/>
      <c r="L469" s="1"/>
      <c r="M469" s="1"/>
      <c r="N469" s="1"/>
      <c r="O469" s="1"/>
      <c r="P469" s="1"/>
      <c r="Q469" s="1">
        <v>13559.503735317199</v>
      </c>
      <c r="R469" s="1">
        <v>224139</v>
      </c>
      <c r="S469" t="s">
        <v>9</v>
      </c>
    </row>
    <row r="470" spans="1:19" x14ac:dyDescent="0.55000000000000004">
      <c r="A470" t="s">
        <v>18</v>
      </c>
      <c r="B470">
        <v>1987</v>
      </c>
      <c r="C470">
        <v>148194</v>
      </c>
      <c r="D470" s="2">
        <v>244</v>
      </c>
      <c r="E470" s="3">
        <v>148438</v>
      </c>
      <c r="F470" t="s">
        <v>12</v>
      </c>
      <c r="G470" t="s">
        <v>12</v>
      </c>
      <c r="H470" s="1">
        <v>0</v>
      </c>
      <c r="I470" s="1">
        <v>8168.0586535028697</v>
      </c>
      <c r="J470" s="1">
        <v>21330</v>
      </c>
      <c r="K470" s="1"/>
      <c r="L470" s="1"/>
      <c r="M470" s="1"/>
      <c r="N470" s="1"/>
      <c r="O470" s="1"/>
      <c r="P470" s="1"/>
      <c r="Q470" s="1">
        <v>-13022.5529502473</v>
      </c>
      <c r="R470" s="1">
        <v>190959</v>
      </c>
      <c r="S470" t="s">
        <v>9</v>
      </c>
    </row>
    <row r="471" spans="1:19" x14ac:dyDescent="0.55000000000000004">
      <c r="A471" t="s">
        <v>18</v>
      </c>
      <c r="B471">
        <v>1986</v>
      </c>
      <c r="C471">
        <v>28584</v>
      </c>
      <c r="D471" s="2">
        <v>420</v>
      </c>
      <c r="E471" s="3">
        <v>29004</v>
      </c>
      <c r="F471" t="s">
        <v>12</v>
      </c>
      <c r="G471" t="s">
        <v>12</v>
      </c>
      <c r="H471" s="1">
        <v>0</v>
      </c>
      <c r="I471" s="1">
        <v>2157.1533468983998</v>
      </c>
      <c r="J471" s="1">
        <v>13581.384800088799</v>
      </c>
      <c r="K471" s="1"/>
      <c r="L471" s="1"/>
      <c r="M471" s="1"/>
      <c r="N471" s="1"/>
      <c r="O471" s="1"/>
      <c r="P471" s="1"/>
      <c r="Q471" s="1">
        <v>14652.828161528299</v>
      </c>
      <c r="R471" s="1">
        <v>44743</v>
      </c>
      <c r="S471" t="s">
        <v>9</v>
      </c>
    </row>
    <row r="472" spans="1:19" x14ac:dyDescent="0.55000000000000004">
      <c r="A472" t="s">
        <v>18</v>
      </c>
      <c r="B472">
        <v>1985</v>
      </c>
      <c r="C472">
        <v>237532</v>
      </c>
      <c r="D472" s="2">
        <v>12</v>
      </c>
      <c r="E472" s="3">
        <v>237544</v>
      </c>
      <c r="F472" t="s">
        <v>12</v>
      </c>
      <c r="G472" t="s">
        <v>12</v>
      </c>
      <c r="H472" s="1">
        <v>0</v>
      </c>
      <c r="I472" s="1">
        <v>57274.831767070202</v>
      </c>
      <c r="J472" s="1">
        <v>72691.060585710497</v>
      </c>
      <c r="K472" s="1"/>
      <c r="L472" s="1"/>
      <c r="M472" s="1"/>
      <c r="N472" s="1"/>
      <c r="O472" s="1"/>
      <c r="P472" s="1"/>
      <c r="Q472" s="1">
        <v>9611.3626783306208</v>
      </c>
      <c r="R472" s="1">
        <v>367510</v>
      </c>
      <c r="S472" t="s">
        <v>9</v>
      </c>
    </row>
    <row r="473" spans="1:19" x14ac:dyDescent="0.55000000000000004">
      <c r="A473" t="s">
        <v>18</v>
      </c>
      <c r="B473">
        <v>1984</v>
      </c>
      <c r="C473">
        <v>45201</v>
      </c>
      <c r="D473" s="2">
        <v>46</v>
      </c>
      <c r="E473" s="3">
        <v>45247</v>
      </c>
      <c r="F473" t="s">
        <v>12</v>
      </c>
      <c r="G473" t="s">
        <v>12</v>
      </c>
      <c r="H473" s="1">
        <v>0</v>
      </c>
      <c r="I473" s="1">
        <v>1847.3423524437301</v>
      </c>
      <c r="J473" s="1">
        <v>8970.0983869772499</v>
      </c>
      <c r="K473" s="1"/>
      <c r="L473" s="1"/>
      <c r="M473" s="1"/>
      <c r="N473" s="1"/>
      <c r="O473" s="1"/>
      <c r="P473" s="1"/>
      <c r="Q473" s="1">
        <v>12177.640583112399</v>
      </c>
      <c r="R473" s="1">
        <v>56064</v>
      </c>
      <c r="S473" t="s">
        <v>9</v>
      </c>
    </row>
    <row r="474" spans="1:19" x14ac:dyDescent="0.55000000000000004">
      <c r="A474" t="s">
        <v>18</v>
      </c>
      <c r="B474">
        <v>1983</v>
      </c>
      <c r="C474">
        <v>23867</v>
      </c>
      <c r="D474" s="2">
        <v>7</v>
      </c>
      <c r="E474" s="3">
        <v>23874</v>
      </c>
      <c r="F474" t="s">
        <v>12</v>
      </c>
      <c r="G474" t="s">
        <v>12</v>
      </c>
      <c r="H474" s="1">
        <v>0</v>
      </c>
      <c r="I474" s="1">
        <v>12836.2451923054</v>
      </c>
      <c r="J474" s="1">
        <v>52804.154415131903</v>
      </c>
      <c r="K474" s="1"/>
      <c r="L474" s="1"/>
      <c r="M474" s="1"/>
      <c r="N474" s="1"/>
      <c r="O474" s="1"/>
      <c r="P474" s="1"/>
      <c r="Q474" s="1">
        <v>-25289.7784866367</v>
      </c>
      <c r="R474" s="1">
        <v>114804</v>
      </c>
      <c r="S474" t="s">
        <v>9</v>
      </c>
    </row>
    <row r="475" spans="1:19" x14ac:dyDescent="0.55000000000000004">
      <c r="A475" t="s">
        <v>18</v>
      </c>
      <c r="B475">
        <v>1982</v>
      </c>
      <c r="C475">
        <v>4557</v>
      </c>
      <c r="D475" s="2">
        <v>3</v>
      </c>
      <c r="E475" s="3">
        <v>4560</v>
      </c>
      <c r="F475" t="s">
        <v>12</v>
      </c>
      <c r="G475" t="s">
        <v>12</v>
      </c>
      <c r="H475" s="1"/>
      <c r="I475" s="1">
        <v>26291.857153551198</v>
      </c>
      <c r="J475" s="1">
        <v>40984.9887931868</v>
      </c>
      <c r="K475" s="1"/>
      <c r="L475" s="1"/>
      <c r="M475" s="1"/>
      <c r="N475" s="1"/>
      <c r="O475" s="1"/>
      <c r="P475" s="1"/>
      <c r="Q475" s="1">
        <v>-44904.300468589201</v>
      </c>
      <c r="R475" s="1">
        <v>116741</v>
      </c>
      <c r="S475" t="s">
        <v>9</v>
      </c>
    </row>
    <row r="476" spans="1:19" x14ac:dyDescent="0.55000000000000004">
      <c r="A476" t="s">
        <v>18</v>
      </c>
      <c r="B476">
        <v>1981</v>
      </c>
      <c r="C476">
        <v>138031</v>
      </c>
      <c r="D476" s="2">
        <v>41</v>
      </c>
      <c r="E476" s="3">
        <v>138072</v>
      </c>
      <c r="F476" t="s">
        <v>12</v>
      </c>
      <c r="G476" t="s">
        <v>12</v>
      </c>
      <c r="H476" s="1"/>
      <c r="I476" s="1">
        <v>494405.413531208</v>
      </c>
      <c r="J476" s="1">
        <v>134431.92723887201</v>
      </c>
      <c r="K476" s="1"/>
      <c r="L476" s="1"/>
      <c r="M476" s="1"/>
      <c r="N476" s="1"/>
      <c r="O476" s="1"/>
      <c r="P476" s="1"/>
      <c r="Q476" s="1">
        <v>-72286.637537947507</v>
      </c>
      <c r="R476" s="1">
        <v>839196</v>
      </c>
      <c r="S476" t="s">
        <v>9</v>
      </c>
    </row>
    <row r="477" spans="1:19" x14ac:dyDescent="0.55000000000000004">
      <c r="A477" t="s">
        <v>18</v>
      </c>
      <c r="B477">
        <v>1980</v>
      </c>
      <c r="C477">
        <v>16939</v>
      </c>
      <c r="D477" s="2">
        <v>87</v>
      </c>
      <c r="E477" s="3">
        <v>17026</v>
      </c>
      <c r="F477" t="s">
        <v>12</v>
      </c>
      <c r="G477" t="s">
        <v>12</v>
      </c>
      <c r="H477" s="1"/>
      <c r="I477" s="1">
        <v>7749.6889941440104</v>
      </c>
      <c r="J477" s="1">
        <v>7444.3824658540198</v>
      </c>
      <c r="K477" s="1"/>
      <c r="L477" s="1"/>
      <c r="M477" s="1"/>
      <c r="N477" s="1"/>
      <c r="O477" s="1"/>
      <c r="P477" s="1"/>
      <c r="Q477" s="1">
        <v>-19664.7615966087</v>
      </c>
      <c r="R477" s="1">
        <v>51885</v>
      </c>
      <c r="S477" t="s">
        <v>9</v>
      </c>
    </row>
    <row r="478" spans="1:19" x14ac:dyDescent="0.55000000000000004">
      <c r="A478" t="s">
        <v>18</v>
      </c>
      <c r="B478">
        <v>1979</v>
      </c>
      <c r="C478">
        <v>92746</v>
      </c>
      <c r="D478" s="2">
        <v>17</v>
      </c>
      <c r="E478" s="3">
        <v>92763</v>
      </c>
      <c r="F478" t="s">
        <v>12</v>
      </c>
      <c r="G478" t="s">
        <v>12</v>
      </c>
      <c r="H478" s="1"/>
      <c r="I478" s="1">
        <v>66744.1066655123</v>
      </c>
      <c r="J478" s="1">
        <v>63238.349365009002</v>
      </c>
      <c r="K478" s="1"/>
      <c r="L478" s="1"/>
      <c r="M478" s="1"/>
      <c r="N478" s="1"/>
      <c r="O478" s="1"/>
      <c r="P478" s="1"/>
      <c r="Q478" s="1">
        <v>-30060.480911635601</v>
      </c>
      <c r="R478" s="1">
        <v>252806</v>
      </c>
      <c r="S478" t="s">
        <v>9</v>
      </c>
    </row>
    <row r="479" spans="1:19" x14ac:dyDescent="0.55000000000000004">
      <c r="A479" t="s">
        <v>18</v>
      </c>
      <c r="B479">
        <v>1978</v>
      </c>
      <c r="C479">
        <v>50004</v>
      </c>
      <c r="D479" s="2">
        <v>93</v>
      </c>
      <c r="E479" s="3">
        <v>50097</v>
      </c>
      <c r="F479" t="s">
        <v>12</v>
      </c>
      <c r="G479" t="s">
        <v>12</v>
      </c>
      <c r="H479" s="1"/>
      <c r="I479" s="1">
        <v>40788.548623861199</v>
      </c>
      <c r="J479" s="1">
        <v>55576.683967078097</v>
      </c>
      <c r="K479" s="1"/>
      <c r="L479" s="1"/>
      <c r="M479" s="1"/>
      <c r="N479" s="1"/>
      <c r="O479" s="1"/>
      <c r="P479" s="1"/>
      <c r="Q479" s="1">
        <v>-43618.537115387597</v>
      </c>
      <c r="R479" s="1">
        <v>190081</v>
      </c>
      <c r="S479" t="s">
        <v>9</v>
      </c>
    </row>
    <row r="480" spans="1:19" x14ac:dyDescent="0.55000000000000004">
      <c r="A480" t="s">
        <v>18</v>
      </c>
      <c r="B480">
        <v>1977</v>
      </c>
      <c r="C480">
        <v>117445</v>
      </c>
      <c r="D480" s="2">
        <v>572</v>
      </c>
      <c r="E480" s="3">
        <v>118017</v>
      </c>
      <c r="F480" t="s">
        <v>12</v>
      </c>
      <c r="G480" t="s">
        <v>12</v>
      </c>
      <c r="H480" s="1"/>
      <c r="I480" s="1">
        <v>1143820.38965356</v>
      </c>
      <c r="J480" s="1">
        <v>87240.305451572902</v>
      </c>
      <c r="K480" s="1"/>
      <c r="L480" s="1"/>
      <c r="M480" s="1"/>
      <c r="N480" s="1"/>
      <c r="O480" s="1"/>
      <c r="P480" s="1"/>
      <c r="Q480" s="1">
        <v>-138744.65201518999</v>
      </c>
      <c r="R480" s="1">
        <v>1487822</v>
      </c>
      <c r="S480" t="s">
        <v>9</v>
      </c>
    </row>
    <row r="481" spans="1:19" x14ac:dyDescent="0.55000000000000004">
      <c r="A481" t="s">
        <v>18</v>
      </c>
      <c r="B481">
        <v>1976</v>
      </c>
      <c r="C481">
        <v>11761</v>
      </c>
      <c r="D481" s="2">
        <v>887</v>
      </c>
      <c r="E481" s="3">
        <v>12648</v>
      </c>
      <c r="F481" t="s">
        <v>12</v>
      </c>
      <c r="G481" t="s">
        <v>12</v>
      </c>
      <c r="H481" s="1"/>
      <c r="I481" s="1">
        <v>14958</v>
      </c>
      <c r="J481" s="1">
        <v>16581</v>
      </c>
      <c r="K481" s="1"/>
      <c r="L481" s="1"/>
      <c r="M481" s="1"/>
      <c r="N481" s="1"/>
      <c r="O481" s="1"/>
      <c r="P481" s="1"/>
      <c r="Q481" s="1"/>
      <c r="R481" s="1">
        <v>44187</v>
      </c>
      <c r="S481" t="s">
        <v>12</v>
      </c>
    </row>
    <row r="482" spans="1:19" x14ac:dyDescent="0.55000000000000004">
      <c r="A482" t="s">
        <v>18</v>
      </c>
      <c r="B482">
        <v>1975</v>
      </c>
      <c r="C482">
        <v>65765</v>
      </c>
      <c r="D482" s="2">
        <v>15</v>
      </c>
      <c r="E482" s="3">
        <v>65780</v>
      </c>
      <c r="F482" t="s">
        <v>12</v>
      </c>
      <c r="G482" t="s">
        <v>12</v>
      </c>
      <c r="H482" s="1"/>
      <c r="I482" s="1">
        <v>288433</v>
      </c>
      <c r="J482" s="1">
        <v>57027</v>
      </c>
      <c r="K482" s="1"/>
      <c r="L482" s="1">
        <v>15000</v>
      </c>
      <c r="M482" s="1"/>
      <c r="N482" s="1"/>
      <c r="O482" s="1"/>
      <c r="P482" s="1"/>
      <c r="Q482" s="1"/>
      <c r="R482" s="1">
        <v>426240</v>
      </c>
      <c r="S482" t="s">
        <v>11</v>
      </c>
    </row>
    <row r="483" spans="1:19" x14ac:dyDescent="0.55000000000000004">
      <c r="A483" t="s">
        <v>18</v>
      </c>
      <c r="B483">
        <v>1974</v>
      </c>
      <c r="C483">
        <v>39533</v>
      </c>
      <c r="D483" s="2">
        <v>126</v>
      </c>
      <c r="E483" s="3">
        <v>39659</v>
      </c>
      <c r="F483" t="s">
        <v>12</v>
      </c>
      <c r="G483" t="s">
        <v>12</v>
      </c>
      <c r="H483" s="1"/>
      <c r="I483" s="1">
        <v>102819</v>
      </c>
      <c r="J483" s="1">
        <v>44770.000000000102</v>
      </c>
      <c r="K483" s="1"/>
      <c r="L483" s="1"/>
      <c r="M483" s="1"/>
      <c r="N483" s="1"/>
      <c r="O483" s="1"/>
      <c r="P483" s="1"/>
      <c r="Q483" s="1"/>
      <c r="R483" s="1">
        <v>187248</v>
      </c>
      <c r="S483" t="s">
        <v>12</v>
      </c>
    </row>
    <row r="484" spans="1:19" x14ac:dyDescent="0.55000000000000004">
      <c r="A484" t="s">
        <v>18</v>
      </c>
      <c r="B484">
        <v>1973</v>
      </c>
      <c r="C484">
        <v>299892</v>
      </c>
      <c r="D484" s="2">
        <v>761</v>
      </c>
      <c r="E484" s="3">
        <v>300653</v>
      </c>
      <c r="F484" t="s">
        <v>12</v>
      </c>
      <c r="G484" t="s">
        <v>12</v>
      </c>
      <c r="H484" s="1"/>
      <c r="I484" s="1">
        <v>1016273</v>
      </c>
      <c r="J484" s="1">
        <v>50543</v>
      </c>
      <c r="K484" s="1"/>
      <c r="L484" s="1"/>
      <c r="M484" s="1"/>
      <c r="N484" s="1"/>
      <c r="O484" s="1"/>
      <c r="P484" s="1"/>
      <c r="Q484" s="1"/>
      <c r="R484" s="1">
        <v>1367469</v>
      </c>
      <c r="S484" t="s">
        <v>12</v>
      </c>
    </row>
    <row r="485" spans="1:19" x14ac:dyDescent="0.55000000000000004">
      <c r="A485" t="s">
        <v>18</v>
      </c>
      <c r="B485">
        <v>1972</v>
      </c>
      <c r="C485">
        <v>4657</v>
      </c>
      <c r="D485" s="2">
        <v>429</v>
      </c>
      <c r="E485" s="3">
        <v>5086</v>
      </c>
      <c r="F485" t="s">
        <v>12</v>
      </c>
      <c r="G485" t="s">
        <v>12</v>
      </c>
      <c r="H485" s="1"/>
      <c r="I485" s="1">
        <v>12126</v>
      </c>
      <c r="J485" s="1">
        <v>6975.99999999999</v>
      </c>
      <c r="K485" s="1"/>
      <c r="L485" s="1"/>
      <c r="M485" s="1"/>
      <c r="N485" s="1"/>
      <c r="O485" s="1"/>
      <c r="P485" s="1"/>
      <c r="Q485" s="1"/>
      <c r="R485" s="1">
        <v>24188</v>
      </c>
      <c r="S485" t="s">
        <v>12</v>
      </c>
    </row>
    <row r="486" spans="1:19" x14ac:dyDescent="0.55000000000000004">
      <c r="A486" t="s">
        <v>18</v>
      </c>
      <c r="B486">
        <v>1971</v>
      </c>
      <c r="C486">
        <v>95940</v>
      </c>
      <c r="D486" s="2">
        <v>2</v>
      </c>
      <c r="E486" s="3">
        <v>95942</v>
      </c>
      <c r="F486" t="s">
        <v>12</v>
      </c>
      <c r="G486" t="s">
        <v>12</v>
      </c>
      <c r="H486" s="1"/>
      <c r="I486" s="1">
        <v>180549</v>
      </c>
      <c r="J486" s="1">
        <v>49669.000000000102</v>
      </c>
      <c r="K486" s="1"/>
      <c r="L486" s="1"/>
      <c r="M486" s="1"/>
      <c r="N486" s="1"/>
      <c r="O486" s="1"/>
      <c r="P486" s="1"/>
      <c r="Q486" s="1"/>
      <c r="R486" s="1">
        <v>326160</v>
      </c>
      <c r="S486" t="s">
        <v>12</v>
      </c>
    </row>
    <row r="487" spans="1:19" x14ac:dyDescent="0.55000000000000004">
      <c r="A487" t="s">
        <v>18</v>
      </c>
      <c r="B487">
        <v>1970</v>
      </c>
      <c r="C487">
        <v>32578</v>
      </c>
      <c r="D487" s="2">
        <v>169</v>
      </c>
      <c r="E487" s="3">
        <v>32747</v>
      </c>
      <c r="F487" t="s">
        <v>12</v>
      </c>
      <c r="G487" t="s">
        <v>12</v>
      </c>
      <c r="H487" s="1"/>
      <c r="I487" s="1">
        <v>27526</v>
      </c>
      <c r="J487" s="1">
        <v>22897</v>
      </c>
      <c r="K487" s="1"/>
      <c r="L487" s="1"/>
      <c r="M487" s="1"/>
      <c r="N487" s="1"/>
      <c r="O487" s="1"/>
      <c r="P487" s="1"/>
      <c r="Q487" s="1"/>
      <c r="R487" s="1">
        <v>83170</v>
      </c>
      <c r="S487" t="s">
        <v>12</v>
      </c>
    </row>
    <row r="488" spans="1:19" x14ac:dyDescent="0.55000000000000004">
      <c r="A488" t="s">
        <v>18</v>
      </c>
      <c r="B488">
        <v>1969</v>
      </c>
      <c r="C488">
        <v>109655</v>
      </c>
      <c r="D488" s="2">
        <v>163</v>
      </c>
      <c r="E488" s="3">
        <v>109818</v>
      </c>
      <c r="F488" t="s">
        <v>12</v>
      </c>
      <c r="G488" t="s">
        <v>12</v>
      </c>
      <c r="H488" s="1"/>
      <c r="I488" s="1">
        <v>270285</v>
      </c>
      <c r="J488" s="1">
        <v>52816</v>
      </c>
      <c r="K488" s="1"/>
      <c r="L488" s="1"/>
      <c r="M488" s="1"/>
      <c r="N488" s="1"/>
      <c r="O488" s="1"/>
      <c r="P488" s="1"/>
      <c r="Q488" s="1"/>
      <c r="R488" s="1">
        <v>432919</v>
      </c>
      <c r="S488" t="s">
        <v>12</v>
      </c>
    </row>
    <row r="489" spans="1:19" x14ac:dyDescent="0.55000000000000004">
      <c r="A489" t="s">
        <v>18</v>
      </c>
      <c r="B489">
        <v>1968</v>
      </c>
      <c r="C489">
        <v>1522</v>
      </c>
      <c r="D489" s="2">
        <v>65</v>
      </c>
      <c r="E489" s="3">
        <v>1587</v>
      </c>
      <c r="F489" t="s">
        <v>12</v>
      </c>
      <c r="G489" t="s">
        <v>12</v>
      </c>
      <c r="H489" s="1"/>
      <c r="I489" s="1">
        <v>13803</v>
      </c>
      <c r="J489" s="1">
        <v>12807</v>
      </c>
      <c r="K489" s="1"/>
      <c r="L489" s="1"/>
      <c r="M489" s="1"/>
      <c r="N489" s="1"/>
      <c r="O489" s="1"/>
      <c r="P489" s="1"/>
      <c r="Q489" s="1"/>
      <c r="R489" s="1">
        <v>28197</v>
      </c>
      <c r="S489" t="s">
        <v>12</v>
      </c>
    </row>
    <row r="490" spans="1:19" x14ac:dyDescent="0.55000000000000004">
      <c r="A490" t="s">
        <v>18</v>
      </c>
      <c r="B490">
        <v>1967</v>
      </c>
      <c r="C490">
        <v>21044</v>
      </c>
      <c r="D490" s="2">
        <v>25</v>
      </c>
      <c r="E490" s="3">
        <v>21069</v>
      </c>
      <c r="F490" t="s">
        <v>12</v>
      </c>
      <c r="G490" t="s">
        <v>12</v>
      </c>
      <c r="H490" s="1"/>
      <c r="I490" s="1">
        <v>75337</v>
      </c>
      <c r="J490" s="1">
        <v>3142</v>
      </c>
      <c r="K490" s="1"/>
      <c r="L490" s="1"/>
      <c r="M490" s="1"/>
      <c r="N490" s="1"/>
      <c r="O490" s="1"/>
      <c r="P490" s="1"/>
      <c r="Q490" s="1"/>
      <c r="R490" s="1">
        <v>99548</v>
      </c>
      <c r="S490" t="s">
        <v>12</v>
      </c>
    </row>
    <row r="491" spans="1:19" x14ac:dyDescent="0.55000000000000004">
      <c r="A491" t="s">
        <v>18</v>
      </c>
      <c r="B491">
        <v>1966</v>
      </c>
      <c r="C491">
        <v>10830</v>
      </c>
      <c r="D491" s="2">
        <v>29</v>
      </c>
      <c r="E491" s="3">
        <v>10859</v>
      </c>
      <c r="F491" t="s">
        <v>12</v>
      </c>
      <c r="G491" t="s">
        <v>12</v>
      </c>
      <c r="H491" s="1"/>
      <c r="I491" s="1">
        <v>55923</v>
      </c>
      <c r="J491" s="1">
        <v>4300</v>
      </c>
      <c r="K491" s="1"/>
      <c r="L491" s="1"/>
      <c r="M491" s="1"/>
      <c r="N491" s="1"/>
      <c r="O491" s="1"/>
      <c r="P491" s="1"/>
      <c r="Q491" s="1"/>
      <c r="R491" s="1">
        <v>71082</v>
      </c>
      <c r="S491" t="s">
        <v>12</v>
      </c>
    </row>
    <row r="492" spans="1:19" x14ac:dyDescent="0.55000000000000004">
      <c r="A492" t="s">
        <v>18</v>
      </c>
      <c r="B492">
        <v>1965</v>
      </c>
      <c r="C492">
        <v>23045</v>
      </c>
      <c r="D492" s="2">
        <v>0</v>
      </c>
      <c r="E492" s="3">
        <v>23045</v>
      </c>
      <c r="F492" t="s">
        <v>12</v>
      </c>
      <c r="G492" t="s">
        <v>12</v>
      </c>
      <c r="H492" s="1"/>
      <c r="I492" s="1">
        <v>225473</v>
      </c>
      <c r="J492" s="1">
        <v>7807</v>
      </c>
      <c r="K492" s="1"/>
      <c r="L492" s="1"/>
      <c r="M492" s="1"/>
      <c r="N492" s="1"/>
      <c r="O492" s="1"/>
      <c r="P492" s="1"/>
      <c r="Q492" s="1"/>
      <c r="R492" s="1">
        <v>256325</v>
      </c>
      <c r="S492" t="s">
        <v>12</v>
      </c>
    </row>
    <row r="493" spans="1:19" x14ac:dyDescent="0.55000000000000004">
      <c r="A493" t="s">
        <v>18</v>
      </c>
      <c r="B493">
        <v>1964</v>
      </c>
      <c r="C493">
        <v>2390</v>
      </c>
      <c r="D493" s="2">
        <v>31</v>
      </c>
      <c r="E493" s="3">
        <v>2421</v>
      </c>
      <c r="F493" t="s">
        <v>12</v>
      </c>
      <c r="G493" t="s">
        <v>12</v>
      </c>
      <c r="H493" s="1"/>
      <c r="I493" s="1">
        <v>26909</v>
      </c>
      <c r="J493" s="1">
        <v>10805</v>
      </c>
      <c r="K493" s="1"/>
      <c r="L493" s="1">
        <v>132586</v>
      </c>
      <c r="M493" s="1"/>
      <c r="N493" s="1"/>
      <c r="O493" s="1"/>
      <c r="P493" s="1"/>
      <c r="Q493" s="1"/>
      <c r="R493" s="1">
        <v>172721</v>
      </c>
      <c r="S493" t="s">
        <v>11</v>
      </c>
    </row>
    <row r="494" spans="1:19" x14ac:dyDescent="0.55000000000000004">
      <c r="A494" t="s">
        <v>18</v>
      </c>
      <c r="B494">
        <v>1963</v>
      </c>
      <c r="C494">
        <v>4607</v>
      </c>
      <c r="D494" s="2">
        <v>21</v>
      </c>
      <c r="E494" s="3">
        <v>4628</v>
      </c>
      <c r="F494" t="s">
        <v>12</v>
      </c>
      <c r="G494" t="s">
        <v>12</v>
      </c>
      <c r="H494" s="1"/>
      <c r="I494" s="1">
        <v>8646.9999999999909</v>
      </c>
      <c r="J494" s="1">
        <v>1669</v>
      </c>
      <c r="K494" s="1"/>
      <c r="L494" s="1"/>
      <c r="M494" s="1"/>
      <c r="N494" s="1"/>
      <c r="O494" s="1"/>
      <c r="P494" s="1"/>
      <c r="Q494" s="1"/>
      <c r="R494" s="1">
        <v>14944</v>
      </c>
      <c r="S494" t="s">
        <v>12</v>
      </c>
    </row>
    <row r="495" spans="1:19" x14ac:dyDescent="0.55000000000000004">
      <c r="A495" t="s">
        <v>18</v>
      </c>
      <c r="B495">
        <v>1962</v>
      </c>
      <c r="C495">
        <v>26716</v>
      </c>
      <c r="D495" s="2">
        <v>0</v>
      </c>
      <c r="E495" s="3">
        <v>26716</v>
      </c>
      <c r="F495" t="s">
        <v>12</v>
      </c>
      <c r="G495" t="s">
        <v>12</v>
      </c>
      <c r="H495" s="1"/>
      <c r="I495" s="1">
        <v>75185</v>
      </c>
      <c r="J495" s="1">
        <v>6631</v>
      </c>
      <c r="K495" s="1"/>
      <c r="L495" s="1"/>
      <c r="M495" s="1"/>
      <c r="N495" s="1"/>
      <c r="O495" s="1"/>
      <c r="P495" s="1"/>
      <c r="Q495" s="1"/>
      <c r="R495" s="1">
        <v>108532</v>
      </c>
      <c r="S495" t="s">
        <v>12</v>
      </c>
    </row>
    <row r="496" spans="1:19" x14ac:dyDescent="0.55000000000000004">
      <c r="A496" t="s">
        <v>18</v>
      </c>
      <c r="B496">
        <v>1961</v>
      </c>
      <c r="C496">
        <v>198921</v>
      </c>
      <c r="D496" s="2">
        <v>215</v>
      </c>
      <c r="E496" s="3">
        <v>199136</v>
      </c>
      <c r="F496" t="s">
        <v>12</v>
      </c>
      <c r="G496" t="s">
        <v>12</v>
      </c>
      <c r="H496" s="1"/>
      <c r="I496" s="1">
        <v>806525</v>
      </c>
      <c r="J496" s="1">
        <v>30181</v>
      </c>
      <c r="K496" s="1"/>
      <c r="L496" s="1"/>
      <c r="M496" s="1"/>
      <c r="N496" s="1"/>
      <c r="O496" s="1"/>
      <c r="P496" s="1"/>
      <c r="Q496" s="1"/>
      <c r="R496" s="1">
        <v>1035842</v>
      </c>
      <c r="S496" t="s">
        <v>12</v>
      </c>
    </row>
    <row r="497" spans="1:19" x14ac:dyDescent="0.55000000000000004">
      <c r="A497" t="s">
        <v>18</v>
      </c>
      <c r="B497">
        <v>1960</v>
      </c>
      <c r="C497">
        <v>14447</v>
      </c>
      <c r="D497" s="2">
        <v>125</v>
      </c>
      <c r="E497" s="3">
        <v>14572</v>
      </c>
      <c r="F497" t="s">
        <v>12</v>
      </c>
      <c r="G497" t="s">
        <v>12</v>
      </c>
      <c r="H497" s="1"/>
      <c r="I497" s="1">
        <v>51999</v>
      </c>
      <c r="J497" s="1">
        <v>4134</v>
      </c>
      <c r="K497" s="1"/>
      <c r="L497" s="1">
        <v>20800</v>
      </c>
      <c r="M497" s="1"/>
      <c r="N497" s="1"/>
      <c r="O497" s="1"/>
      <c r="P497" s="1"/>
      <c r="Q497" s="1"/>
      <c r="R497" s="1">
        <v>91505</v>
      </c>
      <c r="S497" t="s">
        <v>11</v>
      </c>
    </row>
    <row r="498" spans="1:19" x14ac:dyDescent="0.55000000000000004">
      <c r="A498" t="s">
        <v>18</v>
      </c>
      <c r="B498">
        <v>1959</v>
      </c>
      <c r="C498">
        <v>2670</v>
      </c>
      <c r="D498" s="2">
        <v>0</v>
      </c>
      <c r="E498" s="3">
        <v>2670</v>
      </c>
      <c r="F498" t="s">
        <v>12</v>
      </c>
      <c r="G498" t="s">
        <v>12</v>
      </c>
      <c r="H498" s="1"/>
      <c r="I498" s="1">
        <v>4991</v>
      </c>
      <c r="J498" s="1">
        <v>519</v>
      </c>
      <c r="K498" s="1"/>
      <c r="L498" s="1"/>
      <c r="M498" s="1"/>
      <c r="N498" s="1"/>
      <c r="O498" s="1"/>
      <c r="P498" s="1"/>
      <c r="Q498" s="1"/>
      <c r="R498" s="1">
        <v>8180</v>
      </c>
      <c r="S498" t="s">
        <v>12</v>
      </c>
    </row>
    <row r="499" spans="1:19" x14ac:dyDescent="0.55000000000000004">
      <c r="A499" t="s">
        <v>18</v>
      </c>
      <c r="B499">
        <v>1958</v>
      </c>
      <c r="C499">
        <v>38807</v>
      </c>
      <c r="D499" s="2">
        <v>5</v>
      </c>
      <c r="E499" s="3">
        <v>38812</v>
      </c>
      <c r="F499" t="s">
        <v>12</v>
      </c>
      <c r="G499" t="s">
        <v>12</v>
      </c>
      <c r="H499" s="1"/>
      <c r="I499" s="1">
        <v>114399</v>
      </c>
      <c r="J499" s="1">
        <v>4467</v>
      </c>
      <c r="K499" s="1"/>
      <c r="L499" s="1"/>
      <c r="M499" s="1"/>
      <c r="N499" s="1"/>
      <c r="O499" s="1"/>
      <c r="P499" s="1"/>
      <c r="Q499" s="1"/>
      <c r="R499" s="1">
        <v>157678</v>
      </c>
      <c r="S499" t="s">
        <v>12</v>
      </c>
    </row>
    <row r="500" spans="1:19" x14ac:dyDescent="0.55000000000000004">
      <c r="A500" t="s">
        <v>18</v>
      </c>
      <c r="B500">
        <v>1957</v>
      </c>
      <c r="C500">
        <v>234850</v>
      </c>
      <c r="D500" s="2">
        <v>183</v>
      </c>
      <c r="E500" s="3">
        <v>235033</v>
      </c>
      <c r="F500" t="s">
        <v>12</v>
      </c>
      <c r="G500" t="s">
        <v>12</v>
      </c>
      <c r="H500" s="1"/>
      <c r="I500" s="1">
        <v>257672</v>
      </c>
      <c r="J500" s="1">
        <v>23954</v>
      </c>
      <c r="K500" s="1"/>
      <c r="L500" s="1"/>
      <c r="M500" s="1"/>
      <c r="N500" s="1"/>
      <c r="O500" s="1"/>
      <c r="P500" s="1"/>
      <c r="Q500" s="1"/>
      <c r="R500" s="1">
        <v>516659</v>
      </c>
      <c r="S500" t="s">
        <v>12</v>
      </c>
    </row>
    <row r="501" spans="1:19" x14ac:dyDescent="0.55000000000000004">
      <c r="A501" t="s">
        <v>18</v>
      </c>
      <c r="B501">
        <v>1956</v>
      </c>
      <c r="C501">
        <v>25020</v>
      </c>
      <c r="D501" s="2">
        <v>137</v>
      </c>
      <c r="E501" s="3">
        <v>25157</v>
      </c>
      <c r="F501" t="s">
        <v>12</v>
      </c>
      <c r="G501" t="s">
        <v>12</v>
      </c>
      <c r="H501" s="1"/>
      <c r="I501" s="1">
        <v>58473</v>
      </c>
      <c r="J501" s="1">
        <v>3077</v>
      </c>
      <c r="K501" s="1"/>
      <c r="L501" s="1"/>
      <c r="M501" s="1"/>
      <c r="N501" s="1"/>
      <c r="O501" s="1"/>
      <c r="P501" s="1"/>
      <c r="Q501" s="1"/>
      <c r="R501" s="1">
        <v>86707</v>
      </c>
      <c r="S501" t="s">
        <v>12</v>
      </c>
    </row>
    <row r="502" spans="1:19" x14ac:dyDescent="0.55000000000000004">
      <c r="A502" t="s">
        <v>18</v>
      </c>
      <c r="B502">
        <v>1955</v>
      </c>
      <c r="C502">
        <v>2159</v>
      </c>
      <c r="D502" s="2">
        <v>11</v>
      </c>
      <c r="E502" s="3">
        <v>2170</v>
      </c>
      <c r="F502" t="s">
        <v>12</v>
      </c>
      <c r="G502" t="s">
        <v>12</v>
      </c>
      <c r="H502" s="1"/>
      <c r="I502" s="1">
        <v>112180</v>
      </c>
      <c r="J502" s="1">
        <v>1357</v>
      </c>
      <c r="K502" s="1"/>
      <c r="L502" s="1">
        <v>24102</v>
      </c>
      <c r="M502" s="1"/>
      <c r="N502" s="1"/>
      <c r="O502" s="1"/>
      <c r="P502" s="1"/>
      <c r="Q502" s="1"/>
      <c r="R502" s="1">
        <v>139809</v>
      </c>
      <c r="S502" t="s">
        <v>11</v>
      </c>
    </row>
    <row r="503" spans="1:19" x14ac:dyDescent="0.55000000000000004">
      <c r="A503" t="s">
        <v>18</v>
      </c>
      <c r="B503">
        <v>1954</v>
      </c>
      <c r="C503">
        <v>35050</v>
      </c>
      <c r="D503" s="2">
        <v>8</v>
      </c>
      <c r="E503" s="3">
        <v>35058</v>
      </c>
      <c r="F503" t="s">
        <v>12</v>
      </c>
      <c r="G503" t="s">
        <v>12</v>
      </c>
      <c r="H503" s="1"/>
      <c r="I503" s="1">
        <v>177838</v>
      </c>
      <c r="J503" s="1">
        <v>8673</v>
      </c>
      <c r="K503" s="1"/>
      <c r="L503" s="1"/>
      <c r="M503" s="1"/>
      <c r="N503" s="1"/>
      <c r="O503" s="1"/>
      <c r="P503" s="1"/>
      <c r="Q503" s="1"/>
      <c r="R503" s="1">
        <v>221569</v>
      </c>
      <c r="S503" t="s">
        <v>12</v>
      </c>
    </row>
    <row r="504" spans="1:19" x14ac:dyDescent="0.55000000000000004">
      <c r="A504" t="s">
        <v>18</v>
      </c>
      <c r="B504">
        <v>1953</v>
      </c>
      <c r="C504">
        <v>154036</v>
      </c>
      <c r="D504" s="2">
        <v>276</v>
      </c>
      <c r="E504" s="3">
        <v>154312</v>
      </c>
      <c r="F504" t="s">
        <v>12</v>
      </c>
      <c r="G504" t="s">
        <v>12</v>
      </c>
      <c r="H504" s="1"/>
      <c r="I504" s="1">
        <v>783524</v>
      </c>
      <c r="J504" s="1">
        <v>27427</v>
      </c>
      <c r="K504" s="1"/>
      <c r="L504" s="1"/>
      <c r="M504" s="1"/>
      <c r="N504" s="1"/>
      <c r="O504" s="1"/>
      <c r="P504" s="1"/>
      <c r="Q504" s="1"/>
      <c r="R504" s="1">
        <v>965263</v>
      </c>
      <c r="S504" t="s">
        <v>12</v>
      </c>
    </row>
    <row r="505" spans="1:19" x14ac:dyDescent="0.55000000000000004">
      <c r="A505" t="s">
        <v>18</v>
      </c>
      <c r="B505">
        <v>1952</v>
      </c>
      <c r="C505">
        <v>30191</v>
      </c>
      <c r="D505" s="2">
        <v>3391</v>
      </c>
      <c r="E505" s="3">
        <v>33582</v>
      </c>
      <c r="F505" t="s">
        <v>12</v>
      </c>
      <c r="G505" t="s">
        <v>12</v>
      </c>
      <c r="H505" s="1"/>
      <c r="I505" s="1">
        <v>151461</v>
      </c>
      <c r="J505" s="1">
        <v>6670.99999999999</v>
      </c>
      <c r="K505" s="1"/>
      <c r="L505" s="1"/>
      <c r="M505" s="1"/>
      <c r="N505" s="1"/>
      <c r="O505" s="1"/>
      <c r="P505" s="1"/>
      <c r="Q505" s="1"/>
      <c r="R505" s="1">
        <v>191714</v>
      </c>
      <c r="S505" t="s">
        <v>12</v>
      </c>
    </row>
    <row r="506" spans="1:19" x14ac:dyDescent="0.55000000000000004">
      <c r="A506" t="s">
        <v>19</v>
      </c>
      <c r="B506">
        <v>2023</v>
      </c>
      <c r="C506">
        <v>17844</v>
      </c>
      <c r="D506" s="2">
        <v>513</v>
      </c>
      <c r="E506" s="3">
        <v>18357</v>
      </c>
      <c r="F506" t="s">
        <v>12</v>
      </c>
      <c r="G506" t="s">
        <v>12</v>
      </c>
      <c r="H506" s="1">
        <v>64.114338003465704</v>
      </c>
      <c r="I506" s="1">
        <v>512.40008507639402</v>
      </c>
      <c r="J506" s="1">
        <v>182.60613586785499</v>
      </c>
      <c r="K506" s="1"/>
      <c r="L506" s="1">
        <v>11896</v>
      </c>
      <c r="M506" s="1"/>
      <c r="N506" s="1"/>
      <c r="O506" s="1">
        <v>342</v>
      </c>
      <c r="P506" s="1"/>
      <c r="Q506" s="1">
        <v>-20024.555964241801</v>
      </c>
      <c r="R506" s="1">
        <v>31354</v>
      </c>
      <c r="S506" t="s">
        <v>11</v>
      </c>
    </row>
    <row r="507" spans="1:19" x14ac:dyDescent="0.55000000000000004">
      <c r="A507" t="s">
        <v>19</v>
      </c>
      <c r="B507">
        <v>2022</v>
      </c>
      <c r="C507">
        <v>2955</v>
      </c>
      <c r="D507" s="2">
        <v>658</v>
      </c>
      <c r="E507" s="3">
        <v>3613</v>
      </c>
      <c r="F507" t="s">
        <v>12</v>
      </c>
      <c r="G507" t="s">
        <v>12</v>
      </c>
      <c r="H507" s="1">
        <v>609.15913848622802</v>
      </c>
      <c r="I507" s="1">
        <v>507.049715465232</v>
      </c>
      <c r="J507" s="1">
        <v>517.96040748768996</v>
      </c>
      <c r="K507" s="1"/>
      <c r="L507" s="1">
        <v>985</v>
      </c>
      <c r="M507" s="1"/>
      <c r="N507" s="1"/>
      <c r="O507" s="1">
        <v>219</v>
      </c>
      <c r="P507" s="1"/>
      <c r="Q507" s="1">
        <v>-6226.2601021396604</v>
      </c>
      <c r="R507" s="1">
        <v>6451</v>
      </c>
      <c r="S507" t="s">
        <v>11</v>
      </c>
    </row>
    <row r="508" spans="1:19" x14ac:dyDescent="0.55000000000000004">
      <c r="A508" t="s">
        <v>19</v>
      </c>
      <c r="B508">
        <v>2021</v>
      </c>
      <c r="C508">
        <v>32077</v>
      </c>
      <c r="D508" s="2">
        <v>115</v>
      </c>
      <c r="E508" s="3">
        <v>32192</v>
      </c>
      <c r="F508" t="s">
        <v>12</v>
      </c>
      <c r="G508" t="s">
        <v>12</v>
      </c>
      <c r="H508" s="1">
        <v>329.73021947519999</v>
      </c>
      <c r="I508" s="1">
        <v>524.92580568715402</v>
      </c>
      <c r="J508" s="1">
        <v>468.81685313610302</v>
      </c>
      <c r="K508" s="1"/>
      <c r="L508" s="1">
        <v>11762</v>
      </c>
      <c r="M508" s="1">
        <v>3208</v>
      </c>
      <c r="N508" s="1"/>
      <c r="O508" s="1">
        <v>42</v>
      </c>
      <c r="P508" s="1">
        <v>12</v>
      </c>
      <c r="Q508" s="1">
        <v>-19919.551081727899</v>
      </c>
      <c r="R508" s="1">
        <v>48539</v>
      </c>
      <c r="S508" t="s">
        <v>11</v>
      </c>
    </row>
    <row r="509" spans="1:19" x14ac:dyDescent="0.55000000000000004">
      <c r="A509" t="s">
        <v>19</v>
      </c>
      <c r="B509">
        <v>2020</v>
      </c>
      <c r="C509">
        <v>6185</v>
      </c>
      <c r="D509" s="2">
        <v>178</v>
      </c>
      <c r="E509" s="3">
        <v>6363</v>
      </c>
      <c r="F509" t="s">
        <v>12</v>
      </c>
      <c r="G509" t="s">
        <v>12</v>
      </c>
      <c r="H509" s="1">
        <v>589.70471728750999</v>
      </c>
      <c r="I509" s="1">
        <v>154.49261891322701</v>
      </c>
      <c r="J509" s="1">
        <v>78.000187539882205</v>
      </c>
      <c r="K509" s="1"/>
      <c r="L509" s="1">
        <v>2268</v>
      </c>
      <c r="M509" s="1">
        <v>619</v>
      </c>
      <c r="N509" s="1"/>
      <c r="O509" s="1">
        <v>65</v>
      </c>
      <c r="P509" s="1">
        <v>17</v>
      </c>
      <c r="Q509" s="1">
        <v>-3100.2659439653798</v>
      </c>
      <c r="R509" s="1">
        <v>10154</v>
      </c>
      <c r="S509" t="s">
        <v>11</v>
      </c>
    </row>
    <row r="510" spans="1:19" x14ac:dyDescent="0.55000000000000004">
      <c r="A510" t="s">
        <v>19</v>
      </c>
      <c r="B510">
        <v>2019</v>
      </c>
      <c r="C510">
        <v>9561</v>
      </c>
      <c r="D510" s="2">
        <v>315</v>
      </c>
      <c r="E510" s="3">
        <v>9876</v>
      </c>
      <c r="F510" t="s">
        <v>12</v>
      </c>
      <c r="G510" t="s">
        <v>12</v>
      </c>
      <c r="H510" s="1">
        <v>734.23305929000003</v>
      </c>
      <c r="I510" s="1">
        <v>139.01604304892001</v>
      </c>
      <c r="J510" s="1">
        <v>23.065032889227901</v>
      </c>
      <c r="K510" s="1"/>
      <c r="L510" s="1">
        <v>3187</v>
      </c>
      <c r="M510" s="1"/>
      <c r="N510" s="1"/>
      <c r="O510" s="1">
        <v>105</v>
      </c>
      <c r="P510" s="1"/>
      <c r="Q510" s="1">
        <v>-2000.53205018778</v>
      </c>
      <c r="R510" s="1">
        <v>14064</v>
      </c>
      <c r="S510" t="s">
        <v>11</v>
      </c>
    </row>
    <row r="511" spans="1:19" x14ac:dyDescent="0.55000000000000004">
      <c r="A511" t="s">
        <v>19</v>
      </c>
      <c r="B511">
        <v>2018</v>
      </c>
      <c r="C511">
        <v>3477</v>
      </c>
      <c r="D511" s="2">
        <v>861</v>
      </c>
      <c r="E511" s="3">
        <v>4338</v>
      </c>
      <c r="F511" t="s">
        <v>12</v>
      </c>
      <c r="G511" t="s">
        <v>12</v>
      </c>
      <c r="H511" s="1">
        <v>42.221219585999997</v>
      </c>
      <c r="I511" s="1">
        <v>6113.2861792848998</v>
      </c>
      <c r="J511" s="1">
        <v>1381.0376592661901</v>
      </c>
      <c r="K511" s="1">
        <v>1</v>
      </c>
      <c r="L511" s="1">
        <v>3477</v>
      </c>
      <c r="M511" s="1"/>
      <c r="N511" s="1">
        <v>-1291</v>
      </c>
      <c r="O511" s="1">
        <v>861</v>
      </c>
      <c r="P511" s="1"/>
      <c r="Q511" s="1">
        <v>-7401.3394322083604</v>
      </c>
      <c r="R511" s="1">
        <v>14923</v>
      </c>
      <c r="S511" t="s">
        <v>11</v>
      </c>
    </row>
    <row r="512" spans="1:19" x14ac:dyDescent="0.55000000000000004">
      <c r="A512" t="s">
        <v>19</v>
      </c>
      <c r="B512">
        <v>2017</v>
      </c>
      <c r="C512">
        <v>6937</v>
      </c>
      <c r="D512" s="2">
        <v>103</v>
      </c>
      <c r="E512" s="3">
        <v>7040</v>
      </c>
      <c r="F512" t="s">
        <v>12</v>
      </c>
      <c r="G512" t="s">
        <v>12</v>
      </c>
      <c r="H512" s="1">
        <v>403.95757680299999</v>
      </c>
      <c r="I512" s="1">
        <v>601.67349868107999</v>
      </c>
      <c r="J512" s="1">
        <v>631.58291358986105</v>
      </c>
      <c r="K512" s="1"/>
      <c r="L512" s="1">
        <v>1734</v>
      </c>
      <c r="M512" s="1"/>
      <c r="N512" s="1">
        <v>-213</v>
      </c>
      <c r="O512" s="1">
        <v>26</v>
      </c>
      <c r="P512" s="1"/>
      <c r="Q512" s="1">
        <v>-18924.747584612702</v>
      </c>
      <c r="R512" s="1">
        <v>10224</v>
      </c>
      <c r="S512" t="s">
        <v>11</v>
      </c>
    </row>
    <row r="513" spans="1:19" x14ac:dyDescent="0.55000000000000004">
      <c r="A513" t="s">
        <v>19</v>
      </c>
      <c r="B513">
        <v>2016</v>
      </c>
      <c r="C513">
        <v>8588</v>
      </c>
      <c r="D513" s="2">
        <v>209</v>
      </c>
      <c r="E513" s="3">
        <v>8797</v>
      </c>
      <c r="F513" t="s">
        <v>12</v>
      </c>
      <c r="G513" t="s">
        <v>12</v>
      </c>
      <c r="H513" s="1">
        <v>1168.3981239532</v>
      </c>
      <c r="I513" s="1">
        <v>3037.3491277929802</v>
      </c>
      <c r="J513" s="1">
        <v>4787.3434990219803</v>
      </c>
      <c r="K513" s="1"/>
      <c r="L513" s="1">
        <v>5725</v>
      </c>
      <c r="M513" s="1"/>
      <c r="N513" s="1">
        <v>-1122</v>
      </c>
      <c r="O513" s="1">
        <v>139</v>
      </c>
      <c r="P513" s="1"/>
      <c r="Q513" s="1">
        <v>-27526.195611629999</v>
      </c>
      <c r="R513" s="1">
        <v>22532</v>
      </c>
      <c r="S513" t="s">
        <v>11</v>
      </c>
    </row>
    <row r="514" spans="1:19" x14ac:dyDescent="0.55000000000000004">
      <c r="A514" t="s">
        <v>19</v>
      </c>
      <c r="B514">
        <v>2015</v>
      </c>
      <c r="C514">
        <v>18283</v>
      </c>
      <c r="D514" s="2">
        <v>2043</v>
      </c>
      <c r="E514" s="3">
        <v>20326</v>
      </c>
      <c r="F514" t="s">
        <v>12</v>
      </c>
      <c r="G514" t="s">
        <v>12</v>
      </c>
      <c r="H514" s="1">
        <v>1727.0107761984</v>
      </c>
      <c r="I514" s="1">
        <v>3491.1687444858298</v>
      </c>
      <c r="J514" s="1">
        <v>2347.6066028034702</v>
      </c>
      <c r="K514" s="1"/>
      <c r="L514" s="1">
        <v>12189</v>
      </c>
      <c r="M514" s="1"/>
      <c r="N514" s="1"/>
      <c r="O514" s="1">
        <v>1362</v>
      </c>
      <c r="P514" s="1"/>
      <c r="Q514" s="1">
        <v>-19048.809292086898</v>
      </c>
      <c r="R514" s="1">
        <v>41443</v>
      </c>
      <c r="S514" t="s">
        <v>11</v>
      </c>
    </row>
    <row r="515" spans="1:19" x14ac:dyDescent="0.55000000000000004">
      <c r="A515" t="s">
        <v>19</v>
      </c>
      <c r="B515">
        <v>2014</v>
      </c>
      <c r="C515">
        <v>15750</v>
      </c>
      <c r="D515" s="2">
        <v>1178</v>
      </c>
      <c r="E515" s="3">
        <v>16928</v>
      </c>
      <c r="F515" t="s">
        <v>12</v>
      </c>
      <c r="G515" t="s">
        <v>12</v>
      </c>
      <c r="H515" s="1">
        <v>1081.6506657901</v>
      </c>
      <c r="I515" s="1">
        <v>15909.7093002928</v>
      </c>
      <c r="J515" s="1">
        <v>4225.5142829997903</v>
      </c>
      <c r="K515" s="1"/>
      <c r="L515" s="1">
        <v>8481</v>
      </c>
      <c r="M515" s="1"/>
      <c r="N515" s="1">
        <v>4238</v>
      </c>
      <c r="O515" s="1">
        <v>634</v>
      </c>
      <c r="P515" s="1"/>
      <c r="Q515" s="1">
        <v>-17390.162093501302</v>
      </c>
      <c r="R515" s="1">
        <v>51498</v>
      </c>
      <c r="S515" t="s">
        <v>11</v>
      </c>
    </row>
    <row r="516" spans="1:19" x14ac:dyDescent="0.55000000000000004">
      <c r="A516" t="s">
        <v>19</v>
      </c>
      <c r="B516">
        <v>2013</v>
      </c>
      <c r="C516">
        <v>54939</v>
      </c>
      <c r="D516" s="2">
        <v>2387</v>
      </c>
      <c r="E516" s="3">
        <v>57326</v>
      </c>
      <c r="F516" t="s">
        <v>12</v>
      </c>
      <c r="G516" t="s">
        <v>12</v>
      </c>
      <c r="H516" s="1">
        <v>309.42621988600001</v>
      </c>
      <c r="I516" s="1">
        <v>10129.6083190926</v>
      </c>
      <c r="J516" s="1">
        <v>9168.5637877051504</v>
      </c>
      <c r="K516" s="1"/>
      <c r="L516" s="1">
        <v>36626</v>
      </c>
      <c r="M516" s="1"/>
      <c r="N516" s="1">
        <v>728</v>
      </c>
      <c r="O516" s="1">
        <v>1591</v>
      </c>
      <c r="P516" s="1"/>
      <c r="Q516" s="1">
        <v>-43721.273327378804</v>
      </c>
      <c r="R516" s="1">
        <v>115879</v>
      </c>
      <c r="S516" t="s">
        <v>11</v>
      </c>
    </row>
    <row r="517" spans="1:19" x14ac:dyDescent="0.55000000000000004">
      <c r="A517" t="s">
        <v>19</v>
      </c>
      <c r="B517">
        <v>2012</v>
      </c>
      <c r="C517">
        <v>28484</v>
      </c>
      <c r="D517" s="2">
        <v>2695</v>
      </c>
      <c r="E517" s="3">
        <v>31179</v>
      </c>
      <c r="F517" t="s">
        <v>12</v>
      </c>
      <c r="G517" t="s">
        <v>12</v>
      </c>
      <c r="H517" s="1">
        <v>137.15012988607</v>
      </c>
      <c r="I517" s="1">
        <v>12594.675634794799</v>
      </c>
      <c r="J517" s="1">
        <v>20357.476686099799</v>
      </c>
      <c r="K517" s="1">
        <v>-11730</v>
      </c>
      <c r="L517" s="1">
        <v>20626</v>
      </c>
      <c r="M517" s="1"/>
      <c r="N517" s="1"/>
      <c r="O517" s="1">
        <v>1952</v>
      </c>
      <c r="P517" s="1"/>
      <c r="Q517" s="1">
        <v>-38299.533892868902</v>
      </c>
      <c r="R517" s="1">
        <v>75116</v>
      </c>
      <c r="S517" t="s">
        <v>11</v>
      </c>
    </row>
    <row r="518" spans="1:19" x14ac:dyDescent="0.55000000000000004">
      <c r="A518" t="s">
        <v>19</v>
      </c>
      <c r="B518">
        <v>2011</v>
      </c>
      <c r="C518">
        <v>55860</v>
      </c>
      <c r="D518" s="2">
        <v>1573</v>
      </c>
      <c r="E518" s="3">
        <v>57433</v>
      </c>
      <c r="F518" t="s">
        <v>12</v>
      </c>
      <c r="G518" t="s">
        <v>12</v>
      </c>
      <c r="H518" s="1">
        <v>218.54539839994899</v>
      </c>
      <c r="I518" s="1">
        <v>16226.395741182399</v>
      </c>
      <c r="J518" s="1">
        <v>17191.306964022398</v>
      </c>
      <c r="K518" s="1"/>
      <c r="L518" s="1">
        <v>27930</v>
      </c>
      <c r="M518" s="1"/>
      <c r="N518" s="1">
        <v>2903</v>
      </c>
      <c r="O518" s="1">
        <v>786</v>
      </c>
      <c r="P518" s="1"/>
      <c r="Q518" s="1">
        <v>754.514168403442</v>
      </c>
      <c r="R518" s="1">
        <v>122688</v>
      </c>
      <c r="S518" t="s">
        <v>11</v>
      </c>
    </row>
    <row r="519" spans="1:19" x14ac:dyDescent="0.55000000000000004">
      <c r="A519" t="s">
        <v>19</v>
      </c>
      <c r="B519">
        <v>2010</v>
      </c>
      <c r="C519">
        <v>15766</v>
      </c>
      <c r="D519" s="2">
        <v>6665</v>
      </c>
      <c r="E519" s="3">
        <v>22431</v>
      </c>
      <c r="F519" t="s">
        <v>12</v>
      </c>
      <c r="G519" t="s">
        <v>12</v>
      </c>
      <c r="H519" s="1">
        <v>0</v>
      </c>
      <c r="I519" s="1">
        <v>10398.643047681</v>
      </c>
      <c r="J519" s="1"/>
      <c r="K519" s="1"/>
      <c r="L519" s="1">
        <v>3344</v>
      </c>
      <c r="M519" s="1"/>
      <c r="N519" s="1">
        <v>-1931</v>
      </c>
      <c r="O519" s="1">
        <v>1414</v>
      </c>
      <c r="P519" s="1"/>
      <c r="Q519" s="1">
        <v>-8311.1609609848492</v>
      </c>
      <c r="R519" s="1">
        <v>35657</v>
      </c>
      <c r="S519" t="s">
        <v>11</v>
      </c>
    </row>
    <row r="520" spans="1:19" x14ac:dyDescent="0.55000000000000004">
      <c r="A520" t="s">
        <v>19</v>
      </c>
      <c r="B520">
        <v>2009</v>
      </c>
      <c r="C520">
        <v>9878</v>
      </c>
      <c r="D520" s="2">
        <v>978</v>
      </c>
      <c r="E520" s="3">
        <v>10856</v>
      </c>
      <c r="F520" t="s">
        <v>12</v>
      </c>
      <c r="G520" t="s">
        <v>12</v>
      </c>
      <c r="H520" s="1">
        <v>295.42210884353699</v>
      </c>
      <c r="I520" s="1">
        <v>1144.5070730206601</v>
      </c>
      <c r="J520" s="1">
        <v>806.08236576782303</v>
      </c>
      <c r="K520" s="1"/>
      <c r="L520" s="1">
        <v>9878</v>
      </c>
      <c r="M520" s="1"/>
      <c r="N520" s="1"/>
      <c r="O520" s="1">
        <v>978</v>
      </c>
      <c r="P520" s="1"/>
      <c r="Q520" s="1">
        <v>-15746.2244049043</v>
      </c>
      <c r="R520" s="1">
        <v>23958</v>
      </c>
      <c r="S520" t="s">
        <v>11</v>
      </c>
    </row>
    <row r="521" spans="1:19" x14ac:dyDescent="0.55000000000000004">
      <c r="A521" t="s">
        <v>19</v>
      </c>
      <c r="B521">
        <v>2008</v>
      </c>
      <c r="C521">
        <v>14838</v>
      </c>
      <c r="D521" s="2">
        <v>180</v>
      </c>
      <c r="E521" s="3">
        <v>15018</v>
      </c>
      <c r="F521" t="s">
        <v>12</v>
      </c>
      <c r="G521" t="s">
        <v>12</v>
      </c>
      <c r="H521" s="1">
        <v>0</v>
      </c>
      <c r="I521" s="1">
        <v>12800.0156049869</v>
      </c>
      <c r="J521" s="1">
        <v>21819.700505013399</v>
      </c>
      <c r="K521" s="1"/>
      <c r="L521" s="1"/>
      <c r="M521" s="1"/>
      <c r="N521" s="1"/>
      <c r="O521" s="1"/>
      <c r="P521" s="1"/>
      <c r="Q521" s="1">
        <v>-50327.540098462101</v>
      </c>
      <c r="R521" s="1">
        <v>99965</v>
      </c>
      <c r="S521" t="s">
        <v>9</v>
      </c>
    </row>
    <row r="522" spans="1:19" x14ac:dyDescent="0.55000000000000004">
      <c r="A522" t="s">
        <v>19</v>
      </c>
      <c r="B522">
        <v>2007</v>
      </c>
      <c r="C522">
        <v>2555</v>
      </c>
      <c r="D522" s="2">
        <v>343</v>
      </c>
      <c r="E522" s="3">
        <v>2898</v>
      </c>
      <c r="F522" t="s">
        <v>12</v>
      </c>
      <c r="G522" t="s">
        <v>12</v>
      </c>
      <c r="H522" s="1">
        <v>3256.2218278800001</v>
      </c>
      <c r="I522" s="1">
        <v>573.42598564795003</v>
      </c>
      <c r="J522" s="1">
        <v>649.64594921700495</v>
      </c>
      <c r="K522" s="1"/>
      <c r="L522" s="1"/>
      <c r="M522" s="1"/>
      <c r="N522" s="1"/>
      <c r="O522" s="1"/>
      <c r="P522" s="1"/>
      <c r="Q522" s="1">
        <v>-2089.6674554429901</v>
      </c>
      <c r="R522" s="1">
        <v>9467</v>
      </c>
      <c r="S522" t="s">
        <v>9</v>
      </c>
    </row>
    <row r="523" spans="1:19" x14ac:dyDescent="0.55000000000000004">
      <c r="A523" t="s">
        <v>19</v>
      </c>
      <c r="B523">
        <v>2006</v>
      </c>
      <c r="C523">
        <v>2858</v>
      </c>
      <c r="D523" s="2">
        <v>213</v>
      </c>
      <c r="E523" s="3">
        <v>3071</v>
      </c>
      <c r="F523" t="s">
        <v>12</v>
      </c>
      <c r="G523" t="s">
        <v>12</v>
      </c>
      <c r="H523" s="1">
        <v>303.55741064699998</v>
      </c>
      <c r="I523" s="1">
        <v>11610.5286319317</v>
      </c>
      <c r="J523" s="1">
        <v>1177.77576504231</v>
      </c>
      <c r="K523" s="1"/>
      <c r="L523" s="1"/>
      <c r="M523" s="1"/>
      <c r="N523" s="1"/>
      <c r="O523" s="1"/>
      <c r="P523" s="1"/>
      <c r="Q523" s="1">
        <v>-4135.5541079948898</v>
      </c>
      <c r="R523" s="1">
        <v>20298</v>
      </c>
      <c r="S523" t="s">
        <v>9</v>
      </c>
    </row>
    <row r="524" spans="1:19" x14ac:dyDescent="0.55000000000000004">
      <c r="A524" t="s">
        <v>19</v>
      </c>
      <c r="B524">
        <v>2005</v>
      </c>
      <c r="C524">
        <v>15150</v>
      </c>
      <c r="D524" s="2">
        <v>1262</v>
      </c>
      <c r="E524" s="3">
        <v>16412</v>
      </c>
      <c r="F524" t="s">
        <v>12</v>
      </c>
      <c r="G524" t="s">
        <v>12</v>
      </c>
      <c r="H524" s="1">
        <v>1226.6118663</v>
      </c>
      <c r="I524" s="1">
        <v>10101.008572631699</v>
      </c>
      <c r="J524" s="1">
        <v>5187.0838119156497</v>
      </c>
      <c r="K524" s="1"/>
      <c r="L524" s="1"/>
      <c r="M524" s="1"/>
      <c r="N524" s="1"/>
      <c r="O524" s="1"/>
      <c r="P524" s="1"/>
      <c r="Q524" s="1">
        <v>-16131.209885661499</v>
      </c>
      <c r="R524" s="1">
        <v>49058</v>
      </c>
      <c r="S524" t="s">
        <v>9</v>
      </c>
    </row>
    <row r="525" spans="1:19" x14ac:dyDescent="0.55000000000000004">
      <c r="A525" t="s">
        <v>19</v>
      </c>
      <c r="B525">
        <v>2004</v>
      </c>
      <c r="C525">
        <v>9606</v>
      </c>
      <c r="D525" s="2">
        <v>315</v>
      </c>
      <c r="E525" s="3">
        <v>9921</v>
      </c>
      <c r="F525" t="s">
        <v>12</v>
      </c>
      <c r="G525" t="s">
        <v>12</v>
      </c>
      <c r="H525" s="1">
        <v>2229.5022508564998</v>
      </c>
      <c r="I525" s="1">
        <v>72798.415495153793</v>
      </c>
      <c r="J525" s="1">
        <v>19525.0291986702</v>
      </c>
      <c r="K525" s="1"/>
      <c r="L525" s="1"/>
      <c r="M525" s="1"/>
      <c r="N525" s="1"/>
      <c r="O525" s="1"/>
      <c r="P525" s="1"/>
      <c r="Q525" s="1">
        <v>-65459.796614462102</v>
      </c>
      <c r="R525" s="1">
        <v>169934</v>
      </c>
      <c r="S525" t="s">
        <v>9</v>
      </c>
    </row>
    <row r="526" spans="1:19" x14ac:dyDescent="0.55000000000000004">
      <c r="A526" t="s">
        <v>19</v>
      </c>
      <c r="B526">
        <v>2003</v>
      </c>
      <c r="C526">
        <v>9811</v>
      </c>
      <c r="D526" s="2">
        <v>624</v>
      </c>
      <c r="E526" s="3">
        <v>10435</v>
      </c>
      <c r="F526" t="s">
        <v>12</v>
      </c>
      <c r="G526" t="s">
        <v>12</v>
      </c>
      <c r="H526" s="1">
        <v>593.46000605770598</v>
      </c>
      <c r="I526" s="1">
        <v>15756.496471616099</v>
      </c>
      <c r="J526" s="1">
        <v>5008.1343504415699</v>
      </c>
      <c r="K526" s="1"/>
      <c r="L526" s="1"/>
      <c r="M526" s="1"/>
      <c r="N526" s="1"/>
      <c r="O526" s="1"/>
      <c r="P526" s="1"/>
      <c r="Q526" s="1">
        <v>-10635.0357768382</v>
      </c>
      <c r="R526" s="1">
        <v>42428</v>
      </c>
      <c r="S526" t="s">
        <v>9</v>
      </c>
    </row>
    <row r="527" spans="1:19" x14ac:dyDescent="0.55000000000000004">
      <c r="A527" t="s">
        <v>19</v>
      </c>
      <c r="B527">
        <v>2002</v>
      </c>
      <c r="C527">
        <v>2173</v>
      </c>
      <c r="D527" s="2">
        <v>2508</v>
      </c>
      <c r="E527" s="3">
        <v>4681</v>
      </c>
      <c r="F527" t="s">
        <v>12</v>
      </c>
      <c r="G527" t="s">
        <v>12</v>
      </c>
      <c r="H527" s="1">
        <v>0.21502203099014</v>
      </c>
      <c r="I527" s="1">
        <v>2778.07204169542</v>
      </c>
      <c r="J527" s="1">
        <v>967.41881092394704</v>
      </c>
      <c r="K527" s="1"/>
      <c r="L527" s="1"/>
      <c r="M527" s="1"/>
      <c r="N527" s="1"/>
      <c r="O527" s="1"/>
      <c r="P527" s="1"/>
      <c r="Q527" s="1">
        <v>-1384.07603937976</v>
      </c>
      <c r="R527" s="1">
        <v>9811</v>
      </c>
      <c r="S527" t="s">
        <v>9</v>
      </c>
    </row>
    <row r="528" spans="1:19" x14ac:dyDescent="0.55000000000000004">
      <c r="A528" t="s">
        <v>19</v>
      </c>
      <c r="B528">
        <v>2001</v>
      </c>
      <c r="C528">
        <v>12921</v>
      </c>
      <c r="D528" s="2">
        <v>408</v>
      </c>
      <c r="E528" s="3">
        <v>13329</v>
      </c>
      <c r="F528" t="s">
        <v>12</v>
      </c>
      <c r="G528" t="s">
        <v>12</v>
      </c>
      <c r="H528" s="1">
        <v>33.343088396391998</v>
      </c>
      <c r="I528" s="1">
        <v>2571.9873440040601</v>
      </c>
      <c r="J528" s="1">
        <v>2459.0826301144798</v>
      </c>
      <c r="K528" s="1"/>
      <c r="L528" s="1"/>
      <c r="M528" s="1"/>
      <c r="N528" s="1"/>
      <c r="O528" s="1"/>
      <c r="P528" s="1"/>
      <c r="Q528" s="1">
        <v>-9739.9528212393798</v>
      </c>
      <c r="R528" s="1">
        <v>28133</v>
      </c>
      <c r="S528" t="s">
        <v>9</v>
      </c>
    </row>
    <row r="529" spans="1:19" x14ac:dyDescent="0.55000000000000004">
      <c r="A529" t="s">
        <v>19</v>
      </c>
      <c r="B529">
        <v>2000</v>
      </c>
      <c r="C529">
        <v>88647</v>
      </c>
      <c r="D529" s="2">
        <v>742</v>
      </c>
      <c r="E529" s="3">
        <v>89389</v>
      </c>
      <c r="F529" t="s">
        <v>12</v>
      </c>
      <c r="G529" t="s">
        <v>12</v>
      </c>
      <c r="H529" s="1">
        <v>104.817849468088</v>
      </c>
      <c r="I529" s="1">
        <v>58381.528883032501</v>
      </c>
      <c r="J529" s="1">
        <v>23764.545153178002</v>
      </c>
      <c r="K529" s="1"/>
      <c r="L529" s="1"/>
      <c r="M529" s="1"/>
      <c r="N529" s="1"/>
      <c r="O529" s="1"/>
      <c r="P529" s="1"/>
      <c r="Q529" s="1">
        <v>5629.5696195561804</v>
      </c>
      <c r="R529" s="1">
        <v>171640</v>
      </c>
      <c r="S529" t="s">
        <v>9</v>
      </c>
    </row>
    <row r="530" spans="1:19" x14ac:dyDescent="0.55000000000000004">
      <c r="A530" t="s">
        <v>19</v>
      </c>
      <c r="B530">
        <v>1999</v>
      </c>
      <c r="C530">
        <v>4135</v>
      </c>
      <c r="D530" s="2">
        <v>372</v>
      </c>
      <c r="E530" s="3">
        <v>4507</v>
      </c>
      <c r="F530" t="s">
        <v>12</v>
      </c>
      <c r="G530" t="s">
        <v>12</v>
      </c>
      <c r="H530" s="1">
        <v>1.33318772943646</v>
      </c>
      <c r="I530" s="1">
        <v>2788.2857791667502</v>
      </c>
      <c r="J530" s="1">
        <v>5870.1404662425603</v>
      </c>
      <c r="K530" s="1"/>
      <c r="L530" s="1"/>
      <c r="M530" s="1"/>
      <c r="N530" s="1"/>
      <c r="O530" s="1"/>
      <c r="P530" s="1"/>
      <c r="Q530" s="1">
        <v>-26119.3332606041</v>
      </c>
      <c r="R530" s="1">
        <v>39286</v>
      </c>
      <c r="S530" t="s">
        <v>9</v>
      </c>
    </row>
    <row r="531" spans="1:19" x14ac:dyDescent="0.55000000000000004">
      <c r="A531" t="s">
        <v>19</v>
      </c>
      <c r="B531">
        <v>1998</v>
      </c>
      <c r="C531">
        <v>7248</v>
      </c>
      <c r="D531" s="2">
        <v>1477</v>
      </c>
      <c r="E531" s="3">
        <v>8725</v>
      </c>
      <c r="F531" t="s">
        <v>12</v>
      </c>
      <c r="G531" t="s">
        <v>12</v>
      </c>
      <c r="H531" s="1">
        <v>161.457182907587</v>
      </c>
      <c r="I531" s="1">
        <v>4356.7105138022398</v>
      </c>
      <c r="J531" s="1">
        <v>3445.47968042204</v>
      </c>
      <c r="K531" s="1"/>
      <c r="L531" s="1"/>
      <c r="M531" s="1"/>
      <c r="N531" s="1"/>
      <c r="O531" s="1"/>
      <c r="P531" s="1"/>
      <c r="Q531" s="1">
        <v>-5664.6488640613297</v>
      </c>
      <c r="R531" s="1">
        <v>22353</v>
      </c>
      <c r="S531" t="s">
        <v>9</v>
      </c>
    </row>
    <row r="532" spans="1:19" x14ac:dyDescent="0.55000000000000004">
      <c r="A532" t="s">
        <v>19</v>
      </c>
      <c r="B532">
        <v>1997</v>
      </c>
      <c r="C532">
        <v>6498</v>
      </c>
      <c r="D532" s="2">
        <v>369</v>
      </c>
      <c r="E532" s="3">
        <v>6867</v>
      </c>
      <c r="F532" t="s">
        <v>12</v>
      </c>
      <c r="G532" t="s">
        <v>12</v>
      </c>
      <c r="H532" s="1">
        <v>1287.38739247939</v>
      </c>
      <c r="I532" s="1">
        <v>37662.590231535301</v>
      </c>
      <c r="J532" s="1">
        <v>5181.2391618399797</v>
      </c>
      <c r="K532" s="1"/>
      <c r="L532" s="1"/>
      <c r="M532" s="1"/>
      <c r="N532" s="1"/>
      <c r="O532" s="1"/>
      <c r="P532" s="1"/>
      <c r="Q532" s="1">
        <v>-32955.040007383999</v>
      </c>
      <c r="R532" s="1">
        <v>83953</v>
      </c>
      <c r="S532" t="s">
        <v>9</v>
      </c>
    </row>
    <row r="533" spans="1:19" x14ac:dyDescent="0.55000000000000004">
      <c r="A533" t="s">
        <v>19</v>
      </c>
      <c r="B533">
        <v>1996</v>
      </c>
      <c r="C533">
        <v>99998</v>
      </c>
      <c r="D533" s="2">
        <v>455</v>
      </c>
      <c r="E533" s="3">
        <v>100453</v>
      </c>
      <c r="F533" t="s">
        <v>12</v>
      </c>
      <c r="G533" t="s">
        <v>12</v>
      </c>
      <c r="H533" s="1">
        <v>5.1864469299179898</v>
      </c>
      <c r="I533" s="1">
        <v>33450.780468850098</v>
      </c>
      <c r="J533" s="1">
        <v>38073.123862328597</v>
      </c>
      <c r="K533" s="1"/>
      <c r="L533" s="1"/>
      <c r="M533" s="1"/>
      <c r="N533" s="1"/>
      <c r="O533" s="1"/>
      <c r="P533" s="1"/>
      <c r="Q533" s="1">
        <v>-73917.305923126594</v>
      </c>
      <c r="R533" s="1">
        <v>245899</v>
      </c>
      <c r="S533" t="s">
        <v>9</v>
      </c>
    </row>
    <row r="534" spans="1:19" x14ac:dyDescent="0.55000000000000004">
      <c r="A534" t="s">
        <v>19</v>
      </c>
      <c r="B534">
        <v>1995</v>
      </c>
      <c r="C534">
        <v>7181</v>
      </c>
      <c r="D534" s="2">
        <v>10617</v>
      </c>
      <c r="E534" s="3">
        <v>17798</v>
      </c>
      <c r="F534" t="s">
        <v>12</v>
      </c>
      <c r="G534" t="s">
        <v>12</v>
      </c>
      <c r="H534" s="1">
        <v>1.5134223028805E-15</v>
      </c>
      <c r="I534" s="1">
        <v>4627.7680874324797</v>
      </c>
      <c r="J534" s="1">
        <v>3584.7872793687502</v>
      </c>
      <c r="K534" s="1"/>
      <c r="L534" s="1"/>
      <c r="M534" s="1"/>
      <c r="N534" s="1"/>
      <c r="O534" s="1"/>
      <c r="P534" s="1"/>
      <c r="Q534" s="1">
        <v>4059.8996343460499</v>
      </c>
      <c r="R534" s="1">
        <v>26011</v>
      </c>
      <c r="S534" t="s">
        <v>9</v>
      </c>
    </row>
    <row r="535" spans="1:19" x14ac:dyDescent="0.55000000000000004">
      <c r="A535" t="s">
        <v>19</v>
      </c>
      <c r="B535">
        <v>1994</v>
      </c>
      <c r="C535">
        <v>3411</v>
      </c>
      <c r="D535" s="2">
        <v>947</v>
      </c>
      <c r="E535" s="3">
        <v>4358</v>
      </c>
      <c r="F535" t="s">
        <v>12</v>
      </c>
      <c r="G535" t="s">
        <v>12</v>
      </c>
      <c r="H535" s="1">
        <v>5.2229999999999999</v>
      </c>
      <c r="I535" s="1">
        <v>10060.5632483717</v>
      </c>
      <c r="J535" s="1">
        <v>9971.1479977855706</v>
      </c>
      <c r="K535" s="1"/>
      <c r="L535" s="1"/>
      <c r="M535" s="1"/>
      <c r="N535" s="1"/>
      <c r="O535" s="1"/>
      <c r="P535" s="1"/>
      <c r="Q535" s="1">
        <v>-22273.382706438799</v>
      </c>
      <c r="R535" s="1">
        <v>46668</v>
      </c>
      <c r="S535" t="s">
        <v>9</v>
      </c>
    </row>
    <row r="536" spans="1:19" x14ac:dyDescent="0.55000000000000004">
      <c r="A536" t="s">
        <v>19</v>
      </c>
      <c r="B536">
        <v>1993</v>
      </c>
      <c r="C536">
        <v>17952</v>
      </c>
      <c r="D536" s="2">
        <v>676</v>
      </c>
      <c r="E536" s="3">
        <v>18628</v>
      </c>
      <c r="F536" t="s">
        <v>12</v>
      </c>
      <c r="G536" t="s">
        <v>12</v>
      </c>
      <c r="H536" s="1">
        <v>368.92683113204401</v>
      </c>
      <c r="I536" s="1">
        <v>25866.515541476201</v>
      </c>
      <c r="J536" s="1">
        <v>2214.42973826551</v>
      </c>
      <c r="K536" s="1"/>
      <c r="L536" s="1"/>
      <c r="M536" s="1"/>
      <c r="N536" s="1"/>
      <c r="O536" s="1"/>
      <c r="P536" s="1"/>
      <c r="Q536" s="1">
        <v>-12424.705787586399</v>
      </c>
      <c r="R536" s="1">
        <v>59503</v>
      </c>
      <c r="S536" t="s">
        <v>9</v>
      </c>
    </row>
    <row r="537" spans="1:19" x14ac:dyDescent="0.55000000000000004">
      <c r="A537" t="s">
        <v>19</v>
      </c>
      <c r="B537">
        <v>1992</v>
      </c>
      <c r="C537">
        <v>41747</v>
      </c>
      <c r="D537" s="2">
        <v>4902</v>
      </c>
      <c r="E537" s="3">
        <v>46649</v>
      </c>
      <c r="F537" t="s">
        <v>12</v>
      </c>
      <c r="G537" t="s">
        <v>12</v>
      </c>
      <c r="H537" s="1">
        <v>980.21006395349298</v>
      </c>
      <c r="I537" s="1">
        <v>155848.182449877</v>
      </c>
      <c r="J537" s="1">
        <v>102620.646325354</v>
      </c>
      <c r="K537" s="1"/>
      <c r="L537" s="1"/>
      <c r="M537" s="1"/>
      <c r="N537" s="1"/>
      <c r="O537" s="1"/>
      <c r="P537" s="1"/>
      <c r="Q537" s="1">
        <v>-10353.008745584501</v>
      </c>
      <c r="R537" s="1">
        <v>316451</v>
      </c>
      <c r="S537" t="s">
        <v>9</v>
      </c>
    </row>
    <row r="538" spans="1:19" x14ac:dyDescent="0.55000000000000004">
      <c r="A538" t="s">
        <v>19</v>
      </c>
      <c r="B538">
        <v>1991</v>
      </c>
      <c r="C538">
        <v>9040</v>
      </c>
      <c r="D538" s="2">
        <v>8629</v>
      </c>
      <c r="E538" s="3">
        <v>17669</v>
      </c>
      <c r="F538" t="s">
        <v>12</v>
      </c>
      <c r="G538" t="s">
        <v>12</v>
      </c>
      <c r="H538" s="1">
        <v>0</v>
      </c>
      <c r="I538" s="1">
        <v>11724.032678694801</v>
      </c>
      <c r="J538" s="1">
        <v>2989.6451577683201</v>
      </c>
      <c r="K538" s="1"/>
      <c r="L538" s="1"/>
      <c r="M538" s="1"/>
      <c r="N538" s="1"/>
      <c r="O538" s="1"/>
      <c r="P538" s="1"/>
      <c r="Q538" s="1">
        <v>6346.7079899731598</v>
      </c>
      <c r="R538" s="1">
        <v>32383</v>
      </c>
      <c r="S538" t="s">
        <v>9</v>
      </c>
    </row>
    <row r="539" spans="1:19" x14ac:dyDescent="0.55000000000000004">
      <c r="A539" t="s">
        <v>19</v>
      </c>
      <c r="B539">
        <v>1990</v>
      </c>
      <c r="C539">
        <v>5374</v>
      </c>
      <c r="D539" s="2">
        <v>1513</v>
      </c>
      <c r="E539" s="3">
        <v>6887</v>
      </c>
      <c r="F539" t="s">
        <v>12</v>
      </c>
      <c r="G539" t="s">
        <v>12</v>
      </c>
      <c r="H539" s="1">
        <v>19.488491876209999</v>
      </c>
      <c r="I539" s="1">
        <v>16132.393018844599</v>
      </c>
      <c r="J539" s="1">
        <v>11172</v>
      </c>
      <c r="K539" s="1"/>
      <c r="L539" s="1"/>
      <c r="M539" s="1"/>
      <c r="N539" s="1"/>
      <c r="O539" s="1"/>
      <c r="P539" s="1"/>
      <c r="Q539" s="1">
        <v>-30151.135578332702</v>
      </c>
      <c r="R539" s="1">
        <v>64362</v>
      </c>
      <c r="S539" t="s">
        <v>9</v>
      </c>
    </row>
    <row r="540" spans="1:19" x14ac:dyDescent="0.55000000000000004">
      <c r="A540" t="s">
        <v>19</v>
      </c>
      <c r="B540">
        <v>1989</v>
      </c>
      <c r="C540">
        <v>16963</v>
      </c>
      <c r="D540" s="2">
        <v>2709</v>
      </c>
      <c r="E540" s="3">
        <v>19672</v>
      </c>
      <c r="F540" t="s">
        <v>12</v>
      </c>
      <c r="G540" t="s">
        <v>12</v>
      </c>
      <c r="H540" s="1">
        <v>307.16206138284298</v>
      </c>
      <c r="I540" s="1">
        <v>115249.841090763</v>
      </c>
      <c r="J540" s="1">
        <v>6833</v>
      </c>
      <c r="K540" s="1"/>
      <c r="L540" s="1"/>
      <c r="M540" s="1"/>
      <c r="N540" s="1"/>
      <c r="O540" s="1"/>
      <c r="P540" s="1"/>
      <c r="Q540" s="1">
        <v>-43251.644252233396</v>
      </c>
      <c r="R540" s="1">
        <v>185314</v>
      </c>
      <c r="S540" t="s">
        <v>9</v>
      </c>
    </row>
    <row r="541" spans="1:19" x14ac:dyDescent="0.55000000000000004">
      <c r="A541" t="s">
        <v>19</v>
      </c>
      <c r="B541">
        <v>1988</v>
      </c>
      <c r="C541">
        <v>44913</v>
      </c>
      <c r="D541" s="2">
        <v>5444</v>
      </c>
      <c r="E541" s="3">
        <v>50357</v>
      </c>
      <c r="F541" t="s">
        <v>12</v>
      </c>
      <c r="G541" t="s">
        <v>12</v>
      </c>
      <c r="H541" s="1">
        <v>0</v>
      </c>
      <c r="I541" s="1">
        <v>56120.199315883197</v>
      </c>
      <c r="J541" s="1">
        <v>15194.244166407399</v>
      </c>
      <c r="K541" s="1"/>
      <c r="L541" s="1"/>
      <c r="M541" s="1"/>
      <c r="N541" s="1"/>
      <c r="O541" s="1"/>
      <c r="P541" s="1"/>
      <c r="Q541" s="1">
        <v>9715.1428370099293</v>
      </c>
      <c r="R541" s="1">
        <v>121671</v>
      </c>
      <c r="S541" t="s">
        <v>9</v>
      </c>
    </row>
    <row r="542" spans="1:19" x14ac:dyDescent="0.55000000000000004">
      <c r="A542" t="s">
        <v>19</v>
      </c>
      <c r="B542">
        <v>1987</v>
      </c>
      <c r="C542">
        <v>9417</v>
      </c>
      <c r="D542" s="2">
        <v>405</v>
      </c>
      <c r="E542" s="3">
        <v>9822</v>
      </c>
      <c r="F542" t="s">
        <v>12</v>
      </c>
      <c r="G542" t="s">
        <v>12</v>
      </c>
      <c r="H542" s="1">
        <v>0</v>
      </c>
      <c r="I542" s="1">
        <v>13207.9048156023</v>
      </c>
      <c r="J542" s="1">
        <v>2506</v>
      </c>
      <c r="K542" s="1"/>
      <c r="L542" s="1"/>
      <c r="M542" s="1"/>
      <c r="N542" s="1"/>
      <c r="O542" s="1"/>
      <c r="P542" s="1"/>
      <c r="Q542" s="1">
        <v>-2572.4575380169599</v>
      </c>
      <c r="R542" s="1">
        <v>28108</v>
      </c>
      <c r="S542" t="s">
        <v>9</v>
      </c>
    </row>
    <row r="543" spans="1:19" x14ac:dyDescent="0.55000000000000004">
      <c r="A543" t="s">
        <v>19</v>
      </c>
      <c r="B543">
        <v>1986</v>
      </c>
      <c r="C543">
        <v>3572</v>
      </c>
      <c r="D543" s="2">
        <v>1244</v>
      </c>
      <c r="E543" s="3">
        <v>4816</v>
      </c>
      <c r="F543" t="s">
        <v>12</v>
      </c>
      <c r="G543" t="s">
        <v>12</v>
      </c>
      <c r="H543" s="1">
        <v>0</v>
      </c>
      <c r="I543" s="1">
        <v>2863.2845405389598</v>
      </c>
      <c r="J543" s="1">
        <v>3060.0660063883602</v>
      </c>
      <c r="K543" s="1"/>
      <c r="L543" s="1"/>
      <c r="M543" s="1"/>
      <c r="N543" s="1"/>
      <c r="O543" s="1"/>
      <c r="P543" s="1"/>
      <c r="Q543" s="1">
        <v>-849.82061062147</v>
      </c>
      <c r="R543" s="1">
        <v>11589</v>
      </c>
      <c r="S543" t="s">
        <v>9</v>
      </c>
    </row>
    <row r="544" spans="1:19" x14ac:dyDescent="0.55000000000000004">
      <c r="A544" t="s">
        <v>19</v>
      </c>
      <c r="B544">
        <v>1985</v>
      </c>
      <c r="C544">
        <v>4578</v>
      </c>
      <c r="D544" s="2">
        <v>1226</v>
      </c>
      <c r="E544" s="3">
        <v>5804</v>
      </c>
      <c r="F544" t="s">
        <v>12</v>
      </c>
      <c r="G544" t="s">
        <v>12</v>
      </c>
      <c r="H544" s="1">
        <v>0</v>
      </c>
      <c r="I544" s="1">
        <v>10846.2082876393</v>
      </c>
      <c r="J544" s="1">
        <v>4051.2749221435001</v>
      </c>
      <c r="K544" s="1"/>
      <c r="L544" s="1"/>
      <c r="M544" s="1"/>
      <c r="N544" s="1"/>
      <c r="O544" s="1"/>
      <c r="P544" s="1"/>
      <c r="Q544" s="1">
        <v>5750.5741518439499</v>
      </c>
      <c r="R544" s="1">
        <v>20701</v>
      </c>
      <c r="S544" t="s">
        <v>9</v>
      </c>
    </row>
    <row r="545" spans="1:19" x14ac:dyDescent="0.55000000000000004">
      <c r="A545" t="s">
        <v>19</v>
      </c>
      <c r="B545">
        <v>1984</v>
      </c>
      <c r="C545">
        <v>28899</v>
      </c>
      <c r="D545" s="2">
        <v>173</v>
      </c>
      <c r="E545" s="3">
        <v>29072</v>
      </c>
      <c r="F545" t="s">
        <v>12</v>
      </c>
      <c r="G545" t="s">
        <v>12</v>
      </c>
      <c r="H545" s="1">
        <v>0</v>
      </c>
      <c r="I545" s="1">
        <v>43019.322600797699</v>
      </c>
      <c r="J545" s="1">
        <v>10243.8347928969</v>
      </c>
      <c r="K545" s="1"/>
      <c r="L545" s="1"/>
      <c r="M545" s="1"/>
      <c r="N545" s="1"/>
      <c r="O545" s="1"/>
      <c r="P545" s="1"/>
      <c r="Q545" s="1">
        <v>-1857.9712960069801</v>
      </c>
      <c r="R545" s="1">
        <v>84193</v>
      </c>
      <c r="S545" t="s">
        <v>9</v>
      </c>
    </row>
    <row r="546" spans="1:19" x14ac:dyDescent="0.55000000000000004">
      <c r="A546" t="s">
        <v>19</v>
      </c>
      <c r="B546">
        <v>1983</v>
      </c>
      <c r="C546">
        <v>7384</v>
      </c>
      <c r="D546" s="2">
        <v>1041</v>
      </c>
      <c r="E546" s="3">
        <v>8425</v>
      </c>
      <c r="F546" t="s">
        <v>12</v>
      </c>
      <c r="G546" t="s">
        <v>12</v>
      </c>
      <c r="H546" s="1">
        <v>1.8282340385273701</v>
      </c>
      <c r="I546" s="1">
        <v>10293.010824320299</v>
      </c>
      <c r="J546" s="1">
        <v>4333.3522706633803</v>
      </c>
      <c r="K546" s="1"/>
      <c r="L546" s="1"/>
      <c r="M546" s="1"/>
      <c r="N546" s="1"/>
      <c r="O546" s="1"/>
      <c r="P546" s="1"/>
      <c r="Q546" s="1">
        <v>1143.30361696605</v>
      </c>
      <c r="R546" s="1">
        <v>23053</v>
      </c>
      <c r="S546" t="s">
        <v>9</v>
      </c>
    </row>
    <row r="547" spans="1:19" x14ac:dyDescent="0.55000000000000004">
      <c r="A547" t="s">
        <v>19</v>
      </c>
      <c r="B547">
        <v>1982</v>
      </c>
      <c r="C547">
        <v>930</v>
      </c>
      <c r="D547" s="2">
        <v>1279</v>
      </c>
      <c r="E547" s="3">
        <v>2209</v>
      </c>
      <c r="F547" t="s">
        <v>12</v>
      </c>
      <c r="G547" t="s">
        <v>12</v>
      </c>
      <c r="H547" s="1"/>
      <c r="I547" s="1">
        <v>7269.2759205432903</v>
      </c>
      <c r="J547" s="1">
        <v>2099.3373529380401</v>
      </c>
      <c r="K547" s="1"/>
      <c r="L547" s="1"/>
      <c r="M547" s="1"/>
      <c r="N547" s="1"/>
      <c r="O547" s="1"/>
      <c r="P547" s="1"/>
      <c r="Q547" s="1">
        <v>1457.7294901917901</v>
      </c>
      <c r="R547" s="1">
        <v>11578</v>
      </c>
      <c r="S547" t="s">
        <v>9</v>
      </c>
    </row>
    <row r="548" spans="1:19" x14ac:dyDescent="0.55000000000000004">
      <c r="A548" t="s">
        <v>19</v>
      </c>
      <c r="B548">
        <v>1981</v>
      </c>
      <c r="C548">
        <v>4670</v>
      </c>
      <c r="D548" s="2">
        <v>139</v>
      </c>
      <c r="E548" s="3">
        <v>4809</v>
      </c>
      <c r="F548" t="s">
        <v>12</v>
      </c>
      <c r="G548" t="s">
        <v>12</v>
      </c>
      <c r="H548" s="1"/>
      <c r="I548" s="1">
        <v>20902.801138270501</v>
      </c>
      <c r="J548" s="1">
        <v>3658.1305403438901</v>
      </c>
      <c r="K548" s="1"/>
      <c r="L548" s="1"/>
      <c r="M548" s="1"/>
      <c r="N548" s="1"/>
      <c r="O548" s="1"/>
      <c r="P548" s="1"/>
      <c r="Q548" s="1">
        <v>-10353.3793763905</v>
      </c>
      <c r="R548" s="1">
        <v>39723</v>
      </c>
      <c r="S548" t="s">
        <v>9</v>
      </c>
    </row>
    <row r="549" spans="1:19" x14ac:dyDescent="0.55000000000000004">
      <c r="A549" t="s">
        <v>19</v>
      </c>
      <c r="B549">
        <v>1980</v>
      </c>
      <c r="C549">
        <v>25088</v>
      </c>
      <c r="D549" s="2">
        <v>406</v>
      </c>
      <c r="E549" s="3">
        <v>25494</v>
      </c>
      <c r="F549" t="s">
        <v>12</v>
      </c>
      <c r="G549" t="s">
        <v>12</v>
      </c>
      <c r="H549" s="1"/>
      <c r="I549" s="1">
        <v>31169.118603556399</v>
      </c>
      <c r="J549" s="1">
        <v>8134.1296140043996</v>
      </c>
      <c r="K549" s="1"/>
      <c r="L549" s="1"/>
      <c r="M549" s="1"/>
      <c r="N549" s="1"/>
      <c r="O549" s="1"/>
      <c r="P549" s="1"/>
      <c r="Q549" s="1">
        <v>-19020.8377361944</v>
      </c>
      <c r="R549" s="1">
        <v>83818</v>
      </c>
      <c r="S549" t="s">
        <v>9</v>
      </c>
    </row>
    <row r="550" spans="1:19" x14ac:dyDescent="0.55000000000000004">
      <c r="A550" t="s">
        <v>19</v>
      </c>
      <c r="B550">
        <v>1979</v>
      </c>
      <c r="C550">
        <v>3828</v>
      </c>
      <c r="D550" s="2">
        <v>1197</v>
      </c>
      <c r="E550" s="3">
        <v>5025</v>
      </c>
      <c r="F550" t="s">
        <v>12</v>
      </c>
      <c r="G550" t="s">
        <v>12</v>
      </c>
      <c r="H550" s="1"/>
      <c r="I550" s="1">
        <v>13660.1711902404</v>
      </c>
      <c r="J550" s="1">
        <v>1805.1718142674799</v>
      </c>
      <c r="K550" s="1"/>
      <c r="L550" s="1"/>
      <c r="M550" s="1"/>
      <c r="N550" s="1"/>
      <c r="O550" s="1"/>
      <c r="P550" s="1"/>
      <c r="Q550" s="1">
        <v>-1072.2765033276901</v>
      </c>
      <c r="R550" s="1">
        <v>21563</v>
      </c>
      <c r="S550" t="s">
        <v>9</v>
      </c>
    </row>
    <row r="551" spans="1:19" x14ac:dyDescent="0.55000000000000004">
      <c r="A551" t="s">
        <v>19</v>
      </c>
      <c r="B551">
        <v>1978</v>
      </c>
      <c r="C551">
        <v>258</v>
      </c>
      <c r="D551" s="2">
        <v>2312</v>
      </c>
      <c r="E551" s="3">
        <v>2570</v>
      </c>
      <c r="F551" t="s">
        <v>12</v>
      </c>
      <c r="G551" t="s">
        <v>12</v>
      </c>
      <c r="H551" s="1"/>
      <c r="I551" s="1">
        <v>3158.54722082322</v>
      </c>
      <c r="J551" s="1">
        <v>230.69330142461601</v>
      </c>
      <c r="K551" s="1"/>
      <c r="L551" s="1"/>
      <c r="M551" s="1"/>
      <c r="N551" s="1"/>
      <c r="O551" s="1"/>
      <c r="P551" s="1"/>
      <c r="Q551" s="1">
        <v>1717.7785164577599</v>
      </c>
      <c r="R551" s="1">
        <v>5959</v>
      </c>
      <c r="S551" t="s">
        <v>9</v>
      </c>
    </row>
    <row r="552" spans="1:19" x14ac:dyDescent="0.55000000000000004">
      <c r="A552" t="s">
        <v>19</v>
      </c>
      <c r="B552">
        <v>1977</v>
      </c>
      <c r="C552">
        <v>2582</v>
      </c>
      <c r="D552" s="2">
        <v>307</v>
      </c>
      <c r="E552" s="3">
        <v>2889</v>
      </c>
      <c r="F552" t="s">
        <v>12</v>
      </c>
      <c r="G552" t="s">
        <v>12</v>
      </c>
      <c r="H552" s="1"/>
      <c r="I552" s="1">
        <v>8242.5306353262004</v>
      </c>
      <c r="J552" s="1">
        <v>592.58850385974199</v>
      </c>
      <c r="K552" s="1"/>
      <c r="L552" s="1"/>
      <c r="M552" s="1"/>
      <c r="N552" s="1"/>
      <c r="O552" s="1"/>
      <c r="P552" s="1"/>
      <c r="Q552" s="1">
        <v>2708.16436481043</v>
      </c>
      <c r="R552" s="1">
        <v>11724</v>
      </c>
      <c r="S552" t="s">
        <v>9</v>
      </c>
    </row>
    <row r="553" spans="1:19" x14ac:dyDescent="0.55000000000000004">
      <c r="A553" t="s">
        <v>19</v>
      </c>
      <c r="B553">
        <v>1976</v>
      </c>
      <c r="C553">
        <v>17133</v>
      </c>
      <c r="D553" s="2">
        <v>611</v>
      </c>
      <c r="E553" s="3">
        <v>17744</v>
      </c>
      <c r="F553" t="s">
        <v>12</v>
      </c>
      <c r="G553" t="s">
        <v>12</v>
      </c>
      <c r="H553" s="1"/>
      <c r="I553" s="1">
        <v>106259</v>
      </c>
      <c r="J553" s="1">
        <v>5378</v>
      </c>
      <c r="K553" s="1"/>
      <c r="L553" s="1"/>
      <c r="M553" s="1"/>
      <c r="N553" s="1"/>
      <c r="O553" s="1"/>
      <c r="P553" s="1"/>
      <c r="Q553" s="1"/>
      <c r="R553" s="1">
        <v>129381</v>
      </c>
      <c r="S553" t="s">
        <v>12</v>
      </c>
    </row>
    <row r="554" spans="1:19" x14ac:dyDescent="0.55000000000000004">
      <c r="A554" t="s">
        <v>19</v>
      </c>
      <c r="B554">
        <v>1975</v>
      </c>
      <c r="C554">
        <v>1982</v>
      </c>
      <c r="D554" s="2">
        <v>2574</v>
      </c>
      <c r="E554" s="3">
        <v>4556</v>
      </c>
      <c r="F554" t="s">
        <v>12</v>
      </c>
      <c r="G554" t="s">
        <v>12</v>
      </c>
      <c r="H554" s="1"/>
      <c r="I554" s="1">
        <v>6737</v>
      </c>
      <c r="J554" s="1">
        <v>608</v>
      </c>
      <c r="K554" s="1"/>
      <c r="L554" s="1"/>
      <c r="M554" s="1"/>
      <c r="N554" s="1"/>
      <c r="O554" s="1"/>
      <c r="P554" s="1"/>
      <c r="Q554" s="1"/>
      <c r="R554" s="1">
        <v>11901</v>
      </c>
      <c r="S554" t="s">
        <v>11</v>
      </c>
    </row>
    <row r="555" spans="1:19" x14ac:dyDescent="0.55000000000000004">
      <c r="A555" t="s">
        <v>19</v>
      </c>
      <c r="B555">
        <v>1974</v>
      </c>
      <c r="C555">
        <v>70</v>
      </c>
      <c r="D555" s="2">
        <v>1721</v>
      </c>
      <c r="E555" s="3">
        <v>1791</v>
      </c>
      <c r="F555" t="s">
        <v>12</v>
      </c>
      <c r="G555" t="s">
        <v>12</v>
      </c>
      <c r="H555" s="1"/>
      <c r="I555" s="1">
        <v>8069.6437168141601</v>
      </c>
      <c r="J555" s="1">
        <v>611</v>
      </c>
      <c r="K555" s="1"/>
      <c r="L555" s="1"/>
      <c r="M555" s="1"/>
      <c r="N555" s="1"/>
      <c r="O555" s="1"/>
      <c r="P555" s="1"/>
      <c r="Q555" s="1"/>
      <c r="R555" s="1">
        <v>10472</v>
      </c>
      <c r="S555" t="s">
        <v>12</v>
      </c>
    </row>
    <row r="556" spans="1:19" x14ac:dyDescent="0.55000000000000004">
      <c r="A556" t="s">
        <v>19</v>
      </c>
      <c r="B556">
        <v>1973</v>
      </c>
      <c r="C556">
        <v>795</v>
      </c>
      <c r="D556" s="2">
        <v>104</v>
      </c>
      <c r="E556" s="3">
        <v>899</v>
      </c>
      <c r="F556" t="s">
        <v>12</v>
      </c>
      <c r="G556" t="s">
        <v>12</v>
      </c>
      <c r="H556" s="1"/>
      <c r="I556" s="1">
        <v>3199</v>
      </c>
      <c r="J556" s="1">
        <v>119</v>
      </c>
      <c r="K556" s="1"/>
      <c r="L556" s="1"/>
      <c r="M556" s="1"/>
      <c r="N556" s="1"/>
      <c r="O556" s="1"/>
      <c r="P556" s="1"/>
      <c r="Q556" s="1"/>
      <c r="R556" s="1">
        <v>4217</v>
      </c>
      <c r="S556" t="s">
        <v>12</v>
      </c>
    </row>
    <row r="557" spans="1:19" x14ac:dyDescent="0.55000000000000004">
      <c r="A557" t="s">
        <v>19</v>
      </c>
      <c r="B557">
        <v>1972</v>
      </c>
      <c r="C557">
        <v>8323</v>
      </c>
      <c r="D557" s="2">
        <v>246</v>
      </c>
      <c r="E557" s="3">
        <v>8569</v>
      </c>
      <c r="F557" t="s">
        <v>12</v>
      </c>
      <c r="G557" t="s">
        <v>12</v>
      </c>
      <c r="H557" s="1"/>
      <c r="I557" s="1">
        <v>66141</v>
      </c>
      <c r="J557" s="1">
        <v>4966</v>
      </c>
      <c r="K557" s="1"/>
      <c r="L557" s="1"/>
      <c r="M557" s="1"/>
      <c r="N557" s="1"/>
      <c r="O557" s="1"/>
      <c r="P557" s="1"/>
      <c r="Q557" s="1"/>
      <c r="R557" s="1">
        <v>79676</v>
      </c>
      <c r="S557" t="s">
        <v>12</v>
      </c>
    </row>
    <row r="558" spans="1:19" x14ac:dyDescent="0.55000000000000004">
      <c r="A558" t="s">
        <v>19</v>
      </c>
      <c r="B558">
        <v>1971</v>
      </c>
      <c r="C558">
        <v>426</v>
      </c>
      <c r="D558" s="2">
        <v>1873</v>
      </c>
      <c r="E558" s="3">
        <v>2299</v>
      </c>
      <c r="F558" t="s">
        <v>12</v>
      </c>
      <c r="G558" t="s">
        <v>12</v>
      </c>
      <c r="H558" s="1"/>
      <c r="I558" s="1">
        <v>6590</v>
      </c>
      <c r="J558" s="1">
        <v>86</v>
      </c>
      <c r="K558" s="1"/>
      <c r="L558" s="1"/>
      <c r="M558" s="1"/>
      <c r="N558" s="1"/>
      <c r="O558" s="1"/>
      <c r="P558" s="1"/>
      <c r="Q558" s="1"/>
      <c r="R558" s="1">
        <v>8975</v>
      </c>
      <c r="S558" t="s">
        <v>12</v>
      </c>
    </row>
    <row r="559" spans="1:19" x14ac:dyDescent="0.55000000000000004">
      <c r="A559" t="s">
        <v>19</v>
      </c>
      <c r="B559">
        <v>1970</v>
      </c>
      <c r="C559">
        <v>78</v>
      </c>
      <c r="D559" s="2">
        <v>725</v>
      </c>
      <c r="E559" s="3">
        <v>803</v>
      </c>
      <c r="F559" t="s">
        <v>12</v>
      </c>
      <c r="G559" t="s">
        <v>12</v>
      </c>
      <c r="H559" s="1"/>
      <c r="I559" s="1">
        <v>4445.7954449599301</v>
      </c>
      <c r="J559" s="1">
        <v>11</v>
      </c>
      <c r="K559" s="1"/>
      <c r="L559" s="1"/>
      <c r="M559" s="1"/>
      <c r="N559" s="1"/>
      <c r="O559" s="1"/>
      <c r="P559" s="1"/>
      <c r="Q559" s="1"/>
      <c r="R559" s="1">
        <v>5260</v>
      </c>
      <c r="S559" t="s">
        <v>12</v>
      </c>
    </row>
    <row r="560" spans="1:19" x14ac:dyDescent="0.55000000000000004">
      <c r="A560" t="s">
        <v>19</v>
      </c>
      <c r="B560">
        <v>1969</v>
      </c>
      <c r="C560">
        <v>777</v>
      </c>
      <c r="D560" s="2">
        <v>104</v>
      </c>
      <c r="E560" s="3">
        <v>881</v>
      </c>
      <c r="F560" t="s">
        <v>12</v>
      </c>
      <c r="G560" t="s">
        <v>12</v>
      </c>
      <c r="H560" s="1"/>
      <c r="I560" s="1">
        <v>2509</v>
      </c>
      <c r="J560" s="1">
        <v>26</v>
      </c>
      <c r="K560" s="1"/>
      <c r="L560" s="1"/>
      <c r="M560" s="1"/>
      <c r="N560" s="1"/>
      <c r="O560" s="1"/>
      <c r="P560" s="1"/>
      <c r="Q560" s="1"/>
      <c r="R560" s="1">
        <v>3416</v>
      </c>
      <c r="S560" t="s">
        <v>12</v>
      </c>
    </row>
    <row r="561" spans="1:19" x14ac:dyDescent="0.55000000000000004">
      <c r="A561" t="s">
        <v>19</v>
      </c>
      <c r="B561">
        <v>1968</v>
      </c>
      <c r="C561">
        <v>10113</v>
      </c>
      <c r="D561" s="2">
        <v>176</v>
      </c>
      <c r="E561" s="3">
        <v>10289</v>
      </c>
      <c r="F561" t="s">
        <v>12</v>
      </c>
      <c r="G561" t="s">
        <v>12</v>
      </c>
      <c r="H561" s="1"/>
      <c r="I561" s="1">
        <v>85921.653603061801</v>
      </c>
      <c r="J561" s="1">
        <v>4170</v>
      </c>
      <c r="K561" s="1"/>
      <c r="L561" s="1"/>
      <c r="M561" s="1"/>
      <c r="N561" s="1"/>
      <c r="O561" s="1"/>
      <c r="P561" s="1"/>
      <c r="Q561" s="1"/>
      <c r="R561" s="1">
        <v>100381</v>
      </c>
      <c r="S561" t="s">
        <v>12</v>
      </c>
    </row>
    <row r="562" spans="1:19" x14ac:dyDescent="0.55000000000000004">
      <c r="A562" t="s">
        <v>19</v>
      </c>
      <c r="B562">
        <v>1967</v>
      </c>
      <c r="C562">
        <v>1138</v>
      </c>
      <c r="D562" s="2">
        <v>527</v>
      </c>
      <c r="E562" s="3">
        <v>1665</v>
      </c>
      <c r="F562" t="s">
        <v>12</v>
      </c>
      <c r="G562" t="s">
        <v>12</v>
      </c>
      <c r="H562" s="1"/>
      <c r="I562" s="1">
        <v>9834.1310221426993</v>
      </c>
      <c r="J562" s="1">
        <v>120</v>
      </c>
      <c r="K562" s="1"/>
      <c r="L562" s="1"/>
      <c r="M562" s="1"/>
      <c r="N562" s="1"/>
      <c r="O562" s="1"/>
      <c r="P562" s="1"/>
      <c r="Q562" s="1"/>
      <c r="R562" s="1">
        <v>11619</v>
      </c>
      <c r="S562" t="s">
        <v>12</v>
      </c>
    </row>
    <row r="563" spans="1:19" x14ac:dyDescent="0.55000000000000004">
      <c r="A563" t="s">
        <v>19</v>
      </c>
      <c r="B563">
        <v>1966</v>
      </c>
      <c r="C563">
        <v>65</v>
      </c>
      <c r="D563" s="2">
        <v>527</v>
      </c>
      <c r="E563" s="3">
        <v>592</v>
      </c>
      <c r="F563" t="s">
        <v>12</v>
      </c>
      <c r="G563" t="s">
        <v>12</v>
      </c>
      <c r="H563" s="1"/>
      <c r="I563" s="1">
        <v>2412.4862092291701</v>
      </c>
      <c r="J563" s="1">
        <v>12</v>
      </c>
      <c r="K563" s="1"/>
      <c r="L563" s="1"/>
      <c r="M563" s="1"/>
      <c r="N563" s="1"/>
      <c r="O563" s="1"/>
      <c r="P563" s="1"/>
      <c r="Q563" s="1"/>
      <c r="R563" s="1">
        <v>3016</v>
      </c>
      <c r="S563" t="s">
        <v>12</v>
      </c>
    </row>
    <row r="564" spans="1:19" x14ac:dyDescent="0.55000000000000004">
      <c r="A564" t="s">
        <v>19</v>
      </c>
      <c r="B564">
        <v>1965</v>
      </c>
      <c r="C564">
        <v>1642</v>
      </c>
      <c r="D564" s="2">
        <v>37</v>
      </c>
      <c r="E564" s="3">
        <v>1679</v>
      </c>
      <c r="F564" t="s">
        <v>12</v>
      </c>
      <c r="G564" t="s">
        <v>12</v>
      </c>
      <c r="H564" s="1"/>
      <c r="I564" s="1">
        <v>10798.433441552999</v>
      </c>
      <c r="J564" s="1">
        <v>176</v>
      </c>
      <c r="K564" s="1"/>
      <c r="L564" s="1"/>
      <c r="M564" s="1"/>
      <c r="N564" s="1"/>
      <c r="O564" s="1"/>
      <c r="P564" s="1"/>
      <c r="Q564" s="1"/>
      <c r="R564" s="1">
        <v>12653</v>
      </c>
      <c r="S564" t="s">
        <v>12</v>
      </c>
    </row>
    <row r="565" spans="1:19" x14ac:dyDescent="0.55000000000000004">
      <c r="A565" t="s">
        <v>19</v>
      </c>
      <c r="B565">
        <v>1964</v>
      </c>
      <c r="C565">
        <v>19396</v>
      </c>
      <c r="D565" s="2">
        <v>575</v>
      </c>
      <c r="E565" s="3">
        <v>19971</v>
      </c>
      <c r="F565" t="s">
        <v>12</v>
      </c>
      <c r="G565" t="s">
        <v>12</v>
      </c>
      <c r="H565" s="1"/>
      <c r="I565" s="1">
        <v>57475.460901108701</v>
      </c>
      <c r="J565" s="1">
        <v>4281.6982154396801</v>
      </c>
      <c r="K565" s="1"/>
      <c r="L565" s="1"/>
      <c r="M565" s="1"/>
      <c r="N565" s="1"/>
      <c r="O565" s="1"/>
      <c r="P565" s="1"/>
      <c r="Q565" s="1"/>
      <c r="R565" s="1">
        <v>81728</v>
      </c>
      <c r="S565" t="s">
        <v>11</v>
      </c>
    </row>
    <row r="566" spans="1:19" x14ac:dyDescent="0.55000000000000004">
      <c r="A566" t="s">
        <v>19</v>
      </c>
      <c r="B566">
        <v>1963</v>
      </c>
      <c r="C566">
        <v>4113</v>
      </c>
      <c r="D566" s="2">
        <v>745</v>
      </c>
      <c r="E566" s="3">
        <v>4858</v>
      </c>
      <c r="F566" t="s">
        <v>12</v>
      </c>
      <c r="G566" t="s">
        <v>12</v>
      </c>
      <c r="H566" s="1"/>
      <c r="I566" s="1">
        <v>4575.4857855133896</v>
      </c>
      <c r="J566" s="1">
        <v>316.40740041532899</v>
      </c>
      <c r="K566" s="1"/>
      <c r="L566" s="1"/>
      <c r="M566" s="1"/>
      <c r="N566" s="1"/>
      <c r="O566" s="1"/>
      <c r="P566" s="1"/>
      <c r="Q566" s="1"/>
      <c r="R566" s="1">
        <v>9750</v>
      </c>
      <c r="S566" t="s">
        <v>12</v>
      </c>
    </row>
    <row r="567" spans="1:19" x14ac:dyDescent="0.55000000000000004">
      <c r="A567" t="s">
        <v>19</v>
      </c>
      <c r="B567">
        <v>1962</v>
      </c>
      <c r="C567">
        <v>159</v>
      </c>
      <c r="D567" s="2">
        <v>887</v>
      </c>
      <c r="E567" s="3">
        <v>1046</v>
      </c>
      <c r="F567" t="s">
        <v>12</v>
      </c>
      <c r="G567" t="s">
        <v>12</v>
      </c>
      <c r="H567" s="1"/>
      <c r="I567" s="1">
        <v>572.21082424937902</v>
      </c>
      <c r="J567" s="1">
        <v>20</v>
      </c>
      <c r="K567" s="1"/>
      <c r="L567" s="1"/>
      <c r="M567" s="1"/>
      <c r="N567" s="1"/>
      <c r="O567" s="1"/>
      <c r="P567" s="1"/>
      <c r="Q567" s="1"/>
      <c r="R567" s="1">
        <v>1638</v>
      </c>
      <c r="S567" t="s">
        <v>12</v>
      </c>
    </row>
    <row r="568" spans="1:19" x14ac:dyDescent="0.55000000000000004">
      <c r="A568" t="s">
        <v>19</v>
      </c>
      <c r="B568">
        <v>1961</v>
      </c>
      <c r="C568">
        <v>248</v>
      </c>
      <c r="D568" s="2">
        <v>4</v>
      </c>
      <c r="E568" s="3">
        <v>252</v>
      </c>
      <c r="F568" t="s">
        <v>12</v>
      </c>
      <c r="G568" t="s">
        <v>12</v>
      </c>
      <c r="H568" s="1"/>
      <c r="I568" s="1">
        <v>1618</v>
      </c>
      <c r="J568" s="1">
        <v>24</v>
      </c>
      <c r="K568" s="1"/>
      <c r="L568" s="1"/>
      <c r="M568" s="1"/>
      <c r="N568" s="1"/>
      <c r="O568" s="1"/>
      <c r="P568" s="1"/>
      <c r="Q568" s="1"/>
      <c r="R568" s="1">
        <v>1894</v>
      </c>
      <c r="S568" t="s">
        <v>12</v>
      </c>
    </row>
    <row r="569" spans="1:19" x14ac:dyDescent="0.55000000000000004">
      <c r="A569" t="s">
        <v>19</v>
      </c>
      <c r="B569">
        <v>1960</v>
      </c>
      <c r="C569">
        <v>5413</v>
      </c>
      <c r="D569" s="2">
        <v>36</v>
      </c>
      <c r="E569" s="3">
        <v>5449</v>
      </c>
      <c r="F569" t="s">
        <v>12</v>
      </c>
      <c r="G569" t="s">
        <v>12</v>
      </c>
      <c r="H569" s="1"/>
      <c r="I569" s="1">
        <v>8123</v>
      </c>
      <c r="J569" s="1">
        <v>391</v>
      </c>
      <c r="K569" s="1"/>
      <c r="L569" s="1"/>
      <c r="M569" s="1"/>
      <c r="N569" s="1"/>
      <c r="O569" s="1"/>
      <c r="P569" s="1"/>
      <c r="Q569" s="1"/>
      <c r="R569" s="1">
        <v>13963</v>
      </c>
      <c r="S569" t="s">
        <v>11</v>
      </c>
    </row>
    <row r="570" spans="1:19" x14ac:dyDescent="0.55000000000000004">
      <c r="A570" t="s">
        <v>19</v>
      </c>
      <c r="B570">
        <v>1959</v>
      </c>
      <c r="C570">
        <v>582</v>
      </c>
      <c r="D570" s="2">
        <v>286</v>
      </c>
      <c r="E570" s="3">
        <v>868</v>
      </c>
      <c r="F570" t="s">
        <v>12</v>
      </c>
      <c r="G570" t="s">
        <v>12</v>
      </c>
      <c r="H570" s="1"/>
      <c r="I570" s="1">
        <v>1907</v>
      </c>
      <c r="J570" s="1">
        <v>19</v>
      </c>
      <c r="K570" s="1"/>
      <c r="L570" s="1"/>
      <c r="M570" s="1"/>
      <c r="N570" s="1"/>
      <c r="O570" s="1"/>
      <c r="P570" s="1"/>
      <c r="Q570" s="1"/>
      <c r="R570" s="1">
        <v>2794</v>
      </c>
      <c r="S570" t="s">
        <v>12</v>
      </c>
    </row>
    <row r="571" spans="1:19" x14ac:dyDescent="0.55000000000000004">
      <c r="A571" t="s">
        <v>19</v>
      </c>
      <c r="B571">
        <v>1958</v>
      </c>
      <c r="C571">
        <v>61</v>
      </c>
      <c r="D571" s="2">
        <v>20</v>
      </c>
      <c r="E571" s="3">
        <v>81</v>
      </c>
      <c r="F571" t="s">
        <v>12</v>
      </c>
      <c r="G571" t="s">
        <v>12</v>
      </c>
      <c r="H571" s="1"/>
      <c r="I571" s="1">
        <v>541.336633663366</v>
      </c>
      <c r="J571" s="1">
        <v>7.7906647807637901</v>
      </c>
      <c r="K571" s="1"/>
      <c r="L571" s="1"/>
      <c r="M571" s="1"/>
      <c r="N571" s="1"/>
      <c r="O571" s="1"/>
      <c r="P571" s="1"/>
      <c r="Q571" s="1"/>
      <c r="R571" s="1">
        <v>630</v>
      </c>
      <c r="S571" t="s">
        <v>12</v>
      </c>
    </row>
    <row r="572" spans="1:19" x14ac:dyDescent="0.55000000000000004">
      <c r="A572" t="s">
        <v>19</v>
      </c>
      <c r="B572">
        <v>1957</v>
      </c>
      <c r="C572">
        <v>891</v>
      </c>
      <c r="D572" s="2">
        <v>0</v>
      </c>
      <c r="E572" s="3">
        <v>891</v>
      </c>
      <c r="F572" t="s">
        <v>12</v>
      </c>
      <c r="G572" t="s">
        <v>12</v>
      </c>
      <c r="H572" s="1"/>
      <c r="I572" s="1">
        <v>5303</v>
      </c>
      <c r="J572" s="1">
        <v>534</v>
      </c>
      <c r="K572" s="1"/>
      <c r="L572" s="1"/>
      <c r="M572" s="1"/>
      <c r="N572" s="1"/>
      <c r="O572" s="1"/>
      <c r="P572" s="1"/>
      <c r="Q572" s="1"/>
      <c r="R572" s="1">
        <v>6728</v>
      </c>
      <c r="S572" t="s">
        <v>12</v>
      </c>
    </row>
    <row r="573" spans="1:19" x14ac:dyDescent="0.55000000000000004">
      <c r="A573" t="s">
        <v>19</v>
      </c>
      <c r="B573">
        <v>1956</v>
      </c>
      <c r="C573">
        <v>7807</v>
      </c>
      <c r="D573" s="2">
        <v>41</v>
      </c>
      <c r="E573" s="3">
        <v>7848</v>
      </c>
      <c r="F573" t="s">
        <v>12</v>
      </c>
      <c r="G573" t="s">
        <v>12</v>
      </c>
      <c r="H573" s="1"/>
      <c r="I573" s="1">
        <v>27055</v>
      </c>
      <c r="J573" s="1">
        <v>184</v>
      </c>
      <c r="K573" s="1"/>
      <c r="L573" s="1"/>
      <c r="M573" s="1"/>
      <c r="N573" s="1"/>
      <c r="O573" s="1"/>
      <c r="P573" s="1"/>
      <c r="Q573" s="1"/>
      <c r="R573" s="1">
        <v>35087</v>
      </c>
      <c r="S573" t="s">
        <v>12</v>
      </c>
    </row>
    <row r="574" spans="1:19" x14ac:dyDescent="0.55000000000000004">
      <c r="A574" t="s">
        <v>19</v>
      </c>
      <c r="B574">
        <v>1955</v>
      </c>
      <c r="C574">
        <v>77</v>
      </c>
      <c r="D574" s="2">
        <v>0</v>
      </c>
      <c r="E574" s="3">
        <v>77</v>
      </c>
      <c r="F574" t="s">
        <v>12</v>
      </c>
      <c r="G574" t="s">
        <v>12</v>
      </c>
      <c r="H574" s="1"/>
      <c r="I574" s="1">
        <v>466</v>
      </c>
      <c r="J574" s="1">
        <v>8</v>
      </c>
      <c r="K574" s="1"/>
      <c r="L574" s="1"/>
      <c r="M574" s="1"/>
      <c r="N574" s="1"/>
      <c r="O574" s="1"/>
      <c r="P574" s="1"/>
      <c r="Q574" s="1"/>
      <c r="R574" s="1">
        <v>551</v>
      </c>
      <c r="S574" t="s">
        <v>11</v>
      </c>
    </row>
    <row r="575" spans="1:19" x14ac:dyDescent="0.55000000000000004">
      <c r="A575" t="s">
        <v>19</v>
      </c>
      <c r="B575">
        <v>1954</v>
      </c>
      <c r="C575">
        <v>45</v>
      </c>
      <c r="D575" s="2">
        <v>0</v>
      </c>
      <c r="E575" s="3">
        <v>45</v>
      </c>
      <c r="F575" t="s">
        <v>12</v>
      </c>
      <c r="G575" t="s">
        <v>12</v>
      </c>
      <c r="H575" s="1"/>
      <c r="I575" s="1">
        <v>290.79063604240298</v>
      </c>
      <c r="J575" s="1">
        <v>6.8573321554770299</v>
      </c>
      <c r="K575" s="1"/>
      <c r="L575" s="1"/>
      <c r="M575" s="1"/>
      <c r="N575" s="1"/>
      <c r="O575" s="1"/>
      <c r="P575" s="1"/>
      <c r="Q575" s="1"/>
      <c r="R575" s="1">
        <v>343</v>
      </c>
      <c r="S575" t="s">
        <v>12</v>
      </c>
    </row>
    <row r="576" spans="1:19" x14ac:dyDescent="0.55000000000000004">
      <c r="A576" t="s">
        <v>19</v>
      </c>
      <c r="B576">
        <v>1953</v>
      </c>
      <c r="C576">
        <v>74</v>
      </c>
      <c r="D576" s="2">
        <v>0</v>
      </c>
      <c r="E576" s="3">
        <v>74</v>
      </c>
      <c r="F576" t="s">
        <v>12</v>
      </c>
      <c r="G576" t="s">
        <v>12</v>
      </c>
      <c r="H576" s="1"/>
      <c r="I576" s="1">
        <v>452</v>
      </c>
      <c r="J576" s="1">
        <v>1</v>
      </c>
      <c r="K576" s="1"/>
      <c r="L576" s="1"/>
      <c r="M576" s="1"/>
      <c r="N576" s="1"/>
      <c r="O576" s="1"/>
      <c r="P576" s="1"/>
      <c r="Q576" s="1"/>
      <c r="R576" s="1">
        <v>527</v>
      </c>
      <c r="S576" t="s">
        <v>12</v>
      </c>
    </row>
    <row r="577" spans="1:19" x14ac:dyDescent="0.55000000000000004">
      <c r="A577" t="s">
        <v>19</v>
      </c>
      <c r="B577">
        <v>1952</v>
      </c>
      <c r="C577">
        <v>7070</v>
      </c>
      <c r="D577" s="2">
        <v>0</v>
      </c>
      <c r="E577" s="3">
        <v>7070</v>
      </c>
      <c r="F577" t="s">
        <v>12</v>
      </c>
      <c r="G577" t="s">
        <v>12</v>
      </c>
      <c r="H577" s="1"/>
      <c r="I577" s="1">
        <v>22636</v>
      </c>
      <c r="J577" s="1">
        <v>320</v>
      </c>
      <c r="K577" s="1"/>
      <c r="L577" s="1"/>
      <c r="M577" s="1"/>
      <c r="N577" s="1"/>
      <c r="O577" s="1"/>
      <c r="P577" s="1"/>
      <c r="Q577" s="1"/>
      <c r="R577" s="1">
        <v>30026</v>
      </c>
      <c r="S577" t="s">
        <v>12</v>
      </c>
    </row>
    <row r="578" spans="1:19" x14ac:dyDescent="0.55000000000000004">
      <c r="A578" t="s">
        <v>20</v>
      </c>
      <c r="B578">
        <v>2023</v>
      </c>
      <c r="C578">
        <v>34185</v>
      </c>
      <c r="D578" s="2">
        <v>15</v>
      </c>
      <c r="E578" s="3">
        <v>34200</v>
      </c>
      <c r="F578" t="s">
        <v>12</v>
      </c>
      <c r="G578" t="s">
        <v>12</v>
      </c>
      <c r="H578" s="1">
        <v>0.33997269149409398</v>
      </c>
      <c r="I578" s="1">
        <v>429.316485876613</v>
      </c>
      <c r="J578" s="1">
        <v>1.1438523954000299</v>
      </c>
      <c r="K578" s="1"/>
      <c r="L578" s="1">
        <v>14651</v>
      </c>
      <c r="M578" s="1"/>
      <c r="N578" s="1"/>
      <c r="O578" s="1">
        <v>6</v>
      </c>
      <c r="P578" s="1"/>
      <c r="Q578" s="1">
        <v>-14367.9486959893</v>
      </c>
      <c r="R578" s="1">
        <v>49288</v>
      </c>
      <c r="S578" t="s">
        <v>11</v>
      </c>
    </row>
    <row r="579" spans="1:19" x14ac:dyDescent="0.55000000000000004">
      <c r="A579" t="s">
        <v>20</v>
      </c>
      <c r="B579">
        <v>2022</v>
      </c>
      <c r="C579">
        <v>31923</v>
      </c>
      <c r="D579" s="2">
        <v>41</v>
      </c>
      <c r="E579" s="3">
        <v>31964</v>
      </c>
      <c r="F579" t="s">
        <v>12</v>
      </c>
      <c r="G579" t="s">
        <v>12</v>
      </c>
      <c r="H579" s="1">
        <v>0</v>
      </c>
      <c r="I579" s="1">
        <v>1995.68502638474</v>
      </c>
      <c r="J579" s="1">
        <v>247.61956337472199</v>
      </c>
      <c r="K579" s="1"/>
      <c r="L579" s="1">
        <v>7981</v>
      </c>
      <c r="M579" s="1"/>
      <c r="N579" s="1"/>
      <c r="O579" s="1">
        <v>10</v>
      </c>
      <c r="P579" s="1"/>
      <c r="Q579" s="1">
        <v>10902.343407291501</v>
      </c>
      <c r="R579" s="1">
        <v>42198</v>
      </c>
      <c r="S579" t="s">
        <v>11</v>
      </c>
    </row>
    <row r="580" spans="1:19" x14ac:dyDescent="0.55000000000000004">
      <c r="A580" t="s">
        <v>20</v>
      </c>
      <c r="B580">
        <v>2021</v>
      </c>
      <c r="C580">
        <v>56184</v>
      </c>
      <c r="D580" s="2">
        <v>33</v>
      </c>
      <c r="E580" s="3">
        <v>56217</v>
      </c>
      <c r="F580" t="s">
        <v>12</v>
      </c>
      <c r="G580" t="s">
        <v>12</v>
      </c>
      <c r="H580" s="1">
        <v>396.83946296699997</v>
      </c>
      <c r="I580" s="1">
        <v>214.62067184800301</v>
      </c>
      <c r="J580" s="1">
        <v>8.0197916819050796</v>
      </c>
      <c r="K580" s="1"/>
      <c r="L580" s="1">
        <v>14046</v>
      </c>
      <c r="M580" s="1"/>
      <c r="N580" s="1"/>
      <c r="O580" s="1">
        <v>8</v>
      </c>
      <c r="P580" s="1"/>
      <c r="Q580" s="1">
        <v>15938.2097027585</v>
      </c>
      <c r="R580" s="1">
        <v>70890</v>
      </c>
      <c r="S580" t="s">
        <v>11</v>
      </c>
    </row>
    <row r="581" spans="1:19" x14ac:dyDescent="0.55000000000000004">
      <c r="A581" t="s">
        <v>20</v>
      </c>
      <c r="B581">
        <v>2020</v>
      </c>
      <c r="C581">
        <v>75537</v>
      </c>
      <c r="D581" s="2">
        <v>0</v>
      </c>
      <c r="E581" s="3">
        <v>75537</v>
      </c>
      <c r="F581" t="s">
        <v>12</v>
      </c>
      <c r="G581" t="s">
        <v>12</v>
      </c>
      <c r="H581" s="1">
        <v>31.230771347000001</v>
      </c>
      <c r="I581" s="1">
        <v>827.37170020499605</v>
      </c>
      <c r="J581" s="1">
        <v>1.8775250243214001E-2</v>
      </c>
      <c r="K581" s="1"/>
      <c r="L581" s="1">
        <v>25179</v>
      </c>
      <c r="M581" s="1"/>
      <c r="N581" s="1"/>
      <c r="O581" s="1"/>
      <c r="P581" s="1"/>
      <c r="Q581" s="1">
        <v>17341.6383691421</v>
      </c>
      <c r="R581" s="1">
        <v>101575</v>
      </c>
      <c r="S581" t="s">
        <v>11</v>
      </c>
    </row>
    <row r="582" spans="1:19" x14ac:dyDescent="0.55000000000000004">
      <c r="A582" t="s">
        <v>20</v>
      </c>
      <c r="B582">
        <v>2019</v>
      </c>
      <c r="C582">
        <v>3813</v>
      </c>
      <c r="D582" s="2">
        <v>7</v>
      </c>
      <c r="E582" s="3">
        <v>3820</v>
      </c>
      <c r="F582" t="s">
        <v>12</v>
      </c>
      <c r="G582" t="s">
        <v>12</v>
      </c>
      <c r="H582" s="1">
        <v>212.06362202</v>
      </c>
      <c r="I582" s="1">
        <v>317.23765247792801</v>
      </c>
      <c r="J582" s="1">
        <v>4.3518753556878096</v>
      </c>
      <c r="K582" s="1"/>
      <c r="L582" s="1">
        <v>2542</v>
      </c>
      <c r="M582" s="1">
        <v>3813</v>
      </c>
      <c r="N582" s="1"/>
      <c r="O582" s="1">
        <v>5</v>
      </c>
      <c r="P582" s="1">
        <v>7</v>
      </c>
      <c r="Q582" s="1">
        <v>-27209.417903105201</v>
      </c>
      <c r="R582" s="1">
        <v>10721</v>
      </c>
      <c r="S582" t="s">
        <v>11</v>
      </c>
    </row>
    <row r="583" spans="1:19" x14ac:dyDescent="0.55000000000000004">
      <c r="A583" t="s">
        <v>20</v>
      </c>
      <c r="B583">
        <v>2018</v>
      </c>
      <c r="C583">
        <v>15148</v>
      </c>
      <c r="D583" s="2">
        <v>29</v>
      </c>
      <c r="E583" s="3">
        <v>15177</v>
      </c>
      <c r="F583" t="s">
        <v>12</v>
      </c>
      <c r="G583" t="s">
        <v>12</v>
      </c>
      <c r="H583" s="1">
        <v>0</v>
      </c>
      <c r="I583" s="1">
        <v>19623.661568059699</v>
      </c>
      <c r="J583" s="1">
        <v>513.90162353615494</v>
      </c>
      <c r="K583" s="1"/>
      <c r="L583" s="1">
        <v>5049</v>
      </c>
      <c r="M583" s="1"/>
      <c r="N583" s="1"/>
      <c r="O583" s="1">
        <v>10</v>
      </c>
      <c r="P583" s="1"/>
      <c r="Q583" s="1">
        <v>-3750.7427719540001</v>
      </c>
      <c r="R583" s="1">
        <v>40374</v>
      </c>
      <c r="S583" t="s">
        <v>11</v>
      </c>
    </row>
    <row r="584" spans="1:19" x14ac:dyDescent="0.55000000000000004">
      <c r="A584" t="s">
        <v>20</v>
      </c>
      <c r="B584">
        <v>2017</v>
      </c>
      <c r="C584">
        <v>49983</v>
      </c>
      <c r="D584" s="2">
        <v>0</v>
      </c>
      <c r="E584" s="3">
        <v>49983</v>
      </c>
      <c r="F584" t="s">
        <v>12</v>
      </c>
      <c r="G584" t="s">
        <v>12</v>
      </c>
      <c r="H584" s="1">
        <v>55.189484104999998</v>
      </c>
      <c r="I584" s="1">
        <v>1148.5485755622401</v>
      </c>
      <c r="J584" s="1">
        <v>238.58866155189099</v>
      </c>
      <c r="K584" s="1"/>
      <c r="L584" s="1">
        <v>16661</v>
      </c>
      <c r="M584" s="1"/>
      <c r="N584" s="1"/>
      <c r="O584" s="1"/>
      <c r="P584" s="1"/>
      <c r="Q584" s="1">
        <v>-17331.198206402001</v>
      </c>
      <c r="R584" s="1">
        <v>68086</v>
      </c>
      <c r="S584" t="s">
        <v>11</v>
      </c>
    </row>
    <row r="585" spans="1:19" x14ac:dyDescent="0.55000000000000004">
      <c r="A585" t="s">
        <v>20</v>
      </c>
      <c r="B585">
        <v>2016</v>
      </c>
      <c r="C585">
        <v>65758</v>
      </c>
      <c r="D585" s="2">
        <v>0</v>
      </c>
      <c r="E585" s="3">
        <v>65758</v>
      </c>
      <c r="F585" t="s">
        <v>12</v>
      </c>
      <c r="G585" t="s">
        <v>12</v>
      </c>
      <c r="H585" s="1">
        <v>73.059039100600003</v>
      </c>
      <c r="I585" s="1">
        <v>6380.1495924030996</v>
      </c>
      <c r="J585" s="1">
        <v>1063.9461955556001</v>
      </c>
      <c r="K585" s="1"/>
      <c r="L585" s="1">
        <v>28182</v>
      </c>
      <c r="M585" s="1"/>
      <c r="N585" s="1"/>
      <c r="O585" s="1"/>
      <c r="P585" s="1"/>
      <c r="Q585" s="1">
        <v>-7409.2462863244</v>
      </c>
      <c r="R585" s="1">
        <v>101457</v>
      </c>
      <c r="S585" t="s">
        <v>11</v>
      </c>
    </row>
    <row r="586" spans="1:19" x14ac:dyDescent="0.55000000000000004">
      <c r="A586" t="s">
        <v>20</v>
      </c>
      <c r="B586">
        <v>2015</v>
      </c>
      <c r="C586">
        <v>115684</v>
      </c>
      <c r="D586" s="2">
        <v>31</v>
      </c>
      <c r="E586" s="3">
        <v>115715</v>
      </c>
      <c r="F586" t="s">
        <v>12</v>
      </c>
      <c r="G586" t="s">
        <v>12</v>
      </c>
      <c r="H586" s="1">
        <v>1875.0532685430001</v>
      </c>
      <c r="I586" s="1">
        <v>18747.835783744598</v>
      </c>
      <c r="J586" s="1">
        <v>842.28652996096002</v>
      </c>
      <c r="K586" s="1"/>
      <c r="L586" s="1">
        <v>49579</v>
      </c>
      <c r="M586" s="1"/>
      <c r="N586" s="1"/>
      <c r="O586" s="1">
        <v>13</v>
      </c>
      <c r="P586" s="1"/>
      <c r="Q586" s="1">
        <v>-50630.225062540099</v>
      </c>
      <c r="R586" s="1">
        <v>186772</v>
      </c>
      <c r="S586" t="s">
        <v>11</v>
      </c>
    </row>
    <row r="587" spans="1:19" x14ac:dyDescent="0.55000000000000004">
      <c r="A587" t="s">
        <v>20</v>
      </c>
      <c r="B587">
        <v>2014</v>
      </c>
      <c r="C587">
        <v>399531</v>
      </c>
      <c r="D587" s="2">
        <v>26</v>
      </c>
      <c r="E587" s="3">
        <v>399557</v>
      </c>
      <c r="F587" t="s">
        <v>12</v>
      </c>
      <c r="G587" t="s">
        <v>12</v>
      </c>
      <c r="H587" s="1">
        <v>1130.9108253659999</v>
      </c>
      <c r="I587" s="1">
        <v>464506.326803629</v>
      </c>
      <c r="J587" s="1">
        <v>57492.704496235099</v>
      </c>
      <c r="K587" s="1"/>
      <c r="L587" s="1">
        <v>133177</v>
      </c>
      <c r="M587" s="1"/>
      <c r="N587" s="1"/>
      <c r="O587" s="1">
        <v>9</v>
      </c>
      <c r="P587" s="1"/>
      <c r="Q587" s="1">
        <v>-542111.44686235196</v>
      </c>
      <c r="R587" s="1">
        <v>1055873</v>
      </c>
      <c r="S587" t="s">
        <v>11</v>
      </c>
    </row>
    <row r="588" spans="1:19" x14ac:dyDescent="0.55000000000000004">
      <c r="A588" t="s">
        <v>20</v>
      </c>
      <c r="B588">
        <v>2013</v>
      </c>
      <c r="C588">
        <v>250087</v>
      </c>
      <c r="D588" s="2">
        <v>30</v>
      </c>
      <c r="E588" s="3">
        <v>250117</v>
      </c>
      <c r="F588" t="s">
        <v>12</v>
      </c>
      <c r="G588" t="s">
        <v>12</v>
      </c>
      <c r="H588" s="1">
        <v>216.84962577600001</v>
      </c>
      <c r="I588" s="1">
        <v>19551.187519895499</v>
      </c>
      <c r="J588" s="1">
        <v>3108.74485109945</v>
      </c>
      <c r="K588" s="1"/>
      <c r="L588" s="1">
        <v>107180</v>
      </c>
      <c r="M588" s="1"/>
      <c r="N588" s="1"/>
      <c r="O588" s="1">
        <v>13</v>
      </c>
      <c r="P588" s="1"/>
      <c r="Q588" s="1">
        <v>-100646.212963981</v>
      </c>
      <c r="R588" s="1">
        <v>380187</v>
      </c>
      <c r="S588" t="s">
        <v>11</v>
      </c>
    </row>
    <row r="589" spans="1:19" x14ac:dyDescent="0.55000000000000004">
      <c r="A589" t="s">
        <v>20</v>
      </c>
      <c r="B589">
        <v>2012</v>
      </c>
      <c r="C589">
        <v>70904</v>
      </c>
      <c r="D589" s="2">
        <v>98</v>
      </c>
      <c r="E589" s="3">
        <v>71002</v>
      </c>
      <c r="F589" t="s">
        <v>12</v>
      </c>
      <c r="G589" t="s">
        <v>12</v>
      </c>
      <c r="H589" s="1">
        <v>14.954393170758999</v>
      </c>
      <c r="I589" s="1">
        <v>21601.558832683499</v>
      </c>
      <c r="J589" s="1">
        <v>4269.1625273234704</v>
      </c>
      <c r="K589" s="1"/>
      <c r="L589" s="1">
        <v>47269</v>
      </c>
      <c r="M589" s="1"/>
      <c r="N589" s="1">
        <v>-95</v>
      </c>
      <c r="O589" s="1">
        <v>65</v>
      </c>
      <c r="P589" s="1"/>
      <c r="Q589" s="1">
        <v>-67198.106451917498</v>
      </c>
      <c r="R589" s="1">
        <v>144127</v>
      </c>
      <c r="S589" t="s">
        <v>11</v>
      </c>
    </row>
    <row r="590" spans="1:19" x14ac:dyDescent="0.55000000000000004">
      <c r="A590" t="s">
        <v>20</v>
      </c>
      <c r="B590">
        <v>2011</v>
      </c>
      <c r="C590">
        <v>805596</v>
      </c>
      <c r="D590" s="2">
        <v>21</v>
      </c>
      <c r="E590" s="3">
        <v>805617</v>
      </c>
      <c r="F590" t="s">
        <v>12</v>
      </c>
      <c r="G590" t="s">
        <v>12</v>
      </c>
      <c r="H590" s="1">
        <v>1736.9609140290299</v>
      </c>
      <c r="I590" s="1">
        <v>225198.09580221001</v>
      </c>
      <c r="J590" s="1">
        <v>61139.828510036001</v>
      </c>
      <c r="K590" s="1"/>
      <c r="L590" s="1">
        <v>297960</v>
      </c>
      <c r="M590" s="1"/>
      <c r="N590" s="1">
        <v>-30</v>
      </c>
      <c r="O590" s="1">
        <v>8</v>
      </c>
      <c r="P590" s="1"/>
      <c r="Q590" s="1">
        <v>-308322.90351373301</v>
      </c>
      <c r="R590" s="1">
        <v>1391630</v>
      </c>
      <c r="S590" t="s">
        <v>11</v>
      </c>
    </row>
    <row r="591" spans="1:19" x14ac:dyDescent="0.55000000000000004">
      <c r="A591" t="s">
        <v>20</v>
      </c>
      <c r="B591">
        <v>2010</v>
      </c>
      <c r="C591">
        <v>761668</v>
      </c>
      <c r="D591" s="2">
        <v>0</v>
      </c>
      <c r="E591" s="3">
        <v>761668</v>
      </c>
      <c r="F591" t="s">
        <v>12</v>
      </c>
      <c r="G591" t="s">
        <v>12</v>
      </c>
      <c r="H591" s="1">
        <v>0</v>
      </c>
      <c r="I591" s="1">
        <v>305220.187948754</v>
      </c>
      <c r="J591" s="1"/>
      <c r="K591" s="1"/>
      <c r="L591" s="1">
        <v>214829</v>
      </c>
      <c r="M591" s="1"/>
      <c r="N591" s="1">
        <v>-419</v>
      </c>
      <c r="O591" s="1"/>
      <c r="P591" s="1"/>
      <c r="Q591" s="1">
        <v>-294437.57702344999</v>
      </c>
      <c r="R591" s="1">
        <v>1281298</v>
      </c>
      <c r="S591" t="s">
        <v>11</v>
      </c>
    </row>
    <row r="592" spans="1:19" x14ac:dyDescent="0.55000000000000004">
      <c r="A592" t="s">
        <v>20</v>
      </c>
      <c r="B592">
        <v>2009</v>
      </c>
      <c r="C592">
        <v>307210</v>
      </c>
      <c r="D592" s="2">
        <v>163</v>
      </c>
      <c r="E592" s="3">
        <v>307373</v>
      </c>
      <c r="F592" t="s">
        <v>12</v>
      </c>
      <c r="G592" t="s">
        <v>12</v>
      </c>
      <c r="H592" s="1">
        <v>1.3452918624051999</v>
      </c>
      <c r="I592" s="1">
        <v>5393.7317284811897</v>
      </c>
      <c r="J592" s="1">
        <v>981.63931444944899</v>
      </c>
      <c r="K592" s="1"/>
      <c r="L592" s="1">
        <v>86649</v>
      </c>
      <c r="M592" s="1"/>
      <c r="N592" s="1">
        <v>-9</v>
      </c>
      <c r="O592" s="1">
        <v>46</v>
      </c>
      <c r="P592" s="1"/>
      <c r="Q592" s="1">
        <v>96528.229930629794</v>
      </c>
      <c r="R592" s="1">
        <v>400436</v>
      </c>
      <c r="S592" t="s">
        <v>11</v>
      </c>
    </row>
    <row r="593" spans="1:19" x14ac:dyDescent="0.55000000000000004">
      <c r="A593" t="s">
        <v>20</v>
      </c>
      <c r="B593">
        <v>2008</v>
      </c>
      <c r="C593">
        <v>6717</v>
      </c>
      <c r="D593" s="2">
        <v>33</v>
      </c>
      <c r="E593" s="3">
        <v>6750</v>
      </c>
      <c r="F593" t="s">
        <v>12</v>
      </c>
      <c r="G593" t="s">
        <v>12</v>
      </c>
      <c r="H593" s="1">
        <v>7.8608361696409998</v>
      </c>
      <c r="I593" s="1">
        <v>5441.1979778038603</v>
      </c>
      <c r="J593" s="1">
        <v>1928.7305953330899</v>
      </c>
      <c r="K593" s="1"/>
      <c r="L593" s="1"/>
      <c r="M593" s="1"/>
      <c r="N593" s="1"/>
      <c r="O593" s="1"/>
      <c r="P593" s="1"/>
      <c r="Q593" s="1">
        <v>-32346.187068003699</v>
      </c>
      <c r="R593" s="1">
        <v>46474</v>
      </c>
      <c r="S593" t="s">
        <v>9</v>
      </c>
    </row>
    <row r="594" spans="1:19" x14ac:dyDescent="0.55000000000000004">
      <c r="A594" t="s">
        <v>20</v>
      </c>
      <c r="B594">
        <v>2007</v>
      </c>
      <c r="C594">
        <v>128295</v>
      </c>
      <c r="D594" s="2">
        <v>0</v>
      </c>
      <c r="E594" s="3">
        <v>128295</v>
      </c>
      <c r="F594" t="s">
        <v>12</v>
      </c>
      <c r="G594" t="s">
        <v>12</v>
      </c>
      <c r="H594" s="1">
        <v>2616.4226650360001</v>
      </c>
      <c r="I594" s="1">
        <v>12886.230564395601</v>
      </c>
      <c r="J594" s="1">
        <v>792.11486717615401</v>
      </c>
      <c r="K594" s="1"/>
      <c r="L594" s="1"/>
      <c r="M594" s="1"/>
      <c r="N594" s="1"/>
      <c r="O594" s="1"/>
      <c r="P594" s="1"/>
      <c r="Q594" s="1">
        <v>-74383.927561220902</v>
      </c>
      <c r="R594" s="1">
        <v>218974</v>
      </c>
      <c r="S594" t="s">
        <v>9</v>
      </c>
    </row>
    <row r="595" spans="1:19" x14ac:dyDescent="0.55000000000000004">
      <c r="A595" t="s">
        <v>20</v>
      </c>
      <c r="B595">
        <v>2006</v>
      </c>
      <c r="C595">
        <v>168259</v>
      </c>
      <c r="D595" s="2">
        <v>761</v>
      </c>
      <c r="E595" s="3">
        <v>169020</v>
      </c>
      <c r="F595" t="s">
        <v>12</v>
      </c>
      <c r="G595" t="s">
        <v>12</v>
      </c>
      <c r="H595" s="1">
        <v>23.123309649050402</v>
      </c>
      <c r="I595" s="1">
        <v>66181.826221201496</v>
      </c>
      <c r="J595" s="1">
        <v>4019.6394452662098</v>
      </c>
      <c r="K595" s="1"/>
      <c r="L595" s="1"/>
      <c r="M595" s="1"/>
      <c r="N595" s="1"/>
      <c r="O595" s="1"/>
      <c r="P595" s="1"/>
      <c r="Q595" s="1">
        <v>47929.037903471501</v>
      </c>
      <c r="R595" s="1">
        <v>239245</v>
      </c>
      <c r="S595" t="s">
        <v>9</v>
      </c>
    </row>
    <row r="596" spans="1:19" x14ac:dyDescent="0.55000000000000004">
      <c r="A596" t="s">
        <v>20</v>
      </c>
      <c r="B596">
        <v>2005</v>
      </c>
      <c r="C596">
        <v>388605</v>
      </c>
      <c r="D596" s="2">
        <v>195</v>
      </c>
      <c r="E596" s="3">
        <v>388800</v>
      </c>
      <c r="F596" t="s">
        <v>12</v>
      </c>
      <c r="G596" t="s">
        <v>12</v>
      </c>
      <c r="H596" s="1">
        <v>0.73442964244300002</v>
      </c>
      <c r="I596" s="1">
        <v>32878.525241166702</v>
      </c>
      <c r="J596" s="1">
        <v>3974.3848169564299</v>
      </c>
      <c r="K596" s="1"/>
      <c r="L596" s="1"/>
      <c r="M596" s="1"/>
      <c r="N596" s="1"/>
      <c r="O596" s="1"/>
      <c r="P596" s="1"/>
      <c r="Q596" s="1">
        <v>154479.170515954</v>
      </c>
      <c r="R596" s="1">
        <v>425654</v>
      </c>
      <c r="S596" t="s">
        <v>9</v>
      </c>
    </row>
    <row r="597" spans="1:19" x14ac:dyDescent="0.55000000000000004">
      <c r="A597" t="s">
        <v>20</v>
      </c>
      <c r="B597">
        <v>2004</v>
      </c>
      <c r="C597">
        <v>2106</v>
      </c>
      <c r="D597" s="2">
        <v>0</v>
      </c>
      <c r="E597" s="3">
        <v>2106</v>
      </c>
      <c r="F597" t="s">
        <v>12</v>
      </c>
      <c r="G597" t="s">
        <v>12</v>
      </c>
      <c r="H597" s="1">
        <v>94.5800779017857</v>
      </c>
      <c r="I597" s="1">
        <v>11879.068132116599</v>
      </c>
      <c r="J597" s="1">
        <v>1194.5286336004301</v>
      </c>
      <c r="K597" s="1"/>
      <c r="L597" s="1"/>
      <c r="M597" s="1"/>
      <c r="N597" s="1"/>
      <c r="O597" s="1"/>
      <c r="P597" s="1"/>
      <c r="Q597" s="1">
        <v>-28574.2404794125</v>
      </c>
      <c r="R597" s="1">
        <v>43848</v>
      </c>
      <c r="S597" t="s">
        <v>9</v>
      </c>
    </row>
    <row r="598" spans="1:19" x14ac:dyDescent="0.55000000000000004">
      <c r="A598" t="s">
        <v>20</v>
      </c>
      <c r="B598">
        <v>2003</v>
      </c>
      <c r="C598">
        <v>8259</v>
      </c>
      <c r="D598" s="2">
        <v>350</v>
      </c>
      <c r="E598" s="3">
        <v>8609</v>
      </c>
      <c r="F598" t="s">
        <v>12</v>
      </c>
      <c r="G598" t="s">
        <v>12</v>
      </c>
      <c r="H598" s="1">
        <v>1158.44423344241</v>
      </c>
      <c r="I598" s="1">
        <v>23185.5932187051</v>
      </c>
      <c r="J598" s="1">
        <v>3194.8393171257298</v>
      </c>
      <c r="K598" s="1"/>
      <c r="L598" s="1"/>
      <c r="M598" s="1"/>
      <c r="N598" s="1"/>
      <c r="O598" s="1"/>
      <c r="P598" s="1"/>
      <c r="Q598" s="1">
        <v>-44864.313014429703</v>
      </c>
      <c r="R598" s="1">
        <v>81012</v>
      </c>
      <c r="S598" t="s">
        <v>9</v>
      </c>
    </row>
    <row r="599" spans="1:19" x14ac:dyDescent="0.55000000000000004">
      <c r="A599" t="s">
        <v>20</v>
      </c>
      <c r="B599">
        <v>2002</v>
      </c>
      <c r="C599">
        <v>41542</v>
      </c>
      <c r="D599" s="2">
        <v>175</v>
      </c>
      <c r="E599" s="3">
        <v>41717</v>
      </c>
      <c r="F599" t="s">
        <v>12</v>
      </c>
      <c r="G599" t="s">
        <v>12</v>
      </c>
      <c r="H599" s="1">
        <v>1.5940123531740302E-2</v>
      </c>
      <c r="I599" s="1">
        <v>9734.2690850604395</v>
      </c>
      <c r="J599" s="1">
        <v>936.22150358957595</v>
      </c>
      <c r="K599" s="1"/>
      <c r="L599" s="1"/>
      <c r="M599" s="1"/>
      <c r="N599" s="1"/>
      <c r="O599" s="1"/>
      <c r="P599" s="1"/>
      <c r="Q599" s="1">
        <v>-15476.886412903899</v>
      </c>
      <c r="R599" s="1">
        <v>67864</v>
      </c>
      <c r="S599" t="s">
        <v>9</v>
      </c>
    </row>
    <row r="600" spans="1:19" x14ac:dyDescent="0.55000000000000004">
      <c r="A600" t="s">
        <v>20</v>
      </c>
      <c r="B600">
        <v>2001</v>
      </c>
      <c r="C600">
        <v>15309</v>
      </c>
      <c r="D600" s="2">
        <v>0</v>
      </c>
      <c r="E600" s="3">
        <v>15309</v>
      </c>
      <c r="F600" t="s">
        <v>12</v>
      </c>
      <c r="G600" t="s">
        <v>12</v>
      </c>
      <c r="H600" s="1">
        <v>323.12930077118898</v>
      </c>
      <c r="I600" s="1">
        <v>15558.5203077105</v>
      </c>
      <c r="J600" s="1">
        <v>2125.2373051618401</v>
      </c>
      <c r="K600" s="1"/>
      <c r="L600" s="1"/>
      <c r="M600" s="1"/>
      <c r="N600" s="1"/>
      <c r="O600" s="1"/>
      <c r="P600" s="1"/>
      <c r="Q600" s="1">
        <v>-62242.248255768398</v>
      </c>
      <c r="R600" s="1">
        <v>95558</v>
      </c>
      <c r="S600" t="s">
        <v>9</v>
      </c>
    </row>
    <row r="601" spans="1:19" x14ac:dyDescent="0.55000000000000004">
      <c r="A601" t="s">
        <v>20</v>
      </c>
      <c r="B601">
        <v>2000</v>
      </c>
      <c r="C601">
        <v>4343</v>
      </c>
      <c r="D601" s="2">
        <v>0</v>
      </c>
      <c r="E601" s="3">
        <v>4343</v>
      </c>
      <c r="F601" t="s">
        <v>12</v>
      </c>
      <c r="G601" t="s">
        <v>12</v>
      </c>
      <c r="H601" s="1">
        <v>2.5737208825822901</v>
      </c>
      <c r="I601" s="1">
        <v>4840.1762265011503</v>
      </c>
      <c r="J601" s="1">
        <v>335.96450107281998</v>
      </c>
      <c r="K601" s="1"/>
      <c r="L601" s="1"/>
      <c r="M601" s="1"/>
      <c r="N601" s="1"/>
      <c r="O601" s="1"/>
      <c r="P601" s="1"/>
      <c r="Q601" s="1">
        <v>-4948.2997522634796</v>
      </c>
      <c r="R601" s="1">
        <v>14470</v>
      </c>
      <c r="S601" t="s">
        <v>9</v>
      </c>
    </row>
    <row r="602" spans="1:19" x14ac:dyDescent="0.55000000000000004">
      <c r="A602" t="s">
        <v>20</v>
      </c>
      <c r="B602">
        <v>1999</v>
      </c>
      <c r="C602">
        <v>8577</v>
      </c>
      <c r="D602" s="2">
        <v>0</v>
      </c>
      <c r="E602" s="3">
        <v>8577</v>
      </c>
      <c r="F602" t="s">
        <v>12</v>
      </c>
      <c r="G602" t="s">
        <v>12</v>
      </c>
      <c r="H602" s="1">
        <v>0</v>
      </c>
      <c r="I602" s="1">
        <v>2222.1852249961198</v>
      </c>
      <c r="J602" s="1">
        <v>261.01570173360801</v>
      </c>
      <c r="K602" s="1"/>
      <c r="L602" s="1"/>
      <c r="M602" s="1"/>
      <c r="N602" s="1"/>
      <c r="O602" s="1"/>
      <c r="P602" s="1"/>
      <c r="Q602" s="1">
        <v>-24302.887999281302</v>
      </c>
      <c r="R602" s="1">
        <v>35363</v>
      </c>
      <c r="S602" t="s">
        <v>9</v>
      </c>
    </row>
    <row r="603" spans="1:19" x14ac:dyDescent="0.55000000000000004">
      <c r="A603" t="s">
        <v>20</v>
      </c>
      <c r="B603">
        <v>1998</v>
      </c>
      <c r="C603">
        <v>4496</v>
      </c>
      <c r="D603" s="2">
        <v>0</v>
      </c>
      <c r="E603" s="3">
        <v>4496</v>
      </c>
      <c r="F603" t="s">
        <v>12</v>
      </c>
      <c r="G603" t="s">
        <v>12</v>
      </c>
      <c r="H603" s="1">
        <v>12.021768937591</v>
      </c>
      <c r="I603" s="1">
        <v>5166.7086831165998</v>
      </c>
      <c r="J603" s="1">
        <v>98.891685562058498</v>
      </c>
      <c r="K603" s="1"/>
      <c r="L603" s="1"/>
      <c r="M603" s="1"/>
      <c r="N603" s="1"/>
      <c r="O603" s="1"/>
      <c r="P603" s="1"/>
      <c r="Q603" s="1">
        <v>-7469.72509952169</v>
      </c>
      <c r="R603" s="1">
        <v>17243</v>
      </c>
      <c r="S603" t="s">
        <v>9</v>
      </c>
    </row>
    <row r="604" spans="1:19" x14ac:dyDescent="0.55000000000000004">
      <c r="A604" t="s">
        <v>20</v>
      </c>
      <c r="B604">
        <v>1997</v>
      </c>
      <c r="C604">
        <v>1418</v>
      </c>
      <c r="D604" s="2">
        <v>0</v>
      </c>
      <c r="E604" s="3">
        <v>1418</v>
      </c>
      <c r="F604" t="s">
        <v>12</v>
      </c>
      <c r="G604" t="s">
        <v>12</v>
      </c>
      <c r="H604" s="1">
        <v>587.68913161870103</v>
      </c>
      <c r="I604" s="1">
        <v>41221.722667964998</v>
      </c>
      <c r="J604" s="1">
        <v>201.67397119180799</v>
      </c>
      <c r="K604" s="1"/>
      <c r="L604" s="1"/>
      <c r="M604" s="1"/>
      <c r="N604" s="1"/>
      <c r="O604" s="1"/>
      <c r="P604" s="1"/>
      <c r="Q604" s="1">
        <v>-8030.2468902356504</v>
      </c>
      <c r="R604" s="1">
        <v>51459</v>
      </c>
      <c r="S604" t="s">
        <v>9</v>
      </c>
    </row>
    <row r="605" spans="1:19" x14ac:dyDescent="0.55000000000000004">
      <c r="A605" t="s">
        <v>20</v>
      </c>
      <c r="B605">
        <v>1996</v>
      </c>
      <c r="C605">
        <v>15379</v>
      </c>
      <c r="D605" s="2">
        <v>0</v>
      </c>
      <c r="E605" s="3">
        <v>15379</v>
      </c>
      <c r="F605" t="s">
        <v>12</v>
      </c>
      <c r="G605" t="s">
        <v>12</v>
      </c>
      <c r="H605" s="1">
        <v>348.61922060869199</v>
      </c>
      <c r="I605" s="1">
        <v>12054.8136518916</v>
      </c>
      <c r="J605" s="1">
        <v>412.75964051061999</v>
      </c>
      <c r="K605" s="1"/>
      <c r="L605" s="1"/>
      <c r="M605" s="1"/>
      <c r="N605" s="1"/>
      <c r="O605" s="1"/>
      <c r="P605" s="1"/>
      <c r="Q605" s="1">
        <v>-7175.8653774547201</v>
      </c>
      <c r="R605" s="1">
        <v>35371</v>
      </c>
      <c r="S605" t="s">
        <v>9</v>
      </c>
    </row>
    <row r="606" spans="1:19" x14ac:dyDescent="0.55000000000000004">
      <c r="A606" t="s">
        <v>20</v>
      </c>
      <c r="B606">
        <v>1995</v>
      </c>
      <c r="C606">
        <v>16618</v>
      </c>
      <c r="D606" s="2">
        <v>142</v>
      </c>
      <c r="E606" s="3">
        <v>16760</v>
      </c>
      <c r="F606" t="s">
        <v>12</v>
      </c>
      <c r="G606" t="s">
        <v>12</v>
      </c>
      <c r="H606" s="1">
        <v>34.172368751538698</v>
      </c>
      <c r="I606" s="1">
        <v>19883.948715518502</v>
      </c>
      <c r="J606" s="1">
        <v>2085.3201108827602</v>
      </c>
      <c r="K606" s="1"/>
      <c r="L606" s="1"/>
      <c r="M606" s="1"/>
      <c r="N606" s="1"/>
      <c r="O606" s="1"/>
      <c r="P606" s="1"/>
      <c r="Q606" s="1">
        <v>-12832.2814566823</v>
      </c>
      <c r="R606" s="1">
        <v>51596</v>
      </c>
      <c r="S606" t="s">
        <v>9</v>
      </c>
    </row>
    <row r="607" spans="1:19" x14ac:dyDescent="0.55000000000000004">
      <c r="A607" t="s">
        <v>20</v>
      </c>
      <c r="B607">
        <v>1994</v>
      </c>
      <c r="C607">
        <v>9515</v>
      </c>
      <c r="D607" s="2">
        <v>0</v>
      </c>
      <c r="E607" s="3">
        <v>9515</v>
      </c>
      <c r="F607" t="s">
        <v>12</v>
      </c>
      <c r="G607" t="s">
        <v>12</v>
      </c>
      <c r="H607" s="1">
        <v>61.907346684047702</v>
      </c>
      <c r="I607" s="1">
        <v>79210.098931804794</v>
      </c>
      <c r="J607" s="1">
        <v>51.886299355130703</v>
      </c>
      <c r="K607" s="1"/>
      <c r="L607" s="1"/>
      <c r="M607" s="1"/>
      <c r="N607" s="1"/>
      <c r="O607" s="1"/>
      <c r="P607" s="1"/>
      <c r="Q607" s="1">
        <v>-25219.138466175998</v>
      </c>
      <c r="R607" s="1">
        <v>114058</v>
      </c>
      <c r="S607" t="s">
        <v>9</v>
      </c>
    </row>
    <row r="608" spans="1:19" x14ac:dyDescent="0.55000000000000004">
      <c r="A608" t="s">
        <v>20</v>
      </c>
      <c r="B608">
        <v>1993</v>
      </c>
      <c r="C608">
        <v>3258</v>
      </c>
      <c r="D608" s="2">
        <v>7</v>
      </c>
      <c r="E608" s="3">
        <v>3265</v>
      </c>
      <c r="F608" t="s">
        <v>12</v>
      </c>
      <c r="G608" t="s">
        <v>12</v>
      </c>
      <c r="H608" s="1">
        <v>3.1006833562409599</v>
      </c>
      <c r="I608" s="1">
        <v>76295.594392700907</v>
      </c>
      <c r="J608" s="1"/>
      <c r="K608" s="1"/>
      <c r="L608" s="1"/>
      <c r="M608" s="1"/>
      <c r="N608" s="1"/>
      <c r="O608" s="1"/>
      <c r="P608" s="1"/>
      <c r="Q608" s="1">
        <v>-6410.7985859400296</v>
      </c>
      <c r="R608" s="1">
        <v>85974</v>
      </c>
      <c r="S608" t="s">
        <v>9</v>
      </c>
    </row>
    <row r="609" spans="1:19" x14ac:dyDescent="0.55000000000000004">
      <c r="A609" t="s">
        <v>20</v>
      </c>
      <c r="B609">
        <v>1992</v>
      </c>
      <c r="C609">
        <v>313</v>
      </c>
      <c r="D609" s="2">
        <v>0</v>
      </c>
      <c r="E609" s="3">
        <v>313</v>
      </c>
      <c r="F609" t="s">
        <v>12</v>
      </c>
      <c r="G609" t="s">
        <v>12</v>
      </c>
      <c r="H609" s="1">
        <v>65.577661956129205</v>
      </c>
      <c r="I609" s="1">
        <v>2714.3613480553499</v>
      </c>
      <c r="J609" s="1"/>
      <c r="K609" s="1"/>
      <c r="L609" s="1"/>
      <c r="M609" s="1"/>
      <c r="N609" s="1"/>
      <c r="O609" s="1"/>
      <c r="P609" s="1"/>
      <c r="Q609" s="1">
        <v>-676.04880525554904</v>
      </c>
      <c r="R609" s="1">
        <v>3769</v>
      </c>
      <c r="S609" t="s">
        <v>9</v>
      </c>
    </row>
    <row r="610" spans="1:19" x14ac:dyDescent="0.55000000000000004">
      <c r="A610" t="s">
        <v>20</v>
      </c>
      <c r="B610">
        <v>1991</v>
      </c>
      <c r="C610">
        <v>15000</v>
      </c>
      <c r="D610" s="2">
        <v>0</v>
      </c>
      <c r="E610" s="3">
        <v>15000</v>
      </c>
      <c r="F610" t="s">
        <v>12</v>
      </c>
      <c r="G610" t="s">
        <v>12</v>
      </c>
      <c r="H610" s="1">
        <v>10.6822709563301</v>
      </c>
      <c r="I610" s="1">
        <v>58871.356284605601</v>
      </c>
      <c r="J610" s="1">
        <v>263.61375764857098</v>
      </c>
      <c r="K610" s="1"/>
      <c r="L610" s="1"/>
      <c r="M610" s="1"/>
      <c r="N610" s="1"/>
      <c r="O610" s="1"/>
      <c r="P610" s="1"/>
      <c r="Q610" s="1">
        <v>-64217.695859237203</v>
      </c>
      <c r="R610" s="1">
        <v>138363</v>
      </c>
      <c r="S610" t="s">
        <v>9</v>
      </c>
    </row>
    <row r="611" spans="1:19" x14ac:dyDescent="0.55000000000000004">
      <c r="A611" t="s">
        <v>20</v>
      </c>
      <c r="B611">
        <v>1990</v>
      </c>
      <c r="C611">
        <v>4515</v>
      </c>
      <c r="D611" s="2">
        <v>100</v>
      </c>
      <c r="E611" s="3">
        <v>4615</v>
      </c>
      <c r="F611" t="s">
        <v>12</v>
      </c>
      <c r="G611" t="s">
        <v>12</v>
      </c>
      <c r="H611" s="1">
        <v>0.24787674448380401</v>
      </c>
      <c r="I611" s="1">
        <v>2729.11308831526</v>
      </c>
      <c r="J611" s="1"/>
      <c r="K611" s="1"/>
      <c r="L611" s="1"/>
      <c r="M611" s="1"/>
      <c r="N611" s="1"/>
      <c r="O611" s="1"/>
      <c r="P611" s="1"/>
      <c r="Q611" s="1">
        <v>4615</v>
      </c>
      <c r="R611" s="1">
        <v>7344</v>
      </c>
      <c r="S611" t="s">
        <v>9</v>
      </c>
    </row>
    <row r="612" spans="1:19" x14ac:dyDescent="0.55000000000000004">
      <c r="A612" t="s">
        <v>20</v>
      </c>
      <c r="B612">
        <v>1989</v>
      </c>
      <c r="C612">
        <v>2934</v>
      </c>
      <c r="D612" s="2">
        <v>0</v>
      </c>
      <c r="E612" s="3">
        <v>2934</v>
      </c>
      <c r="F612" t="s">
        <v>12</v>
      </c>
      <c r="G612" t="s">
        <v>12</v>
      </c>
      <c r="H612" s="1">
        <v>0</v>
      </c>
      <c r="I612" s="1">
        <v>31713.797712363699</v>
      </c>
      <c r="J612" s="1"/>
      <c r="K612" s="1"/>
      <c r="L612" s="1"/>
      <c r="M612" s="1"/>
      <c r="N612" s="1"/>
      <c r="O612" s="1"/>
      <c r="P612" s="1"/>
      <c r="Q612" s="1">
        <v>-2978.6657104155802</v>
      </c>
      <c r="R612" s="1">
        <v>37626</v>
      </c>
      <c r="S612" t="s">
        <v>9</v>
      </c>
    </row>
    <row r="613" spans="1:19" x14ac:dyDescent="0.55000000000000004">
      <c r="A613" t="s">
        <v>20</v>
      </c>
      <c r="B613">
        <v>1988</v>
      </c>
      <c r="C613">
        <v>1544</v>
      </c>
      <c r="D613" s="2">
        <v>0</v>
      </c>
      <c r="E613" s="3">
        <v>1544</v>
      </c>
      <c r="F613" t="s">
        <v>12</v>
      </c>
      <c r="G613" t="s">
        <v>12</v>
      </c>
      <c r="H613" s="1">
        <v>0</v>
      </c>
      <c r="I613" s="1">
        <v>4629.2154546765396</v>
      </c>
      <c r="J613" s="1">
        <v>15.702852089321199</v>
      </c>
      <c r="K613" s="1"/>
      <c r="L613" s="1"/>
      <c r="M613" s="1"/>
      <c r="N613" s="1"/>
      <c r="O613" s="1"/>
      <c r="P613" s="1"/>
      <c r="Q613" s="1">
        <v>-3995.5341024080499</v>
      </c>
      <c r="R613" s="1">
        <v>10184</v>
      </c>
      <c r="S613" t="s">
        <v>9</v>
      </c>
    </row>
    <row r="614" spans="1:19" x14ac:dyDescent="0.55000000000000004">
      <c r="A614" t="s">
        <v>20</v>
      </c>
      <c r="B614">
        <v>1987</v>
      </c>
      <c r="C614">
        <v>5228</v>
      </c>
      <c r="D614" s="2">
        <v>69</v>
      </c>
      <c r="E614" s="3">
        <v>5297</v>
      </c>
      <c r="F614" t="s">
        <v>12</v>
      </c>
      <c r="G614" t="s">
        <v>12</v>
      </c>
      <c r="H614" s="1">
        <v>0</v>
      </c>
      <c r="I614" s="1">
        <v>7708.6530605584503</v>
      </c>
      <c r="J614" s="1"/>
      <c r="K614" s="1"/>
      <c r="L614" s="1"/>
      <c r="M614" s="1"/>
      <c r="N614" s="1"/>
      <c r="O614" s="1"/>
      <c r="P614" s="1"/>
      <c r="Q614" s="1">
        <v>5297</v>
      </c>
      <c r="R614" s="1">
        <v>13006</v>
      </c>
      <c r="S614" t="s">
        <v>9</v>
      </c>
    </row>
    <row r="615" spans="1:19" x14ac:dyDescent="0.55000000000000004">
      <c r="A615" t="s">
        <v>20</v>
      </c>
      <c r="B615">
        <v>1986</v>
      </c>
      <c r="C615">
        <v>7265</v>
      </c>
      <c r="D615" s="2">
        <v>25</v>
      </c>
      <c r="E615" s="3">
        <v>7290</v>
      </c>
      <c r="F615" t="s">
        <v>12</v>
      </c>
      <c r="G615" t="s">
        <v>12</v>
      </c>
      <c r="H615" s="1">
        <v>0</v>
      </c>
      <c r="I615" s="1">
        <v>25563.602957919</v>
      </c>
      <c r="J615" s="1">
        <v>154.87522206243099</v>
      </c>
      <c r="K615" s="1"/>
      <c r="L615" s="1"/>
      <c r="M615" s="1"/>
      <c r="N615" s="1"/>
      <c r="O615" s="1"/>
      <c r="P615" s="1"/>
      <c r="Q615" s="1">
        <v>-7825.6622507684397</v>
      </c>
      <c r="R615" s="1">
        <v>40834</v>
      </c>
      <c r="S615" t="s">
        <v>9</v>
      </c>
    </row>
    <row r="616" spans="1:19" x14ac:dyDescent="0.55000000000000004">
      <c r="A616" t="s">
        <v>20</v>
      </c>
      <c r="B616">
        <v>1985</v>
      </c>
      <c r="C616">
        <v>5097</v>
      </c>
      <c r="D616" s="2">
        <v>0</v>
      </c>
      <c r="E616" s="3">
        <v>5097</v>
      </c>
      <c r="F616" t="s">
        <v>12</v>
      </c>
      <c r="G616" t="s">
        <v>12</v>
      </c>
      <c r="H616" s="1">
        <v>79.819709359985595</v>
      </c>
      <c r="I616" s="1">
        <v>7872.3616730553804</v>
      </c>
      <c r="J616" s="1">
        <v>76.430883477052404</v>
      </c>
      <c r="K616" s="1"/>
      <c r="L616" s="1"/>
      <c r="M616" s="1"/>
      <c r="N616" s="1"/>
      <c r="O616" s="1"/>
      <c r="P616" s="1"/>
      <c r="Q616" s="1">
        <v>4727.4179188297203</v>
      </c>
      <c r="R616" s="1">
        <v>13126</v>
      </c>
      <c r="S616" t="s">
        <v>9</v>
      </c>
    </row>
    <row r="617" spans="1:19" x14ac:dyDescent="0.55000000000000004">
      <c r="A617" t="s">
        <v>20</v>
      </c>
      <c r="B617">
        <v>1984</v>
      </c>
      <c r="C617">
        <v>1267</v>
      </c>
      <c r="D617" s="2">
        <v>0</v>
      </c>
      <c r="E617" s="3">
        <v>1267</v>
      </c>
      <c r="F617" t="s">
        <v>12</v>
      </c>
      <c r="G617" t="s">
        <v>12</v>
      </c>
      <c r="H617" s="1">
        <v>0</v>
      </c>
      <c r="I617" s="1">
        <v>13441.1139571229</v>
      </c>
      <c r="J617" s="1">
        <v>52.693068100740703</v>
      </c>
      <c r="K617" s="1"/>
      <c r="L617" s="1"/>
      <c r="M617" s="1"/>
      <c r="N617" s="1"/>
      <c r="O617" s="1"/>
      <c r="P617" s="1"/>
      <c r="Q617" s="1">
        <v>-3112.7925050052199</v>
      </c>
      <c r="R617" s="1">
        <v>17874</v>
      </c>
      <c r="S617" t="s">
        <v>9</v>
      </c>
    </row>
    <row r="618" spans="1:19" x14ac:dyDescent="0.55000000000000004">
      <c r="A618" t="s">
        <v>20</v>
      </c>
      <c r="B618">
        <v>1983</v>
      </c>
      <c r="C618">
        <v>4239</v>
      </c>
      <c r="D618" s="2">
        <v>0</v>
      </c>
      <c r="E618" s="3">
        <v>4239</v>
      </c>
      <c r="F618" t="s">
        <v>12</v>
      </c>
      <c r="G618" t="s">
        <v>12</v>
      </c>
      <c r="H618" s="1">
        <v>735.21645684424504</v>
      </c>
      <c r="I618" s="1">
        <v>23008.865783780999</v>
      </c>
      <c r="J618" s="1">
        <v>134.92599888015999</v>
      </c>
      <c r="K618" s="1"/>
      <c r="L618" s="1"/>
      <c r="M618" s="1"/>
      <c r="N618" s="1"/>
      <c r="O618" s="1"/>
      <c r="P618" s="1"/>
      <c r="Q618" s="1">
        <v>3311.6423644920401</v>
      </c>
      <c r="R618" s="1">
        <v>28118</v>
      </c>
      <c r="S618" t="s">
        <v>9</v>
      </c>
    </row>
    <row r="619" spans="1:19" x14ac:dyDescent="0.55000000000000004">
      <c r="A619" t="s">
        <v>20</v>
      </c>
      <c r="B619">
        <v>1982</v>
      </c>
      <c r="C619">
        <v>9189</v>
      </c>
      <c r="D619" s="2">
        <v>0</v>
      </c>
      <c r="E619" s="3">
        <v>9189</v>
      </c>
      <c r="F619" t="s">
        <v>12</v>
      </c>
      <c r="G619" t="s">
        <v>12</v>
      </c>
      <c r="H619" s="1"/>
      <c r="I619" s="1">
        <v>27456.870854091401</v>
      </c>
      <c r="J619" s="1">
        <v>106.09716730328699</v>
      </c>
      <c r="K619" s="1"/>
      <c r="L619" s="1"/>
      <c r="M619" s="1"/>
      <c r="N619" s="1"/>
      <c r="O619" s="1"/>
      <c r="P619" s="1"/>
      <c r="Q619" s="1">
        <v>369.236661731298</v>
      </c>
      <c r="R619" s="1">
        <v>36752</v>
      </c>
      <c r="S619" t="s">
        <v>9</v>
      </c>
    </row>
    <row r="620" spans="1:19" x14ac:dyDescent="0.55000000000000004">
      <c r="A620" t="s">
        <v>20</v>
      </c>
      <c r="B620">
        <v>1981</v>
      </c>
      <c r="C620">
        <v>3193</v>
      </c>
      <c r="D620" s="2">
        <v>0</v>
      </c>
      <c r="E620" s="3">
        <v>3193</v>
      </c>
      <c r="F620" t="s">
        <v>12</v>
      </c>
      <c r="G620" t="s">
        <v>12</v>
      </c>
      <c r="H620" s="1"/>
      <c r="I620" s="1">
        <v>14666.986135356099</v>
      </c>
      <c r="J620" s="1">
        <v>199.013379570539</v>
      </c>
      <c r="K620" s="1"/>
      <c r="L620" s="1"/>
      <c r="M620" s="1"/>
      <c r="N620" s="1"/>
      <c r="O620" s="1"/>
      <c r="P620" s="1"/>
      <c r="Q620" s="1">
        <v>261.47892525549702</v>
      </c>
      <c r="R620" s="1">
        <v>18059</v>
      </c>
      <c r="S620" t="s">
        <v>9</v>
      </c>
    </row>
    <row r="621" spans="1:19" x14ac:dyDescent="0.55000000000000004">
      <c r="A621" t="s">
        <v>20</v>
      </c>
      <c r="B621">
        <v>1980</v>
      </c>
      <c r="C621">
        <v>5092</v>
      </c>
      <c r="D621" s="2">
        <v>0</v>
      </c>
      <c r="E621" s="3">
        <v>5092</v>
      </c>
      <c r="F621" t="s">
        <v>12</v>
      </c>
      <c r="G621" t="s">
        <v>12</v>
      </c>
      <c r="H621" s="1"/>
      <c r="I621" s="1">
        <v>10203.303092821099</v>
      </c>
      <c r="J621" s="1">
        <v>237.519116652549</v>
      </c>
      <c r="K621" s="1"/>
      <c r="L621" s="1"/>
      <c r="M621" s="1"/>
      <c r="N621" s="1"/>
      <c r="O621" s="1"/>
      <c r="P621" s="1"/>
      <c r="Q621" s="1">
        <v>-1741.1105016305401</v>
      </c>
      <c r="R621" s="1">
        <v>17274</v>
      </c>
      <c r="S621" t="s">
        <v>9</v>
      </c>
    </row>
    <row r="622" spans="1:19" x14ac:dyDescent="0.55000000000000004">
      <c r="A622" t="s">
        <v>20</v>
      </c>
      <c r="B622">
        <v>1979</v>
      </c>
      <c r="C622">
        <v>45615</v>
      </c>
      <c r="D622" s="2">
        <v>91</v>
      </c>
      <c r="E622" s="3">
        <v>45706</v>
      </c>
      <c r="F622" t="s">
        <v>12</v>
      </c>
      <c r="G622" t="s">
        <v>12</v>
      </c>
      <c r="H622" s="1"/>
      <c r="I622" s="1">
        <v>100658.17429960601</v>
      </c>
      <c r="J622" s="1">
        <v>2879.6132727709501</v>
      </c>
      <c r="K622" s="1"/>
      <c r="L622" s="1"/>
      <c r="M622" s="1"/>
      <c r="N622" s="1"/>
      <c r="O622" s="1"/>
      <c r="P622" s="1"/>
      <c r="Q622" s="1">
        <v>3010.2768592358302</v>
      </c>
      <c r="R622" s="1">
        <v>149244</v>
      </c>
      <c r="S622" t="s">
        <v>9</v>
      </c>
    </row>
    <row r="623" spans="1:19" x14ac:dyDescent="0.55000000000000004">
      <c r="A623" t="s">
        <v>20</v>
      </c>
      <c r="B623">
        <v>1978</v>
      </c>
      <c r="C623">
        <v>19717</v>
      </c>
      <c r="D623" s="2">
        <v>30</v>
      </c>
      <c r="E623" s="3">
        <v>19747</v>
      </c>
      <c r="F623" t="s">
        <v>12</v>
      </c>
      <c r="G623" t="s">
        <v>12</v>
      </c>
      <c r="H623" s="1"/>
      <c r="I623" s="1">
        <v>37630.562078391602</v>
      </c>
      <c r="J623" s="1">
        <v>540.99156332476298</v>
      </c>
      <c r="K623" s="1"/>
      <c r="L623" s="1"/>
      <c r="M623" s="1"/>
      <c r="N623" s="1"/>
      <c r="O623" s="1"/>
      <c r="P623" s="1"/>
      <c r="Q623" s="1">
        <v>6223.0577290798101</v>
      </c>
      <c r="R623" s="1">
        <v>57919</v>
      </c>
      <c r="S623" t="s">
        <v>9</v>
      </c>
    </row>
    <row r="624" spans="1:19" x14ac:dyDescent="0.55000000000000004">
      <c r="A624" t="s">
        <v>20</v>
      </c>
      <c r="B624">
        <v>1977</v>
      </c>
      <c r="C624">
        <v>2246</v>
      </c>
      <c r="D624" s="2">
        <v>0</v>
      </c>
      <c r="E624" s="3">
        <v>2246</v>
      </c>
      <c r="F624" t="s">
        <v>12</v>
      </c>
      <c r="G624" t="s">
        <v>12</v>
      </c>
      <c r="H624" s="1"/>
      <c r="I624" s="1">
        <v>9322.8758698671209</v>
      </c>
      <c r="J624" s="1">
        <v>100.488263628532</v>
      </c>
      <c r="K624" s="1"/>
      <c r="L624" s="1"/>
      <c r="M624" s="1"/>
      <c r="N624" s="1"/>
      <c r="O624" s="1"/>
      <c r="P624" s="1"/>
      <c r="Q624" s="1">
        <v>-675.63942363294302</v>
      </c>
      <c r="R624" s="1">
        <v>12345</v>
      </c>
      <c r="S624" t="s">
        <v>9</v>
      </c>
    </row>
    <row r="625" spans="1:19" x14ac:dyDescent="0.55000000000000004">
      <c r="A625" t="s">
        <v>20</v>
      </c>
      <c r="B625">
        <v>1976</v>
      </c>
      <c r="C625">
        <v>5130</v>
      </c>
      <c r="D625" s="2">
        <v>0</v>
      </c>
      <c r="E625" s="3">
        <v>5130</v>
      </c>
      <c r="F625" t="s">
        <v>12</v>
      </c>
      <c r="G625" t="s">
        <v>12</v>
      </c>
      <c r="H625" s="1"/>
      <c r="I625" s="1">
        <v>27893</v>
      </c>
      <c r="J625" s="1">
        <v>43</v>
      </c>
      <c r="K625" s="1"/>
      <c r="L625" s="1"/>
      <c r="M625" s="1"/>
      <c r="N625" s="1"/>
      <c r="O625" s="1"/>
      <c r="P625" s="1"/>
      <c r="Q625" s="1"/>
      <c r="R625" s="1">
        <v>33066</v>
      </c>
      <c r="S625" t="s">
        <v>12</v>
      </c>
    </row>
    <row r="626" spans="1:19" x14ac:dyDescent="0.55000000000000004">
      <c r="A626" t="s">
        <v>20</v>
      </c>
      <c r="B626">
        <v>1975</v>
      </c>
      <c r="C626">
        <v>5987</v>
      </c>
      <c r="D626" s="2">
        <v>0</v>
      </c>
      <c r="E626" s="3">
        <v>5987</v>
      </c>
      <c r="F626" t="s">
        <v>12</v>
      </c>
      <c r="G626" t="s">
        <v>12</v>
      </c>
      <c r="H626" s="1"/>
      <c r="I626" s="1">
        <v>17413</v>
      </c>
      <c r="J626" s="1">
        <v>71</v>
      </c>
      <c r="K626" s="1"/>
      <c r="L626" s="1"/>
      <c r="M626" s="1"/>
      <c r="N626" s="1"/>
      <c r="O626" s="1"/>
      <c r="P626" s="1"/>
      <c r="Q626" s="1"/>
      <c r="R626" s="1">
        <v>23471</v>
      </c>
      <c r="S626" t="s">
        <v>11</v>
      </c>
    </row>
    <row r="627" spans="1:19" x14ac:dyDescent="0.55000000000000004">
      <c r="A627" t="s">
        <v>20</v>
      </c>
      <c r="B627">
        <v>1974</v>
      </c>
      <c r="C627">
        <v>16920</v>
      </c>
      <c r="D627" s="2">
        <v>0</v>
      </c>
      <c r="E627" s="3">
        <v>16920</v>
      </c>
      <c r="F627" t="s">
        <v>12</v>
      </c>
      <c r="G627" t="s">
        <v>12</v>
      </c>
      <c r="H627" s="1"/>
      <c r="I627" s="1">
        <v>92266.000000000204</v>
      </c>
      <c r="J627" s="1">
        <v>904</v>
      </c>
      <c r="K627" s="1"/>
      <c r="L627" s="1"/>
      <c r="M627" s="1"/>
      <c r="N627" s="1"/>
      <c r="O627" s="1"/>
      <c r="P627" s="1"/>
      <c r="Q627" s="1"/>
      <c r="R627" s="1">
        <v>110090</v>
      </c>
      <c r="S627" t="s">
        <v>12</v>
      </c>
    </row>
    <row r="628" spans="1:19" x14ac:dyDescent="0.55000000000000004">
      <c r="A628" t="s">
        <v>20</v>
      </c>
      <c r="B628">
        <v>1973</v>
      </c>
      <c r="C628">
        <v>3060</v>
      </c>
      <c r="D628" s="2">
        <v>0</v>
      </c>
      <c r="E628" s="3">
        <v>3060</v>
      </c>
      <c r="F628" t="s">
        <v>12</v>
      </c>
      <c r="G628" t="s">
        <v>12</v>
      </c>
      <c r="H628" s="1"/>
      <c r="I628" s="1">
        <v>20634</v>
      </c>
      <c r="J628" s="1">
        <v>79</v>
      </c>
      <c r="K628" s="1"/>
      <c r="L628" s="1"/>
      <c r="M628" s="1"/>
      <c r="N628" s="1"/>
      <c r="O628" s="1"/>
      <c r="P628" s="1"/>
      <c r="Q628" s="1"/>
      <c r="R628" s="1">
        <v>23773</v>
      </c>
      <c r="S628" t="s">
        <v>12</v>
      </c>
    </row>
    <row r="629" spans="1:19" x14ac:dyDescent="0.55000000000000004">
      <c r="A629" t="s">
        <v>20</v>
      </c>
      <c r="B629">
        <v>1972</v>
      </c>
      <c r="C629">
        <v>1346</v>
      </c>
      <c r="D629" s="2">
        <v>53</v>
      </c>
      <c r="E629" s="3">
        <v>1399</v>
      </c>
      <c r="F629" t="s">
        <v>12</v>
      </c>
      <c r="G629" t="s">
        <v>12</v>
      </c>
      <c r="H629" s="1"/>
      <c r="I629" s="1">
        <v>1829</v>
      </c>
      <c r="J629" s="1">
        <v>5</v>
      </c>
      <c r="K629" s="1"/>
      <c r="L629" s="1"/>
      <c r="M629" s="1"/>
      <c r="N629" s="1"/>
      <c r="O629" s="1"/>
      <c r="P629" s="1"/>
      <c r="Q629" s="1"/>
      <c r="R629" s="1">
        <v>3233</v>
      </c>
      <c r="S629" t="s">
        <v>12</v>
      </c>
    </row>
    <row r="630" spans="1:19" x14ac:dyDescent="0.55000000000000004">
      <c r="A630" t="s">
        <v>20</v>
      </c>
      <c r="B630">
        <v>1971</v>
      </c>
      <c r="C630">
        <v>3790</v>
      </c>
      <c r="D630" s="2">
        <v>0</v>
      </c>
      <c r="E630" s="3">
        <v>3790</v>
      </c>
      <c r="F630" t="s">
        <v>12</v>
      </c>
      <c r="G630" t="s">
        <v>12</v>
      </c>
      <c r="H630" s="1"/>
      <c r="I630" s="1">
        <v>63705</v>
      </c>
      <c r="J630" s="1">
        <v>202</v>
      </c>
      <c r="K630" s="1"/>
      <c r="L630" s="1"/>
      <c r="M630" s="1"/>
      <c r="N630" s="1"/>
      <c r="O630" s="1"/>
      <c r="P630" s="1"/>
      <c r="Q630" s="1"/>
      <c r="R630" s="1">
        <v>67697</v>
      </c>
      <c r="S630" t="s">
        <v>12</v>
      </c>
    </row>
    <row r="631" spans="1:19" x14ac:dyDescent="0.55000000000000004">
      <c r="A631" t="s">
        <v>20</v>
      </c>
      <c r="B631">
        <v>1970</v>
      </c>
      <c r="C631">
        <v>12666</v>
      </c>
      <c r="D631" s="2">
        <v>9</v>
      </c>
      <c r="E631" s="3">
        <v>12675</v>
      </c>
      <c r="F631" t="s">
        <v>12</v>
      </c>
      <c r="G631" t="s">
        <v>12</v>
      </c>
      <c r="H631" s="1"/>
      <c r="I631" s="1">
        <v>50277</v>
      </c>
      <c r="J631" s="1">
        <v>368</v>
      </c>
      <c r="K631" s="1"/>
      <c r="L631" s="1"/>
      <c r="M631" s="1"/>
      <c r="N631" s="1"/>
      <c r="O631" s="1"/>
      <c r="P631" s="1"/>
      <c r="Q631" s="1"/>
      <c r="R631" s="1">
        <v>63320</v>
      </c>
      <c r="S631" t="s">
        <v>12</v>
      </c>
    </row>
    <row r="632" spans="1:19" x14ac:dyDescent="0.55000000000000004">
      <c r="A632" t="s">
        <v>20</v>
      </c>
      <c r="B632">
        <v>1969</v>
      </c>
      <c r="C632">
        <v>14959</v>
      </c>
      <c r="D632" s="2">
        <v>47</v>
      </c>
      <c r="E632" s="3">
        <v>15006</v>
      </c>
      <c r="F632" t="s">
        <v>12</v>
      </c>
      <c r="G632" t="s">
        <v>12</v>
      </c>
      <c r="H632" s="1"/>
      <c r="I632" s="1">
        <v>51938.097609561803</v>
      </c>
      <c r="J632" s="1">
        <v>192</v>
      </c>
      <c r="K632" s="1"/>
      <c r="L632" s="1"/>
      <c r="M632" s="1"/>
      <c r="N632" s="1"/>
      <c r="O632" s="1"/>
      <c r="P632" s="1"/>
      <c r="Q632" s="1"/>
      <c r="R632" s="1">
        <v>67136</v>
      </c>
      <c r="S632" t="s">
        <v>12</v>
      </c>
    </row>
    <row r="633" spans="1:19" x14ac:dyDescent="0.55000000000000004">
      <c r="A633" t="s">
        <v>20</v>
      </c>
      <c r="B633">
        <v>1968</v>
      </c>
      <c r="C633">
        <v>5379</v>
      </c>
      <c r="D633" s="2">
        <v>12</v>
      </c>
      <c r="E633" s="3">
        <v>5391</v>
      </c>
      <c r="F633" t="s">
        <v>12</v>
      </c>
      <c r="G633" t="s">
        <v>12</v>
      </c>
      <c r="H633" s="1"/>
      <c r="I633" s="1">
        <v>13164.6928271046</v>
      </c>
      <c r="J633" s="1">
        <v>319</v>
      </c>
      <c r="K633" s="1"/>
      <c r="L633" s="1"/>
      <c r="M633" s="1"/>
      <c r="N633" s="1"/>
      <c r="O633" s="1"/>
      <c r="P633" s="1"/>
      <c r="Q633" s="1"/>
      <c r="R633" s="1">
        <v>18875</v>
      </c>
      <c r="S633" t="s">
        <v>12</v>
      </c>
    </row>
    <row r="634" spans="1:19" x14ac:dyDescent="0.55000000000000004">
      <c r="A634" t="s">
        <v>20</v>
      </c>
      <c r="B634">
        <v>1967</v>
      </c>
      <c r="C634">
        <v>20548</v>
      </c>
      <c r="D634" s="2">
        <v>29</v>
      </c>
      <c r="E634" s="3">
        <v>20577</v>
      </c>
      <c r="F634" t="s">
        <v>12</v>
      </c>
      <c r="G634" t="s">
        <v>12</v>
      </c>
      <c r="H634" s="1"/>
      <c r="I634" s="1">
        <v>92881</v>
      </c>
      <c r="J634" s="1">
        <v>217</v>
      </c>
      <c r="K634" s="1"/>
      <c r="L634" s="1"/>
      <c r="M634" s="1"/>
      <c r="N634" s="1"/>
      <c r="O634" s="1"/>
      <c r="P634" s="1"/>
      <c r="Q634" s="1"/>
      <c r="R634" s="1">
        <v>113675</v>
      </c>
      <c r="S634" t="s">
        <v>12</v>
      </c>
    </row>
    <row r="635" spans="1:19" x14ac:dyDescent="0.55000000000000004">
      <c r="A635" t="s">
        <v>20</v>
      </c>
      <c r="B635">
        <v>1966</v>
      </c>
      <c r="C635">
        <v>32646</v>
      </c>
      <c r="D635" s="2">
        <v>26</v>
      </c>
      <c r="E635" s="3">
        <v>32672</v>
      </c>
      <c r="F635" t="s">
        <v>12</v>
      </c>
      <c r="G635" t="s">
        <v>12</v>
      </c>
      <c r="H635" s="1"/>
      <c r="I635" s="1">
        <v>92149</v>
      </c>
      <c r="J635" s="1">
        <v>1212</v>
      </c>
      <c r="K635" s="1"/>
      <c r="L635" s="1"/>
      <c r="M635" s="1"/>
      <c r="N635" s="1"/>
      <c r="O635" s="1"/>
      <c r="P635" s="1"/>
      <c r="Q635" s="1"/>
      <c r="R635" s="1">
        <v>126033</v>
      </c>
      <c r="S635" t="s">
        <v>12</v>
      </c>
    </row>
    <row r="636" spans="1:19" x14ac:dyDescent="0.55000000000000004">
      <c r="A636" t="s">
        <v>20</v>
      </c>
      <c r="B636">
        <v>1965</v>
      </c>
      <c r="C636">
        <v>15034</v>
      </c>
      <c r="D636" s="2">
        <v>0</v>
      </c>
      <c r="E636" s="3">
        <v>15034</v>
      </c>
      <c r="F636" t="s">
        <v>12</v>
      </c>
      <c r="G636" t="s">
        <v>12</v>
      </c>
      <c r="H636" s="1"/>
      <c r="I636" s="1">
        <v>42660</v>
      </c>
      <c r="J636" s="1">
        <v>1058</v>
      </c>
      <c r="K636" s="1"/>
      <c r="L636" s="1"/>
      <c r="M636" s="1"/>
      <c r="N636" s="1"/>
      <c r="O636" s="1"/>
      <c r="P636" s="1"/>
      <c r="Q636" s="1"/>
      <c r="R636" s="1">
        <v>58752</v>
      </c>
      <c r="S636" t="s">
        <v>12</v>
      </c>
    </row>
    <row r="637" spans="1:19" x14ac:dyDescent="0.55000000000000004">
      <c r="A637" t="s">
        <v>20</v>
      </c>
      <c r="B637">
        <v>1964</v>
      </c>
      <c r="C637">
        <v>2202</v>
      </c>
      <c r="D637" s="2">
        <v>0</v>
      </c>
      <c r="E637" s="3">
        <v>2202</v>
      </c>
      <c r="F637" t="s">
        <v>12</v>
      </c>
      <c r="G637" t="s">
        <v>12</v>
      </c>
      <c r="H637" s="1"/>
      <c r="I637" s="1">
        <v>3600</v>
      </c>
      <c r="J637" s="1">
        <v>144</v>
      </c>
      <c r="K637" s="1"/>
      <c r="L637" s="1"/>
      <c r="M637" s="1"/>
      <c r="N637" s="1"/>
      <c r="O637" s="1"/>
      <c r="P637" s="1"/>
      <c r="Q637" s="1"/>
      <c r="R637" s="1">
        <v>5946</v>
      </c>
      <c r="S637" t="s">
        <v>11</v>
      </c>
    </row>
    <row r="638" spans="1:19" x14ac:dyDescent="0.55000000000000004">
      <c r="A638" t="s">
        <v>20</v>
      </c>
      <c r="B638">
        <v>1963</v>
      </c>
      <c r="C638">
        <v>22258</v>
      </c>
      <c r="D638" s="2">
        <v>29</v>
      </c>
      <c r="E638" s="3">
        <v>22287</v>
      </c>
      <c r="F638" t="s">
        <v>12</v>
      </c>
      <c r="G638" t="s">
        <v>12</v>
      </c>
      <c r="H638" s="1"/>
      <c r="I638" s="1">
        <v>21769</v>
      </c>
      <c r="J638" s="1">
        <v>897</v>
      </c>
      <c r="K638" s="1"/>
      <c r="L638" s="1"/>
      <c r="M638" s="1"/>
      <c r="N638" s="1"/>
      <c r="O638" s="1"/>
      <c r="P638" s="1"/>
      <c r="Q638" s="1"/>
      <c r="R638" s="1">
        <v>44953</v>
      </c>
      <c r="S638" t="s">
        <v>12</v>
      </c>
    </row>
    <row r="639" spans="1:19" x14ac:dyDescent="0.55000000000000004">
      <c r="A639" t="s">
        <v>20</v>
      </c>
      <c r="B639">
        <v>1962</v>
      </c>
      <c r="C639">
        <v>8162</v>
      </c>
      <c r="D639" s="2">
        <v>0</v>
      </c>
      <c r="E639" s="3">
        <v>8162</v>
      </c>
      <c r="F639" t="s">
        <v>12</v>
      </c>
      <c r="G639" t="s">
        <v>12</v>
      </c>
      <c r="H639" s="1"/>
      <c r="I639" s="1">
        <v>9978</v>
      </c>
      <c r="J639" s="1">
        <v>379</v>
      </c>
      <c r="K639" s="1"/>
      <c r="L639" s="1"/>
      <c r="M639" s="1"/>
      <c r="N639" s="1"/>
      <c r="O639" s="1"/>
      <c r="P639" s="1"/>
      <c r="Q639" s="1"/>
      <c r="R639" s="1">
        <v>18519</v>
      </c>
      <c r="S639" t="s">
        <v>12</v>
      </c>
    </row>
    <row r="640" spans="1:19" x14ac:dyDescent="0.55000000000000004">
      <c r="A640" t="s">
        <v>20</v>
      </c>
      <c r="B640">
        <v>1961</v>
      </c>
      <c r="C640">
        <v>42773</v>
      </c>
      <c r="D640" s="2">
        <v>5</v>
      </c>
      <c r="E640" s="3">
        <v>42778</v>
      </c>
      <c r="F640" t="s">
        <v>12</v>
      </c>
      <c r="G640" t="s">
        <v>12</v>
      </c>
      <c r="H640" s="1"/>
      <c r="I640" s="1">
        <v>36370.537691140402</v>
      </c>
      <c r="J640" s="1">
        <v>1976.36656939419</v>
      </c>
      <c r="K640" s="1"/>
      <c r="L640" s="1"/>
      <c r="M640" s="1"/>
      <c r="N640" s="1"/>
      <c r="O640" s="1"/>
      <c r="P640" s="1"/>
      <c r="Q640" s="1"/>
      <c r="R640" s="1">
        <v>81125</v>
      </c>
      <c r="S640" t="s">
        <v>12</v>
      </c>
    </row>
    <row r="641" spans="1:19" x14ac:dyDescent="0.55000000000000004">
      <c r="A641" t="s">
        <v>20</v>
      </c>
      <c r="B641">
        <v>1960</v>
      </c>
      <c r="C641">
        <v>17210</v>
      </c>
      <c r="D641" s="2">
        <v>70</v>
      </c>
      <c r="E641" s="3">
        <v>17280</v>
      </c>
      <c r="F641" t="s">
        <v>12</v>
      </c>
      <c r="G641" t="s">
        <v>12</v>
      </c>
      <c r="H641" s="1"/>
      <c r="I641" s="1">
        <v>19008</v>
      </c>
      <c r="J641" s="1">
        <v>288</v>
      </c>
      <c r="K641" s="1"/>
      <c r="L641" s="1"/>
      <c r="M641" s="1"/>
      <c r="N641" s="1"/>
      <c r="O641" s="1"/>
      <c r="P641" s="1"/>
      <c r="Q641" s="1"/>
      <c r="R641" s="1">
        <v>36576</v>
      </c>
      <c r="S641" t="s">
        <v>11</v>
      </c>
    </row>
    <row r="642" spans="1:19" x14ac:dyDescent="0.55000000000000004">
      <c r="A642" t="s">
        <v>20</v>
      </c>
      <c r="B642">
        <v>1959</v>
      </c>
      <c r="C642">
        <v>27868</v>
      </c>
      <c r="D642" s="2">
        <v>17</v>
      </c>
      <c r="E642" s="3">
        <v>27885</v>
      </c>
      <c r="F642" t="s">
        <v>12</v>
      </c>
      <c r="G642" t="s">
        <v>12</v>
      </c>
      <c r="H642" s="1"/>
      <c r="I642" s="1">
        <v>160523</v>
      </c>
      <c r="J642" s="1">
        <v>930</v>
      </c>
      <c r="K642" s="1"/>
      <c r="L642" s="1"/>
      <c r="M642" s="1"/>
      <c r="N642" s="1"/>
      <c r="O642" s="1"/>
      <c r="P642" s="1"/>
      <c r="Q642" s="1"/>
      <c r="R642" s="1">
        <v>189338</v>
      </c>
      <c r="S642" t="s">
        <v>12</v>
      </c>
    </row>
    <row r="643" spans="1:19" x14ac:dyDescent="0.55000000000000004">
      <c r="A643" t="s">
        <v>20</v>
      </c>
      <c r="B643">
        <v>1958</v>
      </c>
      <c r="C643">
        <v>14701</v>
      </c>
      <c r="D643" s="2">
        <v>0</v>
      </c>
      <c r="E643" s="3">
        <v>14701</v>
      </c>
      <c r="F643" t="s">
        <v>12</v>
      </c>
      <c r="G643" t="s">
        <v>12</v>
      </c>
      <c r="H643" s="1"/>
      <c r="I643" s="1">
        <v>131210</v>
      </c>
      <c r="J643" s="1">
        <v>15</v>
      </c>
      <c r="K643" s="1"/>
      <c r="L643" s="1"/>
      <c r="M643" s="1"/>
      <c r="N643" s="1"/>
      <c r="O643" s="1"/>
      <c r="P643" s="1"/>
      <c r="Q643" s="1"/>
      <c r="R643" s="1">
        <v>145926</v>
      </c>
      <c r="S643" t="s">
        <v>12</v>
      </c>
    </row>
    <row r="644" spans="1:19" x14ac:dyDescent="0.55000000000000004">
      <c r="A644" t="s">
        <v>20</v>
      </c>
      <c r="B644">
        <v>1957</v>
      </c>
      <c r="C644">
        <v>3793</v>
      </c>
      <c r="D644" s="2">
        <v>19</v>
      </c>
      <c r="E644" s="3">
        <v>3812</v>
      </c>
      <c r="F644" t="s">
        <v>12</v>
      </c>
      <c r="G644" t="s">
        <v>12</v>
      </c>
      <c r="H644" s="1"/>
      <c r="I644" s="1">
        <v>16743</v>
      </c>
      <c r="J644" s="1">
        <v>15</v>
      </c>
      <c r="K644" s="1"/>
      <c r="L644" s="1"/>
      <c r="M644" s="1"/>
      <c r="N644" s="1"/>
      <c r="O644" s="1"/>
      <c r="P644" s="1"/>
      <c r="Q644" s="1"/>
      <c r="R644" s="1">
        <v>20570</v>
      </c>
      <c r="S644" t="s">
        <v>12</v>
      </c>
    </row>
    <row r="645" spans="1:19" x14ac:dyDescent="0.55000000000000004">
      <c r="A645" t="s">
        <v>20</v>
      </c>
      <c r="B645">
        <v>1956</v>
      </c>
      <c r="C645">
        <v>2586</v>
      </c>
      <c r="D645" s="2">
        <v>0</v>
      </c>
      <c r="E645" s="3">
        <v>2586</v>
      </c>
      <c r="F645" t="s">
        <v>12</v>
      </c>
      <c r="G645" t="s">
        <v>12</v>
      </c>
      <c r="H645" s="1"/>
      <c r="I645" s="1">
        <v>14115.0045558087</v>
      </c>
      <c r="J645" s="1">
        <v>8.8359908883826908</v>
      </c>
      <c r="K645" s="1"/>
      <c r="L645" s="1"/>
      <c r="M645" s="1"/>
      <c r="N645" s="1"/>
      <c r="O645" s="1"/>
      <c r="P645" s="1"/>
      <c r="Q645" s="1"/>
      <c r="R645" s="1">
        <v>16710</v>
      </c>
      <c r="S645" t="s">
        <v>12</v>
      </c>
    </row>
    <row r="646" spans="1:19" x14ac:dyDescent="0.55000000000000004">
      <c r="A646" t="s">
        <v>20</v>
      </c>
      <c r="B646">
        <v>1955</v>
      </c>
      <c r="C646">
        <v>5595</v>
      </c>
      <c r="D646" s="2">
        <v>0</v>
      </c>
      <c r="E646" s="3">
        <v>5595</v>
      </c>
      <c r="F646" t="s">
        <v>12</v>
      </c>
      <c r="G646" t="s">
        <v>12</v>
      </c>
      <c r="H646" s="1"/>
      <c r="I646" s="1">
        <v>40287.929762949898</v>
      </c>
      <c r="J646" s="1">
        <v>26</v>
      </c>
      <c r="K646" s="1"/>
      <c r="L646" s="1"/>
      <c r="M646" s="1"/>
      <c r="N646" s="1"/>
      <c r="O646" s="1"/>
      <c r="P646" s="1"/>
      <c r="Q646" s="1"/>
      <c r="R646" s="1">
        <v>45909</v>
      </c>
      <c r="S646" t="s">
        <v>11</v>
      </c>
    </row>
    <row r="647" spans="1:19" x14ac:dyDescent="0.55000000000000004">
      <c r="A647" t="s">
        <v>20</v>
      </c>
      <c r="B647">
        <v>1954</v>
      </c>
      <c r="C647">
        <v>28800</v>
      </c>
      <c r="D647" s="2">
        <v>0</v>
      </c>
      <c r="E647" s="3">
        <v>28800</v>
      </c>
      <c r="F647" t="s">
        <v>12</v>
      </c>
      <c r="G647" t="s">
        <v>12</v>
      </c>
      <c r="H647" s="1"/>
      <c r="I647" s="1">
        <v>230178</v>
      </c>
      <c r="J647" s="1">
        <v>33</v>
      </c>
      <c r="K647" s="1"/>
      <c r="L647" s="1"/>
      <c r="M647" s="1"/>
      <c r="N647" s="1"/>
      <c r="O647" s="1"/>
      <c r="P647" s="1"/>
      <c r="Q647" s="1"/>
      <c r="R647" s="1">
        <v>259011</v>
      </c>
      <c r="S647" t="s">
        <v>12</v>
      </c>
    </row>
    <row r="648" spans="1:19" x14ac:dyDescent="0.55000000000000004">
      <c r="A648" t="s">
        <v>20</v>
      </c>
      <c r="B648">
        <v>1953</v>
      </c>
      <c r="C648">
        <v>21030</v>
      </c>
      <c r="D648" s="2">
        <v>298</v>
      </c>
      <c r="E648" s="3">
        <v>21328</v>
      </c>
      <c r="F648" t="s">
        <v>12</v>
      </c>
      <c r="G648" t="s">
        <v>12</v>
      </c>
      <c r="H648" s="1"/>
      <c r="I648" s="1">
        <v>87548</v>
      </c>
      <c r="J648" s="1">
        <v>37</v>
      </c>
      <c r="K648" s="1"/>
      <c r="L648" s="1"/>
      <c r="M648" s="1"/>
      <c r="N648" s="1"/>
      <c r="O648" s="1"/>
      <c r="P648" s="1"/>
      <c r="Q648" s="1"/>
      <c r="R648" s="1">
        <v>108913</v>
      </c>
      <c r="S648" t="s">
        <v>12</v>
      </c>
    </row>
    <row r="649" spans="1:19" x14ac:dyDescent="0.55000000000000004">
      <c r="A649" t="s">
        <v>20</v>
      </c>
      <c r="B649">
        <v>1952</v>
      </c>
      <c r="C649">
        <v>25794</v>
      </c>
      <c r="D649" s="2">
        <v>0</v>
      </c>
      <c r="E649" s="3">
        <v>25794</v>
      </c>
      <c r="F649" t="s">
        <v>12</v>
      </c>
      <c r="G649" t="s">
        <v>12</v>
      </c>
      <c r="H649" s="1"/>
      <c r="I649" s="1">
        <v>55719</v>
      </c>
      <c r="J649" s="1">
        <v>82</v>
      </c>
      <c r="K649" s="1"/>
      <c r="L649" s="1"/>
      <c r="M649" s="1"/>
      <c r="N649" s="1"/>
      <c r="O649" s="1"/>
      <c r="P649" s="1"/>
      <c r="Q649" s="1"/>
      <c r="R649" s="1">
        <v>81595</v>
      </c>
      <c r="S649" t="s">
        <v>12</v>
      </c>
    </row>
    <row r="650" spans="1:19" x14ac:dyDescent="0.55000000000000004">
      <c r="A650" t="s">
        <v>21</v>
      </c>
      <c r="B650">
        <v>2023</v>
      </c>
      <c r="C650">
        <v>3820</v>
      </c>
      <c r="D650" s="2">
        <v>1</v>
      </c>
      <c r="E650" s="3">
        <v>3821</v>
      </c>
      <c r="F650" t="s">
        <v>12</v>
      </c>
      <c r="G650" t="s">
        <v>12</v>
      </c>
      <c r="H650" s="1">
        <v>19.639167910413001</v>
      </c>
      <c r="I650" s="1">
        <v>70.416804551631898</v>
      </c>
      <c r="J650" s="1">
        <v>0.14416508747644799</v>
      </c>
      <c r="K650" s="1"/>
      <c r="L650" s="1">
        <v>1281.1483142060099</v>
      </c>
      <c r="M650" s="1">
        <v>24.4449426180438</v>
      </c>
      <c r="N650" s="1"/>
      <c r="O650" s="1">
        <v>2.50901170566432</v>
      </c>
      <c r="P650" s="1"/>
      <c r="Q650" s="1">
        <v>-4882.3035703247697</v>
      </c>
      <c r="R650" s="1">
        <v>5219</v>
      </c>
      <c r="S650" t="s">
        <v>11</v>
      </c>
    </row>
    <row r="651" spans="1:19" x14ac:dyDescent="0.55000000000000004">
      <c r="A651" t="s">
        <v>21</v>
      </c>
      <c r="B651">
        <v>2022</v>
      </c>
      <c r="C651">
        <v>3143</v>
      </c>
      <c r="D651" s="2">
        <v>97</v>
      </c>
      <c r="E651" s="3">
        <v>3240</v>
      </c>
      <c r="F651" t="s">
        <v>12</v>
      </c>
      <c r="G651" t="s">
        <v>12</v>
      </c>
      <c r="H651" s="1">
        <v>13.429318287409799</v>
      </c>
      <c r="I651" s="1">
        <v>783.98388911516997</v>
      </c>
      <c r="J651" s="1">
        <v>41.467140962688497</v>
      </c>
      <c r="K651" s="1"/>
      <c r="L651" s="1">
        <v>554.81738239102299</v>
      </c>
      <c r="M651" s="1"/>
      <c r="N651" s="1"/>
      <c r="O651" s="1">
        <v>5.28468154633455</v>
      </c>
      <c r="P651" s="1"/>
      <c r="Q651" s="1">
        <v>-2770.6102137780899</v>
      </c>
      <c r="R651" s="1">
        <v>4639</v>
      </c>
      <c r="S651" t="s">
        <v>11</v>
      </c>
    </row>
    <row r="652" spans="1:19" x14ac:dyDescent="0.55000000000000004">
      <c r="A652" t="s">
        <v>21</v>
      </c>
      <c r="B652">
        <v>2021</v>
      </c>
      <c r="C652">
        <v>4039</v>
      </c>
      <c r="D652" s="2">
        <v>0</v>
      </c>
      <c r="E652" s="3">
        <v>4039</v>
      </c>
      <c r="F652" t="s">
        <v>12</v>
      </c>
      <c r="G652" t="s">
        <v>12</v>
      </c>
      <c r="H652" s="1">
        <v>494.61877249918302</v>
      </c>
      <c r="I652" s="1">
        <v>35.269888080869002</v>
      </c>
      <c r="J652" s="1">
        <v>3.8884161342475898</v>
      </c>
      <c r="K652" s="1"/>
      <c r="L652" s="1">
        <v>448.54040719460397</v>
      </c>
      <c r="M652" s="1"/>
      <c r="N652" s="1"/>
      <c r="O652" s="1">
        <v>0.18178033141810301</v>
      </c>
      <c r="P652" s="1"/>
      <c r="Q652" s="1">
        <v>-3298.86981662792</v>
      </c>
      <c r="R652" s="1">
        <v>5021</v>
      </c>
      <c r="S652" t="s">
        <v>11</v>
      </c>
    </row>
    <row r="653" spans="1:19" x14ac:dyDescent="0.55000000000000004">
      <c r="A653" t="s">
        <v>21</v>
      </c>
      <c r="B653">
        <v>2020</v>
      </c>
      <c r="C653">
        <v>822</v>
      </c>
      <c r="D653" s="2">
        <v>0</v>
      </c>
      <c r="E653" s="3">
        <v>822</v>
      </c>
      <c r="F653" t="s">
        <v>12</v>
      </c>
      <c r="G653" t="s">
        <v>12</v>
      </c>
      <c r="H653" s="1">
        <v>28.117771700029401</v>
      </c>
      <c r="I653" s="1">
        <v>13.4534161796216</v>
      </c>
      <c r="J653" s="1">
        <v>6.8181387002626899E-4</v>
      </c>
      <c r="K653" s="1"/>
      <c r="L653" s="1">
        <v>206</v>
      </c>
      <c r="M653" s="1"/>
      <c r="N653" s="1"/>
      <c r="O653" s="1">
        <v>4.4686868686868699</v>
      </c>
      <c r="P653" s="1"/>
      <c r="Q653" s="1">
        <v>-1262.3153264253699</v>
      </c>
      <c r="R653" s="1">
        <v>1074</v>
      </c>
      <c r="S653" t="s">
        <v>11</v>
      </c>
    </row>
    <row r="654" spans="1:19" x14ac:dyDescent="0.55000000000000004">
      <c r="A654" t="s">
        <v>21</v>
      </c>
      <c r="B654">
        <v>2019</v>
      </c>
      <c r="C654">
        <v>67</v>
      </c>
      <c r="D654" s="2">
        <v>0</v>
      </c>
      <c r="E654" s="3">
        <v>67</v>
      </c>
      <c r="F654" t="s">
        <v>12</v>
      </c>
      <c r="G654" t="s">
        <v>12</v>
      </c>
      <c r="H654" s="1">
        <v>1.5943981746373901</v>
      </c>
      <c r="I654" s="1">
        <v>7.1265914762987297</v>
      </c>
      <c r="J654" s="1">
        <v>0.79643368654789104</v>
      </c>
      <c r="K654" s="1">
        <v>0.119760479041916</v>
      </c>
      <c r="L654" s="1">
        <v>11.4105123087159</v>
      </c>
      <c r="M654" s="1"/>
      <c r="N654" s="1"/>
      <c r="O654" s="1">
        <v>2.9274783765801698E-2</v>
      </c>
      <c r="P654" s="1"/>
      <c r="Q654" s="1">
        <v>-872.37825483848701</v>
      </c>
      <c r="R654" s="1">
        <v>88</v>
      </c>
      <c r="S654" t="s">
        <v>11</v>
      </c>
    </row>
    <row r="655" spans="1:19" x14ac:dyDescent="0.55000000000000004">
      <c r="A655" t="s">
        <v>21</v>
      </c>
      <c r="B655">
        <v>2018</v>
      </c>
      <c r="C655">
        <v>1504</v>
      </c>
      <c r="D655" s="2">
        <v>0</v>
      </c>
      <c r="E655" s="3">
        <v>1504</v>
      </c>
      <c r="F655" t="s">
        <v>12</v>
      </c>
      <c r="G655" t="s">
        <v>12</v>
      </c>
      <c r="H655" s="1">
        <v>17.452545419167102</v>
      </c>
      <c r="I655" s="1">
        <v>1586.81197348054</v>
      </c>
      <c r="J655" s="1">
        <v>45.002568331510197</v>
      </c>
      <c r="K655" s="1">
        <v>5.4818565400843902</v>
      </c>
      <c r="L655" s="1">
        <v>167.452320675105</v>
      </c>
      <c r="M655" s="1"/>
      <c r="N655" s="1">
        <v>140.59746835442999</v>
      </c>
      <c r="O655" s="1">
        <v>2.36286919831224E-2</v>
      </c>
      <c r="P655" s="1"/>
      <c r="Q655" s="1">
        <v>445.89476700832199</v>
      </c>
      <c r="R655" s="1">
        <v>3467</v>
      </c>
      <c r="S655" t="s">
        <v>11</v>
      </c>
    </row>
    <row r="656" spans="1:19" x14ac:dyDescent="0.55000000000000004">
      <c r="A656" t="s">
        <v>21</v>
      </c>
      <c r="B656">
        <v>2017</v>
      </c>
      <c r="C656">
        <v>7013</v>
      </c>
      <c r="D656" s="2">
        <v>0</v>
      </c>
      <c r="E656" s="3">
        <v>7013</v>
      </c>
      <c r="F656" t="s">
        <v>12</v>
      </c>
      <c r="G656" t="s">
        <v>12</v>
      </c>
      <c r="H656" s="1">
        <v>38.288477665237103</v>
      </c>
      <c r="I656" s="1">
        <v>117.197840573454</v>
      </c>
      <c r="J656" s="1">
        <v>77.104143331639307</v>
      </c>
      <c r="K656" s="1">
        <v>15.678524374176501</v>
      </c>
      <c r="L656" s="1">
        <v>780.42028985507295</v>
      </c>
      <c r="M656" s="1">
        <v>14.7826086956522</v>
      </c>
      <c r="N656" s="1">
        <v>116.112648221344</v>
      </c>
      <c r="O656" s="1">
        <v>5.5994729907773398E-2</v>
      </c>
      <c r="P656" s="1"/>
      <c r="Q656" s="1">
        <v>-5396.8922878042704</v>
      </c>
      <c r="R656" s="1">
        <v>8173</v>
      </c>
      <c r="S656" t="s">
        <v>11</v>
      </c>
    </row>
    <row r="657" spans="1:19" x14ac:dyDescent="0.55000000000000004">
      <c r="A657" t="s">
        <v>21</v>
      </c>
      <c r="B657">
        <v>2016</v>
      </c>
      <c r="C657">
        <v>4640</v>
      </c>
      <c r="D657" s="2">
        <v>14</v>
      </c>
      <c r="E657" s="3">
        <v>4654</v>
      </c>
      <c r="F657" t="s">
        <v>12</v>
      </c>
      <c r="G657" t="s">
        <v>12</v>
      </c>
      <c r="H657" s="1">
        <v>488.36772166648598</v>
      </c>
      <c r="I657" s="1">
        <v>596.45995915720403</v>
      </c>
      <c r="J657" s="1">
        <v>108.506604115348</v>
      </c>
      <c r="K657" s="1"/>
      <c r="L657" s="1">
        <v>1189.75659918162</v>
      </c>
      <c r="M657" s="1">
        <v>119</v>
      </c>
      <c r="N657" s="1">
        <v>-454.67272873151302</v>
      </c>
      <c r="O657" s="1">
        <v>4.2639672648498301</v>
      </c>
      <c r="P657" s="1">
        <v>1</v>
      </c>
      <c r="Q657" s="1">
        <v>-1914.2486322733901</v>
      </c>
      <c r="R657" s="1">
        <v>6707</v>
      </c>
      <c r="S657" t="s">
        <v>11</v>
      </c>
    </row>
    <row r="658" spans="1:19" x14ac:dyDescent="0.55000000000000004">
      <c r="A658" t="s">
        <v>21</v>
      </c>
      <c r="B658">
        <v>2015</v>
      </c>
      <c r="C658">
        <v>8997</v>
      </c>
      <c r="D658" s="2">
        <v>0</v>
      </c>
      <c r="E658" s="3">
        <v>8997</v>
      </c>
      <c r="F658" t="s">
        <v>12</v>
      </c>
      <c r="G658" t="s">
        <v>12</v>
      </c>
      <c r="H658" s="1">
        <v>153.25928398667</v>
      </c>
      <c r="I658" s="1">
        <v>375.26387636405298</v>
      </c>
      <c r="J658" s="1">
        <v>16.5515618420058</v>
      </c>
      <c r="K658" s="1">
        <v>17.069227101304801</v>
      </c>
      <c r="L658" s="1">
        <v>1587.5882352941201</v>
      </c>
      <c r="M658" s="1"/>
      <c r="N658" s="1">
        <v>1048.83063851922</v>
      </c>
      <c r="O658" s="1">
        <v>0.32825436733278401</v>
      </c>
      <c r="P658" s="1"/>
      <c r="Q658" s="1">
        <v>-2969.9607723734998</v>
      </c>
      <c r="R658" s="1">
        <v>12196</v>
      </c>
      <c r="S658" t="s">
        <v>11</v>
      </c>
    </row>
    <row r="659" spans="1:19" x14ac:dyDescent="0.55000000000000004">
      <c r="A659" t="s">
        <v>21</v>
      </c>
      <c r="B659">
        <v>2014</v>
      </c>
      <c r="C659">
        <v>6011</v>
      </c>
      <c r="D659" s="2">
        <v>33</v>
      </c>
      <c r="E659" s="3">
        <v>6044</v>
      </c>
      <c r="F659" t="s">
        <v>12</v>
      </c>
      <c r="G659" t="s">
        <v>12</v>
      </c>
      <c r="H659" s="1">
        <v>0</v>
      </c>
      <c r="I659" s="1">
        <v>24454.331479293702</v>
      </c>
      <c r="J659" s="1">
        <v>1022.19967563392</v>
      </c>
      <c r="K659" s="1"/>
      <c r="L659" s="1">
        <v>1547.75527960572</v>
      </c>
      <c r="M659" s="1">
        <v>179</v>
      </c>
      <c r="N659" s="1">
        <v>-15480.0332608277</v>
      </c>
      <c r="O659" s="1">
        <v>8.1403948346595492</v>
      </c>
      <c r="P659" s="1"/>
      <c r="Q659" s="1">
        <v>-428.35263011360098</v>
      </c>
      <c r="R659" s="1">
        <v>17775</v>
      </c>
      <c r="S659" t="s">
        <v>11</v>
      </c>
    </row>
    <row r="660" spans="1:19" x14ac:dyDescent="0.55000000000000004">
      <c r="A660" t="s">
        <v>21</v>
      </c>
      <c r="B660">
        <v>2013</v>
      </c>
      <c r="C660">
        <v>8742</v>
      </c>
      <c r="D660" s="2">
        <v>13</v>
      </c>
      <c r="E660" s="3">
        <v>8755</v>
      </c>
      <c r="F660" t="s">
        <v>12</v>
      </c>
      <c r="G660" t="s">
        <v>12</v>
      </c>
      <c r="H660" s="1">
        <v>42.460691564299097</v>
      </c>
      <c r="I660" s="1">
        <v>519.39534052283204</v>
      </c>
      <c r="J660" s="1">
        <v>12.406768592461001</v>
      </c>
      <c r="K660" s="1"/>
      <c r="L660" s="1">
        <v>971.33798701695605</v>
      </c>
      <c r="M660" s="1"/>
      <c r="N660" s="1"/>
      <c r="O660" s="1">
        <v>1.08376630521156</v>
      </c>
      <c r="P660" s="1"/>
      <c r="Q660" s="1">
        <v>478.90703086823902</v>
      </c>
      <c r="R660" s="1">
        <v>10302</v>
      </c>
      <c r="S660" t="s">
        <v>11</v>
      </c>
    </row>
    <row r="661" spans="1:19" x14ac:dyDescent="0.55000000000000004">
      <c r="A661" t="s">
        <v>21</v>
      </c>
      <c r="B661">
        <v>2012</v>
      </c>
      <c r="C661">
        <v>3722</v>
      </c>
      <c r="D661" s="2">
        <v>92</v>
      </c>
      <c r="E661" s="3">
        <v>3814</v>
      </c>
      <c r="F661" t="s">
        <v>12</v>
      </c>
      <c r="G661" t="s">
        <v>12</v>
      </c>
      <c r="H661" s="1">
        <v>9.9087699610151798</v>
      </c>
      <c r="I661" s="1">
        <v>2997.7413567150802</v>
      </c>
      <c r="J661" s="1">
        <v>687.66934804763105</v>
      </c>
      <c r="K661" s="1"/>
      <c r="L661" s="1">
        <v>1240.3333333333301</v>
      </c>
      <c r="M661" s="1"/>
      <c r="N661" s="1">
        <v>-1762.26405242501</v>
      </c>
      <c r="O661" s="1">
        <v>31.052004485562101</v>
      </c>
      <c r="P661" s="1"/>
      <c r="Q661" s="1">
        <v>-9638.4353978728195</v>
      </c>
      <c r="R661" s="1">
        <v>7018</v>
      </c>
      <c r="S661" t="s">
        <v>11</v>
      </c>
    </row>
    <row r="662" spans="1:19" x14ac:dyDescent="0.55000000000000004">
      <c r="A662" t="s">
        <v>21</v>
      </c>
      <c r="B662">
        <v>2011</v>
      </c>
      <c r="C662">
        <v>16942</v>
      </c>
      <c r="D662" s="2">
        <v>140</v>
      </c>
      <c r="E662" s="3">
        <v>17082</v>
      </c>
      <c r="F662" t="s">
        <v>12</v>
      </c>
      <c r="G662" t="s">
        <v>12</v>
      </c>
      <c r="H662" s="1">
        <v>69.521745998317598</v>
      </c>
      <c r="I662" s="1">
        <v>4821.9947036768799</v>
      </c>
      <c r="J662" s="1">
        <v>2078.6102418957598</v>
      </c>
      <c r="K662" s="1"/>
      <c r="L662" s="1">
        <v>1882.0100295136001</v>
      </c>
      <c r="M662" s="1"/>
      <c r="N662" s="1"/>
      <c r="O662" s="1">
        <v>18.6106248961913</v>
      </c>
      <c r="P662" s="1"/>
      <c r="Q662" s="1">
        <v>-2021.5692224587001</v>
      </c>
      <c r="R662" s="1">
        <v>25953</v>
      </c>
      <c r="S662" t="s">
        <v>11</v>
      </c>
    </row>
    <row r="663" spans="1:19" x14ac:dyDescent="0.55000000000000004">
      <c r="A663" t="s">
        <v>21</v>
      </c>
      <c r="B663">
        <v>2010</v>
      </c>
      <c r="C663">
        <v>12578</v>
      </c>
      <c r="D663" s="2">
        <v>14</v>
      </c>
      <c r="E663" s="3">
        <v>12592</v>
      </c>
      <c r="F663" t="s">
        <v>12</v>
      </c>
      <c r="G663" t="s">
        <v>12</v>
      </c>
      <c r="H663" s="1">
        <v>0</v>
      </c>
      <c r="I663" s="1">
        <v>19701.221034424201</v>
      </c>
      <c r="J663" s="1"/>
      <c r="K663" s="1"/>
      <c r="L663" s="1">
        <v>1715.32145222655</v>
      </c>
      <c r="M663" s="1"/>
      <c r="N663" s="1">
        <v>-3986.6143081591499</v>
      </c>
      <c r="O663" s="1">
        <v>2.2997874339581998</v>
      </c>
      <c r="P663" s="1"/>
      <c r="Q663" s="1">
        <v>10659.313466183499</v>
      </c>
      <c r="R663" s="1">
        <v>30024</v>
      </c>
      <c r="S663" t="s">
        <v>11</v>
      </c>
    </row>
    <row r="664" spans="1:19" x14ac:dyDescent="0.55000000000000004">
      <c r="A664" t="s">
        <v>21</v>
      </c>
      <c r="B664">
        <v>2009</v>
      </c>
      <c r="C664">
        <v>7620</v>
      </c>
      <c r="D664" s="2">
        <v>16</v>
      </c>
      <c r="E664" s="3">
        <v>7636</v>
      </c>
      <c r="F664" t="s">
        <v>12</v>
      </c>
      <c r="G664" t="s">
        <v>12</v>
      </c>
      <c r="H664" s="1">
        <v>239.08478338425999</v>
      </c>
      <c r="I664" s="1">
        <v>184.609990984126</v>
      </c>
      <c r="J664" s="1">
        <v>19.0251316288422</v>
      </c>
      <c r="K664" s="1"/>
      <c r="L664" s="1">
        <v>662.39050962133001</v>
      </c>
      <c r="M664" s="1"/>
      <c r="N664" s="1"/>
      <c r="O664" s="1">
        <v>1.2924593503328401</v>
      </c>
      <c r="P664" s="1"/>
      <c r="Q664" s="1">
        <v>1615.0340074306</v>
      </c>
      <c r="R664" s="1">
        <v>8742</v>
      </c>
      <c r="S664" t="s">
        <v>11</v>
      </c>
    </row>
    <row r="665" spans="1:19" x14ac:dyDescent="0.55000000000000004">
      <c r="A665" t="s">
        <v>21</v>
      </c>
      <c r="B665">
        <v>2008</v>
      </c>
      <c r="C665">
        <v>2763</v>
      </c>
      <c r="D665" s="2">
        <v>27</v>
      </c>
      <c r="E665" s="3">
        <v>2790</v>
      </c>
      <c r="F665" t="s">
        <v>12</v>
      </c>
      <c r="G665" t="s">
        <v>12</v>
      </c>
      <c r="H665" s="1">
        <v>1.05828096256055</v>
      </c>
      <c r="I665" s="1">
        <v>641.44076269620803</v>
      </c>
      <c r="J665" s="1">
        <v>59.151157158299199</v>
      </c>
      <c r="K665" s="1"/>
      <c r="L665" s="1"/>
      <c r="M665" s="1"/>
      <c r="N665" s="1"/>
      <c r="O665" s="1"/>
      <c r="P665" s="1"/>
      <c r="Q665" s="1">
        <v>-1116.49747195181</v>
      </c>
      <c r="R665" s="1">
        <v>4608</v>
      </c>
      <c r="S665" t="s">
        <v>9</v>
      </c>
    </row>
    <row r="666" spans="1:19" x14ac:dyDescent="0.55000000000000004">
      <c r="A666" t="s">
        <v>21</v>
      </c>
      <c r="B666">
        <v>2007</v>
      </c>
      <c r="C666">
        <v>5020</v>
      </c>
      <c r="D666" s="2">
        <v>13</v>
      </c>
      <c r="E666" s="3">
        <v>5033</v>
      </c>
      <c r="F666" t="s">
        <v>12</v>
      </c>
      <c r="G666" t="s">
        <v>12</v>
      </c>
      <c r="H666" s="1">
        <v>5279.4108283670002</v>
      </c>
      <c r="I666" s="1">
        <v>666.57326965050004</v>
      </c>
      <c r="J666" s="1">
        <v>23.090775724490602</v>
      </c>
      <c r="K666" s="1"/>
      <c r="L666" s="1"/>
      <c r="M666" s="1"/>
      <c r="N666" s="1"/>
      <c r="O666" s="1"/>
      <c r="P666" s="1"/>
      <c r="Q666" s="1">
        <v>1553.50683394001</v>
      </c>
      <c r="R666" s="1">
        <v>11002</v>
      </c>
      <c r="S666" t="s">
        <v>9</v>
      </c>
    </row>
    <row r="667" spans="1:19" x14ac:dyDescent="0.55000000000000004">
      <c r="A667" t="s">
        <v>21</v>
      </c>
      <c r="B667">
        <v>2006</v>
      </c>
      <c r="C667">
        <v>23130</v>
      </c>
      <c r="D667" s="2">
        <v>0</v>
      </c>
      <c r="E667" s="3">
        <v>23130</v>
      </c>
      <c r="F667" t="s">
        <v>12</v>
      </c>
      <c r="G667" t="s">
        <v>12</v>
      </c>
      <c r="H667" s="1">
        <v>46.582382476599598</v>
      </c>
      <c r="I667" s="1">
        <v>14297.2212229957</v>
      </c>
      <c r="J667" s="1">
        <v>629.41277042540798</v>
      </c>
      <c r="K667" s="1"/>
      <c r="L667" s="1"/>
      <c r="M667" s="1"/>
      <c r="N667" s="1"/>
      <c r="O667" s="1"/>
      <c r="P667" s="1"/>
      <c r="Q667" s="1">
        <v>-23448.5169272893</v>
      </c>
      <c r="R667" s="1">
        <v>61552</v>
      </c>
      <c r="S667" t="s">
        <v>9</v>
      </c>
    </row>
    <row r="668" spans="1:19" x14ac:dyDescent="0.55000000000000004">
      <c r="A668" t="s">
        <v>21</v>
      </c>
      <c r="B668">
        <v>2005</v>
      </c>
      <c r="C668">
        <v>5329</v>
      </c>
      <c r="D668" s="2">
        <v>221</v>
      </c>
      <c r="E668" s="3">
        <v>5550</v>
      </c>
      <c r="F668" t="s">
        <v>12</v>
      </c>
      <c r="G668" t="s">
        <v>12</v>
      </c>
      <c r="H668" s="1">
        <v>2.0503980405129001</v>
      </c>
      <c r="I668" s="1">
        <v>1300.7921292536701</v>
      </c>
      <c r="J668" s="1">
        <v>23.7783800497687</v>
      </c>
      <c r="K668" s="1"/>
      <c r="L668" s="1"/>
      <c r="M668" s="1"/>
      <c r="N668" s="1"/>
      <c r="O668" s="1"/>
      <c r="P668" s="1"/>
      <c r="Q668" s="1">
        <v>2020.5840817116</v>
      </c>
      <c r="R668" s="1">
        <v>6877</v>
      </c>
      <c r="S668" t="s">
        <v>9</v>
      </c>
    </row>
    <row r="669" spans="1:19" x14ac:dyDescent="0.55000000000000004">
      <c r="A669" t="s">
        <v>21</v>
      </c>
      <c r="B669">
        <v>2004</v>
      </c>
      <c r="C669">
        <v>22386</v>
      </c>
      <c r="D669" s="2">
        <v>7</v>
      </c>
      <c r="E669" s="3">
        <v>22393</v>
      </c>
      <c r="F669" t="s">
        <v>12</v>
      </c>
      <c r="G669" t="s">
        <v>12</v>
      </c>
      <c r="H669" s="1">
        <v>2703.0936980465099</v>
      </c>
      <c r="I669" s="1">
        <v>11648.1878167304</v>
      </c>
      <c r="J669" s="1">
        <v>287.19547465027699</v>
      </c>
      <c r="K669" s="1"/>
      <c r="L669" s="1"/>
      <c r="M669" s="1"/>
      <c r="N669" s="1"/>
      <c r="O669" s="1"/>
      <c r="P669" s="1"/>
      <c r="Q669" s="1">
        <v>-502.20766732636201</v>
      </c>
      <c r="R669" s="1">
        <v>37534</v>
      </c>
      <c r="S669" t="s">
        <v>9</v>
      </c>
    </row>
    <row r="670" spans="1:19" x14ac:dyDescent="0.55000000000000004">
      <c r="A670" t="s">
        <v>21</v>
      </c>
      <c r="B670">
        <v>2003</v>
      </c>
      <c r="C670">
        <v>14174</v>
      </c>
      <c r="D670" s="2">
        <v>119</v>
      </c>
      <c r="E670" s="3">
        <v>14293</v>
      </c>
      <c r="F670" t="s">
        <v>12</v>
      </c>
      <c r="G670" t="s">
        <v>12</v>
      </c>
      <c r="H670" s="1">
        <v>137.80980206850001</v>
      </c>
      <c r="I670" s="1">
        <v>3408.2372370102898</v>
      </c>
      <c r="J670" s="1">
        <v>78.376074017692204</v>
      </c>
      <c r="K670" s="1"/>
      <c r="L670" s="1"/>
      <c r="M670" s="1"/>
      <c r="N670" s="1"/>
      <c r="O670" s="1"/>
      <c r="P670" s="1"/>
      <c r="Q670" s="1">
        <v>9542.7109063427106</v>
      </c>
      <c r="R670" s="1">
        <v>17917</v>
      </c>
      <c r="S670" t="s">
        <v>9</v>
      </c>
    </row>
    <row r="671" spans="1:19" x14ac:dyDescent="0.55000000000000004">
      <c r="A671" t="s">
        <v>21</v>
      </c>
      <c r="B671">
        <v>2002</v>
      </c>
      <c r="C671">
        <v>31922</v>
      </c>
      <c r="D671" s="2">
        <v>127</v>
      </c>
      <c r="E671" s="3">
        <v>32049</v>
      </c>
      <c r="F671" t="s">
        <v>12</v>
      </c>
      <c r="G671" t="s">
        <v>12</v>
      </c>
      <c r="H671" s="1">
        <v>2.1139705464065899</v>
      </c>
      <c r="I671" s="1">
        <v>5716.88638269488</v>
      </c>
      <c r="J671" s="1">
        <v>311.83650778848101</v>
      </c>
      <c r="K671" s="1"/>
      <c r="L671" s="1"/>
      <c r="M671" s="1"/>
      <c r="N671" s="1"/>
      <c r="O671" s="1"/>
      <c r="P671" s="1"/>
      <c r="Q671" s="1">
        <v>-8178.5994927656502</v>
      </c>
      <c r="R671" s="1">
        <v>46258</v>
      </c>
      <c r="S671" t="s">
        <v>9</v>
      </c>
    </row>
    <row r="672" spans="1:19" x14ac:dyDescent="0.55000000000000004">
      <c r="A672" t="s">
        <v>21</v>
      </c>
      <c r="B672">
        <v>2001</v>
      </c>
      <c r="C672">
        <v>12348</v>
      </c>
      <c r="D672" s="2">
        <v>44</v>
      </c>
      <c r="E672" s="3">
        <v>12392</v>
      </c>
      <c r="F672" t="s">
        <v>12</v>
      </c>
      <c r="G672" t="s">
        <v>12</v>
      </c>
      <c r="H672" s="1">
        <v>263.01818562356601</v>
      </c>
      <c r="I672" s="1">
        <v>2416.8384330953299</v>
      </c>
      <c r="J672" s="1">
        <v>20.9405172314389</v>
      </c>
      <c r="K672" s="1"/>
      <c r="L672" s="1"/>
      <c r="M672" s="1"/>
      <c r="N672" s="1"/>
      <c r="O672" s="1"/>
      <c r="P672" s="1"/>
      <c r="Q672" s="1">
        <v>162.668125168101</v>
      </c>
      <c r="R672" s="1">
        <v>15093</v>
      </c>
      <c r="S672" t="s">
        <v>9</v>
      </c>
    </row>
    <row r="673" spans="1:19" x14ac:dyDescent="0.55000000000000004">
      <c r="A673" t="s">
        <v>21</v>
      </c>
      <c r="B673">
        <v>2000</v>
      </c>
      <c r="C673">
        <v>10034</v>
      </c>
      <c r="D673" s="2">
        <v>12</v>
      </c>
      <c r="E673" s="3">
        <v>10046</v>
      </c>
      <c r="F673" t="s">
        <v>12</v>
      </c>
      <c r="G673" t="s">
        <v>12</v>
      </c>
      <c r="H673" s="1">
        <v>15.8172546476807</v>
      </c>
      <c r="I673" s="1">
        <v>14106.390594696401</v>
      </c>
      <c r="J673" s="1">
        <v>4523.7352951738603</v>
      </c>
      <c r="K673" s="1"/>
      <c r="L673" s="1"/>
      <c r="M673" s="1"/>
      <c r="N673" s="1"/>
      <c r="O673" s="1"/>
      <c r="P673" s="1"/>
      <c r="Q673" s="1">
        <v>-1058.6525273818299</v>
      </c>
      <c r="R673" s="1">
        <v>29751</v>
      </c>
      <c r="S673" t="s">
        <v>9</v>
      </c>
    </row>
    <row r="674" spans="1:19" x14ac:dyDescent="0.55000000000000004">
      <c r="A674" t="s">
        <v>21</v>
      </c>
      <c r="B674">
        <v>1999</v>
      </c>
      <c r="C674">
        <v>845</v>
      </c>
      <c r="D674" s="2">
        <v>72</v>
      </c>
      <c r="E674" s="3">
        <v>917</v>
      </c>
      <c r="F674" t="s">
        <v>12</v>
      </c>
      <c r="G674" t="s">
        <v>12</v>
      </c>
      <c r="H674" s="1">
        <v>27.3898052526024</v>
      </c>
      <c r="I674" s="1">
        <v>263.92595167857201</v>
      </c>
      <c r="J674" s="1">
        <v>23.555509522415498</v>
      </c>
      <c r="K674" s="1"/>
      <c r="L674" s="1"/>
      <c r="M674" s="1"/>
      <c r="N674" s="1"/>
      <c r="O674" s="1"/>
      <c r="P674" s="1"/>
      <c r="Q674" s="1">
        <v>-2068.5103163460599</v>
      </c>
      <c r="R674" s="1">
        <v>3300</v>
      </c>
      <c r="S674" t="s">
        <v>9</v>
      </c>
    </row>
    <row r="675" spans="1:19" x14ac:dyDescent="0.55000000000000004">
      <c r="A675" t="s">
        <v>21</v>
      </c>
      <c r="B675">
        <v>1998</v>
      </c>
      <c r="C675">
        <v>6597</v>
      </c>
      <c r="D675" s="2">
        <v>6</v>
      </c>
      <c r="E675" s="3">
        <v>6603</v>
      </c>
      <c r="F675" t="s">
        <v>12</v>
      </c>
      <c r="G675" t="s">
        <v>12</v>
      </c>
      <c r="H675" s="1">
        <v>347.91855049598598</v>
      </c>
      <c r="I675" s="1">
        <v>1904.0086698227501</v>
      </c>
      <c r="J675" s="1">
        <v>78.730448901392705</v>
      </c>
      <c r="K675" s="1"/>
      <c r="L675" s="1"/>
      <c r="M675" s="1"/>
      <c r="N675" s="1"/>
      <c r="O675" s="1"/>
      <c r="P675" s="1"/>
      <c r="Q675" s="1">
        <v>-4148.01076976272</v>
      </c>
      <c r="R675" s="1">
        <v>13082</v>
      </c>
      <c r="S675" t="s">
        <v>9</v>
      </c>
    </row>
    <row r="676" spans="1:19" x14ac:dyDescent="0.55000000000000004">
      <c r="A676" t="s">
        <v>21</v>
      </c>
      <c r="B676">
        <v>1997</v>
      </c>
      <c r="C676">
        <v>1674</v>
      </c>
      <c r="D676" s="2">
        <v>0</v>
      </c>
      <c r="E676" s="3">
        <v>1674</v>
      </c>
      <c r="F676" t="s">
        <v>12</v>
      </c>
      <c r="G676" t="s">
        <v>12</v>
      </c>
      <c r="H676" s="1">
        <v>258.19189957807998</v>
      </c>
      <c r="I676" s="1">
        <v>11516.308722333601</v>
      </c>
      <c r="J676" s="1">
        <v>45.941280413321302</v>
      </c>
      <c r="K676" s="1"/>
      <c r="L676" s="1"/>
      <c r="M676" s="1"/>
      <c r="N676" s="1"/>
      <c r="O676" s="1"/>
      <c r="P676" s="1"/>
      <c r="Q676" s="1">
        <v>-1630.5841642145299</v>
      </c>
      <c r="R676" s="1">
        <v>15125</v>
      </c>
      <c r="S676" t="s">
        <v>9</v>
      </c>
    </row>
    <row r="677" spans="1:19" x14ac:dyDescent="0.55000000000000004">
      <c r="A677" t="s">
        <v>21</v>
      </c>
      <c r="B677">
        <v>1996</v>
      </c>
      <c r="C677">
        <v>3950</v>
      </c>
      <c r="D677" s="2">
        <v>71</v>
      </c>
      <c r="E677" s="3">
        <v>4021</v>
      </c>
      <c r="F677" t="s">
        <v>12</v>
      </c>
      <c r="G677" t="s">
        <v>12</v>
      </c>
      <c r="H677" s="1">
        <v>128.128336431907</v>
      </c>
      <c r="I677" s="1">
        <v>2773.7219109151802</v>
      </c>
      <c r="J677" s="1">
        <v>106.239273731805</v>
      </c>
      <c r="K677" s="1"/>
      <c r="L677" s="1"/>
      <c r="M677" s="1"/>
      <c r="N677" s="1"/>
      <c r="O677" s="1"/>
      <c r="P677" s="1"/>
      <c r="Q677" s="1">
        <v>552.86773497455397</v>
      </c>
      <c r="R677" s="1">
        <v>7029</v>
      </c>
      <c r="S677" t="s">
        <v>9</v>
      </c>
    </row>
    <row r="678" spans="1:19" x14ac:dyDescent="0.55000000000000004">
      <c r="A678" t="s">
        <v>21</v>
      </c>
      <c r="B678">
        <v>1995</v>
      </c>
      <c r="C678">
        <v>1645</v>
      </c>
      <c r="D678" s="2">
        <v>57</v>
      </c>
      <c r="E678" s="3">
        <v>1702</v>
      </c>
      <c r="F678" t="s">
        <v>12</v>
      </c>
      <c r="G678" t="s">
        <v>12</v>
      </c>
      <c r="H678" s="1">
        <v>0.54824038159157296</v>
      </c>
      <c r="I678" s="1">
        <v>1136.9604783136499</v>
      </c>
      <c r="J678" s="1">
        <v>634.11085177743803</v>
      </c>
      <c r="K678" s="1"/>
      <c r="L678" s="1"/>
      <c r="M678" s="1"/>
      <c r="N678" s="1"/>
      <c r="O678" s="1"/>
      <c r="P678" s="1"/>
      <c r="Q678" s="1">
        <v>230.24231944345701</v>
      </c>
      <c r="R678" s="1">
        <v>3474</v>
      </c>
      <c r="S678" t="s">
        <v>9</v>
      </c>
    </row>
    <row r="679" spans="1:19" x14ac:dyDescent="0.55000000000000004">
      <c r="A679" t="s">
        <v>21</v>
      </c>
      <c r="B679">
        <v>1994</v>
      </c>
      <c r="C679">
        <v>727</v>
      </c>
      <c r="D679" s="2">
        <v>16</v>
      </c>
      <c r="E679" s="3">
        <v>743</v>
      </c>
      <c r="F679" t="s">
        <v>12</v>
      </c>
      <c r="G679" t="s">
        <v>12</v>
      </c>
      <c r="H679" s="1">
        <v>676.24385320590397</v>
      </c>
      <c r="I679" s="1">
        <v>7173.1419455704399</v>
      </c>
      <c r="J679" s="1">
        <v>20.7942994419559</v>
      </c>
      <c r="K679" s="1"/>
      <c r="L679" s="1"/>
      <c r="M679" s="1"/>
      <c r="N679" s="1"/>
      <c r="O679" s="1"/>
      <c r="P679" s="1"/>
      <c r="Q679" s="1">
        <v>-1602.5360901429301</v>
      </c>
      <c r="R679" s="1">
        <v>10216</v>
      </c>
      <c r="S679" t="s">
        <v>9</v>
      </c>
    </row>
    <row r="680" spans="1:19" x14ac:dyDescent="0.55000000000000004">
      <c r="A680" t="s">
        <v>21</v>
      </c>
      <c r="B680">
        <v>1993</v>
      </c>
      <c r="C680">
        <v>1291</v>
      </c>
      <c r="D680" s="2">
        <v>35</v>
      </c>
      <c r="E680" s="3">
        <v>1326</v>
      </c>
      <c r="F680" t="s">
        <v>12</v>
      </c>
      <c r="G680" t="s">
        <v>12</v>
      </c>
      <c r="H680" s="1">
        <v>51.737997207057603</v>
      </c>
      <c r="I680" s="1">
        <v>7506.3845729293198</v>
      </c>
      <c r="J680" s="1"/>
      <c r="K680" s="1"/>
      <c r="L680" s="1"/>
      <c r="M680" s="1"/>
      <c r="N680" s="1"/>
      <c r="O680" s="1"/>
      <c r="P680" s="1"/>
      <c r="Q680" s="1">
        <v>-257.993870366213</v>
      </c>
      <c r="R680" s="1">
        <v>9142</v>
      </c>
      <c r="S680" t="s">
        <v>9</v>
      </c>
    </row>
    <row r="681" spans="1:19" x14ac:dyDescent="0.55000000000000004">
      <c r="A681" t="s">
        <v>21</v>
      </c>
      <c r="B681">
        <v>1992</v>
      </c>
      <c r="C681">
        <v>3863</v>
      </c>
      <c r="D681" s="2">
        <v>65</v>
      </c>
      <c r="E681" s="3">
        <v>3928</v>
      </c>
      <c r="F681" t="s">
        <v>12</v>
      </c>
      <c r="G681" t="s">
        <v>12</v>
      </c>
      <c r="H681" s="1">
        <v>428.32312459194401</v>
      </c>
      <c r="I681" s="1">
        <v>5331.7047875663802</v>
      </c>
      <c r="J681" s="1">
        <v>164.61988923492001</v>
      </c>
      <c r="K681" s="1"/>
      <c r="L681" s="1"/>
      <c r="M681" s="1"/>
      <c r="N681" s="1"/>
      <c r="O681" s="1"/>
      <c r="P681" s="1"/>
      <c r="Q681" s="1">
        <v>1813.74831947555</v>
      </c>
      <c r="R681" s="1">
        <v>9853</v>
      </c>
      <c r="S681" t="s">
        <v>9</v>
      </c>
    </row>
    <row r="682" spans="1:19" x14ac:dyDescent="0.55000000000000004">
      <c r="A682" t="s">
        <v>21</v>
      </c>
      <c r="B682">
        <v>1991</v>
      </c>
      <c r="C682">
        <v>2486</v>
      </c>
      <c r="D682" s="2">
        <v>5</v>
      </c>
      <c r="E682" s="3">
        <v>2491</v>
      </c>
      <c r="F682" t="s">
        <v>12</v>
      </c>
      <c r="G682" t="s">
        <v>12</v>
      </c>
      <c r="H682" s="1">
        <v>114.121929404402</v>
      </c>
      <c r="I682" s="1">
        <v>5002.1598471349998</v>
      </c>
      <c r="J682" s="1">
        <v>32.480435897804902</v>
      </c>
      <c r="K682" s="1"/>
      <c r="L682" s="1"/>
      <c r="M682" s="1"/>
      <c r="N682" s="1"/>
      <c r="O682" s="1"/>
      <c r="P682" s="1"/>
      <c r="Q682" s="1">
        <v>637.70834659969</v>
      </c>
      <c r="R682" s="1">
        <v>7640</v>
      </c>
      <c r="S682" t="s">
        <v>9</v>
      </c>
    </row>
    <row r="683" spans="1:19" x14ac:dyDescent="0.55000000000000004">
      <c r="A683" t="s">
        <v>21</v>
      </c>
      <c r="B683">
        <v>1990</v>
      </c>
      <c r="C683">
        <v>1840</v>
      </c>
      <c r="D683" s="2">
        <v>102</v>
      </c>
      <c r="E683" s="3">
        <v>1942</v>
      </c>
      <c r="F683" t="s">
        <v>12</v>
      </c>
      <c r="G683" t="s">
        <v>12</v>
      </c>
      <c r="H683" s="1">
        <v>194.94748927822999</v>
      </c>
      <c r="I683" s="1">
        <v>8267.38814535852</v>
      </c>
      <c r="J683" s="1">
        <v>2.8809166552994099</v>
      </c>
      <c r="K683" s="1"/>
      <c r="L683" s="1"/>
      <c r="M683" s="1"/>
      <c r="N683" s="1"/>
      <c r="O683" s="1"/>
      <c r="P683" s="1"/>
      <c r="Q683" s="1">
        <v>-351.80755256845299</v>
      </c>
      <c r="R683" s="1">
        <v>10759</v>
      </c>
      <c r="S683" t="s">
        <v>9</v>
      </c>
    </row>
    <row r="684" spans="1:19" x14ac:dyDescent="0.55000000000000004">
      <c r="A684" t="s">
        <v>21</v>
      </c>
      <c r="B684">
        <v>1989</v>
      </c>
      <c r="C684">
        <v>272</v>
      </c>
      <c r="D684" s="2">
        <v>123</v>
      </c>
      <c r="E684" s="3">
        <v>395</v>
      </c>
      <c r="F684" t="s">
        <v>12</v>
      </c>
      <c r="G684" t="s">
        <v>12</v>
      </c>
      <c r="H684" s="1">
        <v>21.906882835607799</v>
      </c>
      <c r="I684" s="1">
        <v>1917.6532897234599</v>
      </c>
      <c r="J684" s="1">
        <v>29.041140309396699</v>
      </c>
      <c r="K684" s="1"/>
      <c r="L684" s="1"/>
      <c r="M684" s="1"/>
      <c r="N684" s="1"/>
      <c r="O684" s="1"/>
      <c r="P684" s="1"/>
      <c r="Q684" s="1">
        <v>104.811910911086</v>
      </c>
      <c r="R684" s="1">
        <v>2364</v>
      </c>
      <c r="S684" t="s">
        <v>9</v>
      </c>
    </row>
    <row r="685" spans="1:19" x14ac:dyDescent="0.55000000000000004">
      <c r="A685" t="s">
        <v>21</v>
      </c>
      <c r="B685">
        <v>1988</v>
      </c>
      <c r="C685">
        <v>986</v>
      </c>
      <c r="D685" s="2">
        <v>53</v>
      </c>
      <c r="E685" s="3">
        <v>1039</v>
      </c>
      <c r="F685" t="s">
        <v>12</v>
      </c>
      <c r="G685" t="s">
        <v>12</v>
      </c>
      <c r="H685" s="1">
        <v>0</v>
      </c>
      <c r="I685" s="1">
        <v>2245.7828339512898</v>
      </c>
      <c r="J685" s="1">
        <v>90.311403116179406</v>
      </c>
      <c r="K685" s="1"/>
      <c r="L685" s="1"/>
      <c r="M685" s="1"/>
      <c r="N685" s="1"/>
      <c r="O685" s="1"/>
      <c r="P685" s="1"/>
      <c r="Q685" s="1">
        <v>-420.73265850694401</v>
      </c>
      <c r="R685" s="1">
        <v>3796</v>
      </c>
      <c r="S685" t="s">
        <v>9</v>
      </c>
    </row>
    <row r="686" spans="1:19" x14ac:dyDescent="0.55000000000000004">
      <c r="A686" t="s">
        <v>21</v>
      </c>
      <c r="B686">
        <v>1987</v>
      </c>
      <c r="C686">
        <v>635</v>
      </c>
      <c r="D686" s="2">
        <v>64</v>
      </c>
      <c r="E686" s="3">
        <v>699</v>
      </c>
      <c r="F686" t="s">
        <v>12</v>
      </c>
      <c r="G686" t="s">
        <v>12</v>
      </c>
      <c r="H686" s="1">
        <v>2.8793469720976699</v>
      </c>
      <c r="I686" s="1">
        <v>2808.8353060165</v>
      </c>
      <c r="J686" s="1">
        <v>61.756363152933197</v>
      </c>
      <c r="K686" s="1"/>
      <c r="L686" s="1"/>
      <c r="M686" s="1"/>
      <c r="N686" s="1"/>
      <c r="O686" s="1"/>
      <c r="P686" s="1"/>
      <c r="Q686" s="1">
        <v>-323.22382356210801</v>
      </c>
      <c r="R686" s="1">
        <v>3896</v>
      </c>
      <c r="S686" t="s">
        <v>9</v>
      </c>
    </row>
    <row r="687" spans="1:19" x14ac:dyDescent="0.55000000000000004">
      <c r="A687" t="s">
        <v>21</v>
      </c>
      <c r="B687">
        <v>1986</v>
      </c>
      <c r="C687">
        <v>3038</v>
      </c>
      <c r="D687" s="2">
        <v>8</v>
      </c>
      <c r="E687" s="3">
        <v>3046</v>
      </c>
      <c r="F687" t="s">
        <v>12</v>
      </c>
      <c r="G687" t="s">
        <v>12</v>
      </c>
      <c r="H687" s="1">
        <v>42.933306247646698</v>
      </c>
      <c r="I687" s="1">
        <v>12212.623236129</v>
      </c>
      <c r="J687" s="1">
        <v>142.02893098846101</v>
      </c>
      <c r="K687" s="1"/>
      <c r="L687" s="1"/>
      <c r="M687" s="1"/>
      <c r="N687" s="1"/>
      <c r="O687" s="1"/>
      <c r="P687" s="1"/>
      <c r="Q687" s="1">
        <v>954.95266387020297</v>
      </c>
      <c r="R687" s="1">
        <v>15444</v>
      </c>
      <c r="S687" t="s">
        <v>9</v>
      </c>
    </row>
    <row r="688" spans="1:19" x14ac:dyDescent="0.55000000000000004">
      <c r="A688" t="s">
        <v>21</v>
      </c>
      <c r="B688">
        <v>1985</v>
      </c>
      <c r="C688">
        <v>199</v>
      </c>
      <c r="D688" s="2">
        <v>4</v>
      </c>
      <c r="E688" s="3">
        <v>203</v>
      </c>
      <c r="F688" t="s">
        <v>12</v>
      </c>
      <c r="G688" t="s">
        <v>12</v>
      </c>
      <c r="H688" s="1">
        <v>1.5947809656085199</v>
      </c>
      <c r="I688" s="1">
        <v>1521.9309196116999</v>
      </c>
      <c r="J688" s="1">
        <v>58.448622780726303</v>
      </c>
      <c r="K688" s="1"/>
      <c r="L688" s="1"/>
      <c r="M688" s="1"/>
      <c r="N688" s="1"/>
      <c r="O688" s="1"/>
      <c r="P688" s="1"/>
      <c r="Q688" s="1">
        <v>-104.43712630679801</v>
      </c>
      <c r="R688" s="1">
        <v>1889</v>
      </c>
      <c r="S688" t="s">
        <v>9</v>
      </c>
    </row>
    <row r="689" spans="1:19" x14ac:dyDescent="0.55000000000000004">
      <c r="A689" t="s">
        <v>21</v>
      </c>
      <c r="B689">
        <v>1984</v>
      </c>
      <c r="C689">
        <v>371</v>
      </c>
      <c r="D689" s="2">
        <v>0</v>
      </c>
      <c r="E689" s="3">
        <v>371</v>
      </c>
      <c r="F689" t="s">
        <v>12</v>
      </c>
      <c r="G689" t="s">
        <v>12</v>
      </c>
      <c r="H689" s="1">
        <v>0</v>
      </c>
      <c r="I689" s="1">
        <v>2065.4590514552201</v>
      </c>
      <c r="J689" s="1">
        <v>115.117521641491</v>
      </c>
      <c r="K689" s="1"/>
      <c r="L689" s="1"/>
      <c r="M689" s="1"/>
      <c r="N689" s="1"/>
      <c r="O689" s="1"/>
      <c r="P689" s="1"/>
      <c r="Q689" s="1">
        <v>-1069.8840018286101</v>
      </c>
      <c r="R689" s="1">
        <v>3621</v>
      </c>
      <c r="S689" t="s">
        <v>9</v>
      </c>
    </row>
    <row r="690" spans="1:19" x14ac:dyDescent="0.55000000000000004">
      <c r="A690" t="s">
        <v>21</v>
      </c>
      <c r="B690">
        <v>1983</v>
      </c>
      <c r="C690">
        <v>476</v>
      </c>
      <c r="D690" s="2">
        <v>15</v>
      </c>
      <c r="E690" s="3">
        <v>491</v>
      </c>
      <c r="F690" t="s">
        <v>12</v>
      </c>
      <c r="G690" t="s">
        <v>12</v>
      </c>
      <c r="H690" s="1">
        <v>102.32518609380899</v>
      </c>
      <c r="I690" s="1">
        <v>4265.1808289372902</v>
      </c>
      <c r="J690" s="1">
        <v>136.61380603054999</v>
      </c>
      <c r="K690" s="1"/>
      <c r="L690" s="1"/>
      <c r="M690" s="1"/>
      <c r="N690" s="1"/>
      <c r="O690" s="1"/>
      <c r="P690" s="1"/>
      <c r="Q690" s="1">
        <v>-715.11493353266803</v>
      </c>
      <c r="R690" s="1">
        <v>5710</v>
      </c>
      <c r="S690" t="s">
        <v>9</v>
      </c>
    </row>
    <row r="691" spans="1:19" x14ac:dyDescent="0.55000000000000004">
      <c r="A691" t="s">
        <v>21</v>
      </c>
      <c r="B691">
        <v>1982</v>
      </c>
      <c r="C691">
        <v>2302</v>
      </c>
      <c r="D691" s="2">
        <v>29</v>
      </c>
      <c r="E691" s="3">
        <v>2331</v>
      </c>
      <c r="F691" t="s">
        <v>12</v>
      </c>
      <c r="G691" t="s">
        <v>12</v>
      </c>
      <c r="H691" s="1"/>
      <c r="I691" s="1">
        <v>9174.0166526427492</v>
      </c>
      <c r="J691" s="1">
        <v>408.18077626026798</v>
      </c>
      <c r="K691" s="1"/>
      <c r="L691" s="1"/>
      <c r="M691" s="1"/>
      <c r="N691" s="1"/>
      <c r="O691" s="1"/>
      <c r="P691" s="1"/>
      <c r="Q691" s="1">
        <v>-533.03442567432501</v>
      </c>
      <c r="R691" s="1">
        <v>12446</v>
      </c>
      <c r="S691" t="s">
        <v>9</v>
      </c>
    </row>
    <row r="692" spans="1:19" x14ac:dyDescent="0.55000000000000004">
      <c r="A692" t="s">
        <v>21</v>
      </c>
      <c r="B692">
        <v>1981</v>
      </c>
      <c r="C692">
        <v>173</v>
      </c>
      <c r="D692" s="2">
        <v>0</v>
      </c>
      <c r="E692" s="3">
        <v>173</v>
      </c>
      <c r="F692" t="s">
        <v>12</v>
      </c>
      <c r="G692" t="s">
        <v>12</v>
      </c>
      <c r="H692" s="1"/>
      <c r="I692" s="1">
        <v>1622.1911648395101</v>
      </c>
      <c r="J692" s="1">
        <v>31.848838274783599</v>
      </c>
      <c r="K692" s="1"/>
      <c r="L692" s="1"/>
      <c r="M692" s="1"/>
      <c r="N692" s="1"/>
      <c r="O692" s="1"/>
      <c r="P692" s="1"/>
      <c r="Q692" s="1">
        <v>-213.53804922025901</v>
      </c>
      <c r="R692" s="1">
        <v>2041</v>
      </c>
      <c r="S692" t="s">
        <v>9</v>
      </c>
    </row>
    <row r="693" spans="1:19" x14ac:dyDescent="0.55000000000000004">
      <c r="A693" t="s">
        <v>21</v>
      </c>
      <c r="B693">
        <v>1980</v>
      </c>
      <c r="C693">
        <v>713</v>
      </c>
      <c r="D693" s="2">
        <v>86</v>
      </c>
      <c r="E693" s="3">
        <v>799</v>
      </c>
      <c r="F693" t="s">
        <v>12</v>
      </c>
      <c r="G693" t="s">
        <v>12</v>
      </c>
      <c r="H693" s="1"/>
      <c r="I693" s="1">
        <v>3649.2328950000901</v>
      </c>
      <c r="J693" s="1">
        <v>174.85317703298199</v>
      </c>
      <c r="K693" s="1"/>
      <c r="L693" s="1"/>
      <c r="M693" s="1"/>
      <c r="N693" s="1"/>
      <c r="O693" s="1"/>
      <c r="P693" s="1"/>
      <c r="Q693" s="1">
        <v>-291.60577131954</v>
      </c>
      <c r="R693" s="1">
        <v>4915</v>
      </c>
      <c r="S693" t="s">
        <v>9</v>
      </c>
    </row>
    <row r="694" spans="1:19" x14ac:dyDescent="0.55000000000000004">
      <c r="A694" t="s">
        <v>21</v>
      </c>
      <c r="B694">
        <v>1979</v>
      </c>
      <c r="C694">
        <v>93</v>
      </c>
      <c r="D694" s="2">
        <v>26</v>
      </c>
      <c r="E694" s="3">
        <v>119</v>
      </c>
      <c r="F694" t="s">
        <v>12</v>
      </c>
      <c r="G694" t="s">
        <v>12</v>
      </c>
      <c r="H694" s="1"/>
      <c r="I694" s="1">
        <v>393.67270067555199</v>
      </c>
      <c r="J694" s="1">
        <v>24.8641406186258</v>
      </c>
      <c r="K694" s="1"/>
      <c r="L694" s="1"/>
      <c r="M694" s="1"/>
      <c r="N694" s="1"/>
      <c r="O694" s="1"/>
      <c r="P694" s="1"/>
      <c r="Q694" s="1">
        <v>50.723745724880096</v>
      </c>
      <c r="R694" s="1">
        <v>538</v>
      </c>
      <c r="S694" t="s">
        <v>9</v>
      </c>
    </row>
    <row r="695" spans="1:19" x14ac:dyDescent="0.55000000000000004">
      <c r="A695" t="s">
        <v>21</v>
      </c>
      <c r="B695">
        <v>1978</v>
      </c>
      <c r="C695">
        <v>1612</v>
      </c>
      <c r="D695" s="2">
        <v>19</v>
      </c>
      <c r="E695" s="3">
        <v>1631</v>
      </c>
      <c r="F695" t="s">
        <v>12</v>
      </c>
      <c r="G695" t="s">
        <v>12</v>
      </c>
      <c r="H695" s="1"/>
      <c r="I695" s="1">
        <v>5710.7434842451803</v>
      </c>
      <c r="J695" s="1">
        <v>366.801420593111</v>
      </c>
      <c r="K695" s="1"/>
      <c r="L695" s="1"/>
      <c r="M695" s="1"/>
      <c r="N695" s="1"/>
      <c r="O695" s="1"/>
      <c r="P695" s="1"/>
      <c r="Q695" s="1">
        <v>83.577160772753501</v>
      </c>
      <c r="R695" s="1">
        <v>7709</v>
      </c>
      <c r="S695" t="s">
        <v>9</v>
      </c>
    </row>
    <row r="696" spans="1:19" x14ac:dyDescent="0.55000000000000004">
      <c r="A696" t="s">
        <v>21</v>
      </c>
      <c r="B696">
        <v>1977</v>
      </c>
      <c r="C696">
        <v>193</v>
      </c>
      <c r="D696" s="2">
        <v>156</v>
      </c>
      <c r="E696" s="3">
        <v>349</v>
      </c>
      <c r="F696" t="s">
        <v>12</v>
      </c>
      <c r="G696" t="s">
        <v>12</v>
      </c>
      <c r="H696" s="1"/>
      <c r="I696" s="1">
        <v>1352.83787577776</v>
      </c>
      <c r="J696" s="1">
        <v>161.21997613679099</v>
      </c>
      <c r="K696" s="1"/>
      <c r="L696" s="1"/>
      <c r="M696" s="1"/>
      <c r="N696" s="1"/>
      <c r="O696" s="1"/>
      <c r="P696" s="1"/>
      <c r="Q696" s="1">
        <v>107.44151229170799</v>
      </c>
      <c r="R696" s="1">
        <v>1863</v>
      </c>
      <c r="S696" t="s">
        <v>9</v>
      </c>
    </row>
    <row r="697" spans="1:19" x14ac:dyDescent="0.55000000000000004">
      <c r="A697" t="s">
        <v>21</v>
      </c>
      <c r="B697">
        <v>1976</v>
      </c>
      <c r="C697">
        <v>1802</v>
      </c>
      <c r="D697" s="2">
        <v>0</v>
      </c>
      <c r="E697" s="3">
        <v>1802</v>
      </c>
      <c r="F697" t="s">
        <v>12</v>
      </c>
      <c r="G697" t="s">
        <v>12</v>
      </c>
      <c r="H697" s="1"/>
      <c r="I697" s="1">
        <v>8856.8499736796002</v>
      </c>
      <c r="J697" s="1">
        <v>316.74454428754802</v>
      </c>
      <c r="K697" s="1"/>
      <c r="L697" s="1"/>
      <c r="M697" s="1"/>
      <c r="N697" s="1"/>
      <c r="O697" s="1"/>
      <c r="P697" s="1"/>
      <c r="Q697" s="1"/>
      <c r="R697" s="1">
        <v>10976</v>
      </c>
      <c r="S697" t="s">
        <v>12</v>
      </c>
    </row>
    <row r="698" spans="1:19" x14ac:dyDescent="0.55000000000000004">
      <c r="A698" t="s">
        <v>21</v>
      </c>
      <c r="B698">
        <v>1975</v>
      </c>
      <c r="C698">
        <v>74</v>
      </c>
      <c r="D698" s="2">
        <v>2</v>
      </c>
      <c r="E698" s="3">
        <v>76</v>
      </c>
      <c r="F698" t="s">
        <v>12</v>
      </c>
      <c r="G698" t="s">
        <v>12</v>
      </c>
      <c r="H698" s="1"/>
      <c r="I698" s="1">
        <v>204.25878456840601</v>
      </c>
      <c r="J698" s="1">
        <v>7.5559678616372503</v>
      </c>
      <c r="K698" s="1"/>
      <c r="L698" s="1"/>
      <c r="M698" s="1"/>
      <c r="N698" s="1"/>
      <c r="O698" s="1"/>
      <c r="P698" s="1"/>
      <c r="Q698" s="1"/>
      <c r="R698" s="1">
        <v>288</v>
      </c>
      <c r="S698" t="s">
        <v>11</v>
      </c>
    </row>
    <row r="699" spans="1:19" x14ac:dyDescent="0.55000000000000004">
      <c r="A699" t="s">
        <v>21</v>
      </c>
      <c r="B699">
        <v>1974</v>
      </c>
      <c r="C699">
        <v>955</v>
      </c>
      <c r="D699" s="2">
        <v>139</v>
      </c>
      <c r="E699" s="3">
        <v>1094</v>
      </c>
      <c r="F699" t="s">
        <v>12</v>
      </c>
      <c r="G699" t="s">
        <v>12</v>
      </c>
      <c r="H699" s="1"/>
      <c r="I699" s="1">
        <v>5926.6747697444198</v>
      </c>
      <c r="J699" s="1">
        <v>150.60009210223399</v>
      </c>
      <c r="K699" s="1"/>
      <c r="L699" s="1"/>
      <c r="M699" s="1"/>
      <c r="N699" s="1"/>
      <c r="O699" s="1"/>
      <c r="P699" s="1"/>
      <c r="Q699" s="1"/>
      <c r="R699" s="1">
        <v>7171</v>
      </c>
      <c r="S699" t="s">
        <v>12</v>
      </c>
    </row>
    <row r="700" spans="1:19" x14ac:dyDescent="0.55000000000000004">
      <c r="A700" t="s">
        <v>21</v>
      </c>
      <c r="B700">
        <v>1973</v>
      </c>
      <c r="C700">
        <v>352</v>
      </c>
      <c r="D700" s="2">
        <v>26</v>
      </c>
      <c r="E700" s="3">
        <v>378</v>
      </c>
      <c r="F700" t="s">
        <v>12</v>
      </c>
      <c r="G700" t="s">
        <v>12</v>
      </c>
      <c r="H700" s="1"/>
      <c r="I700" s="1">
        <v>2296.3589018887701</v>
      </c>
      <c r="J700" s="1">
        <v>16.6834357940647</v>
      </c>
      <c r="K700" s="1"/>
      <c r="L700" s="1"/>
      <c r="M700" s="1"/>
      <c r="N700" s="1"/>
      <c r="O700" s="1"/>
      <c r="P700" s="1"/>
      <c r="Q700" s="1"/>
      <c r="R700" s="1">
        <v>2691</v>
      </c>
      <c r="S700" t="s">
        <v>12</v>
      </c>
    </row>
    <row r="701" spans="1:19" x14ac:dyDescent="0.55000000000000004">
      <c r="A701" t="s">
        <v>21</v>
      </c>
      <c r="B701">
        <v>1972</v>
      </c>
      <c r="C701">
        <v>2718</v>
      </c>
      <c r="D701" s="2">
        <v>261</v>
      </c>
      <c r="E701" s="3">
        <v>2979</v>
      </c>
      <c r="F701" t="s">
        <v>12</v>
      </c>
      <c r="G701" t="s">
        <v>12</v>
      </c>
      <c r="H701" s="1"/>
      <c r="I701" s="1">
        <v>10084.316188647301</v>
      </c>
      <c r="J701" s="1">
        <v>134.00645678446801</v>
      </c>
      <c r="K701" s="1"/>
      <c r="L701" s="1"/>
      <c r="M701" s="1"/>
      <c r="N701" s="1"/>
      <c r="O701" s="1"/>
      <c r="P701" s="1"/>
      <c r="Q701" s="1"/>
      <c r="R701" s="1">
        <v>13197</v>
      </c>
      <c r="S701" t="s">
        <v>12</v>
      </c>
    </row>
    <row r="702" spans="1:19" x14ac:dyDescent="0.55000000000000004">
      <c r="A702" t="s">
        <v>21</v>
      </c>
      <c r="B702">
        <v>1971</v>
      </c>
      <c r="C702">
        <v>0</v>
      </c>
      <c r="D702" s="2">
        <v>0</v>
      </c>
      <c r="E702" s="3">
        <v>0</v>
      </c>
      <c r="F702" t="s">
        <v>12</v>
      </c>
      <c r="G702" t="s">
        <v>12</v>
      </c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>
        <v>0</v>
      </c>
      <c r="S702" t="s">
        <v>12</v>
      </c>
    </row>
    <row r="703" spans="1:19" x14ac:dyDescent="0.55000000000000004">
      <c r="A703" t="s">
        <v>21</v>
      </c>
      <c r="B703">
        <v>1970</v>
      </c>
      <c r="C703">
        <v>224</v>
      </c>
      <c r="D703" s="2">
        <v>37</v>
      </c>
      <c r="E703" s="3">
        <v>261</v>
      </c>
      <c r="F703" t="s">
        <v>12</v>
      </c>
      <c r="G703" t="s">
        <v>12</v>
      </c>
      <c r="H703" s="1"/>
      <c r="I703" s="1">
        <v>1000</v>
      </c>
      <c r="J703" s="1">
        <v>2</v>
      </c>
      <c r="K703" s="1"/>
      <c r="L703" s="1"/>
      <c r="M703" s="1"/>
      <c r="N703" s="1"/>
      <c r="O703" s="1"/>
      <c r="P703" s="1"/>
      <c r="Q703" s="1"/>
      <c r="R703" s="1">
        <v>1263</v>
      </c>
      <c r="S703" t="s">
        <v>12</v>
      </c>
    </row>
    <row r="704" spans="1:19" x14ac:dyDescent="0.55000000000000004">
      <c r="A704" t="s">
        <v>21</v>
      </c>
      <c r="B704">
        <v>1969</v>
      </c>
      <c r="C704">
        <v>139</v>
      </c>
      <c r="D704" s="2">
        <v>0</v>
      </c>
      <c r="E704" s="3">
        <v>139</v>
      </c>
      <c r="F704" t="s">
        <v>12</v>
      </c>
      <c r="G704" t="s">
        <v>12</v>
      </c>
      <c r="H704" s="1"/>
      <c r="I704" s="1">
        <v>371.90239043824698</v>
      </c>
      <c r="J704" s="1">
        <v>2</v>
      </c>
      <c r="K704" s="1"/>
      <c r="L704" s="1"/>
      <c r="M704" s="1"/>
      <c r="N704" s="1"/>
      <c r="O704" s="1"/>
      <c r="P704" s="1"/>
      <c r="Q704" s="1"/>
      <c r="R704" s="1">
        <v>513</v>
      </c>
      <c r="S704" t="s">
        <v>12</v>
      </c>
    </row>
    <row r="705" spans="1:19" x14ac:dyDescent="0.55000000000000004">
      <c r="A705" t="s">
        <v>21</v>
      </c>
      <c r="B705">
        <v>1968</v>
      </c>
      <c r="C705">
        <v>1234</v>
      </c>
      <c r="D705" s="2">
        <v>0</v>
      </c>
      <c r="E705" s="3">
        <v>1234</v>
      </c>
      <c r="F705" t="s">
        <v>12</v>
      </c>
      <c r="G705" t="s">
        <v>12</v>
      </c>
      <c r="H705" s="1"/>
      <c r="I705" s="1">
        <v>4504.9246074185603</v>
      </c>
      <c r="J705" s="1"/>
      <c r="K705" s="1"/>
      <c r="L705" s="1"/>
      <c r="M705" s="1"/>
      <c r="N705" s="1"/>
      <c r="O705" s="1"/>
      <c r="P705" s="1"/>
      <c r="Q705" s="1"/>
      <c r="R705" s="1">
        <v>5739</v>
      </c>
      <c r="S705" t="s">
        <v>12</v>
      </c>
    </row>
    <row r="706" spans="1:19" x14ac:dyDescent="0.55000000000000004">
      <c r="A706" t="s">
        <v>21</v>
      </c>
      <c r="B706">
        <v>1967</v>
      </c>
      <c r="C706">
        <v>0</v>
      </c>
      <c r="D706" s="2">
        <v>0</v>
      </c>
      <c r="E706" s="3">
        <v>0</v>
      </c>
      <c r="F706" t="s">
        <v>12</v>
      </c>
      <c r="G706" t="s">
        <v>12</v>
      </c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>
        <v>0</v>
      </c>
      <c r="S706" t="s">
        <v>12</v>
      </c>
    </row>
    <row r="707" spans="1:19" x14ac:dyDescent="0.55000000000000004">
      <c r="A707" t="s">
        <v>21</v>
      </c>
      <c r="B707">
        <v>1966</v>
      </c>
      <c r="C707">
        <v>329</v>
      </c>
      <c r="D707" s="2">
        <v>0</v>
      </c>
      <c r="E707" s="3">
        <v>329</v>
      </c>
      <c r="F707" t="s">
        <v>12</v>
      </c>
      <c r="G707" t="s">
        <v>12</v>
      </c>
      <c r="H707" s="1"/>
      <c r="I707" s="1">
        <v>414.47959583300701</v>
      </c>
      <c r="J707" s="1">
        <v>12</v>
      </c>
      <c r="K707" s="1"/>
      <c r="L707" s="1"/>
      <c r="M707" s="1"/>
      <c r="N707" s="1"/>
      <c r="O707" s="1"/>
      <c r="P707" s="1"/>
      <c r="Q707" s="1"/>
      <c r="R707" s="1">
        <v>755</v>
      </c>
      <c r="S707" t="s">
        <v>12</v>
      </c>
    </row>
    <row r="708" spans="1:19" x14ac:dyDescent="0.55000000000000004">
      <c r="A708" t="s">
        <v>21</v>
      </c>
      <c r="B708">
        <v>1965</v>
      </c>
      <c r="C708">
        <v>646</v>
      </c>
      <c r="D708" s="2">
        <v>0</v>
      </c>
      <c r="E708" s="3">
        <v>646</v>
      </c>
      <c r="F708" t="s">
        <v>12</v>
      </c>
      <c r="G708" t="s">
        <v>12</v>
      </c>
      <c r="H708" s="1"/>
      <c r="I708" s="1">
        <v>1813.1984378381501</v>
      </c>
      <c r="J708" s="1">
        <v>57.1201676758267</v>
      </c>
      <c r="K708" s="1"/>
      <c r="L708" s="1"/>
      <c r="M708" s="1"/>
      <c r="N708" s="1"/>
      <c r="O708" s="1"/>
      <c r="P708" s="1"/>
      <c r="Q708" s="1"/>
      <c r="R708" s="1">
        <v>2516</v>
      </c>
      <c r="S708" t="s">
        <v>12</v>
      </c>
    </row>
    <row r="709" spans="1:19" x14ac:dyDescent="0.55000000000000004">
      <c r="A709" t="s">
        <v>21</v>
      </c>
      <c r="B709">
        <v>1964</v>
      </c>
      <c r="C709">
        <v>3967</v>
      </c>
      <c r="D709" s="2">
        <v>0</v>
      </c>
      <c r="E709" s="3">
        <v>3967</v>
      </c>
      <c r="F709" t="s">
        <v>12</v>
      </c>
      <c r="G709" t="s">
        <v>12</v>
      </c>
      <c r="H709" s="1"/>
      <c r="I709" s="1">
        <v>8377.5327358900104</v>
      </c>
      <c r="J709" s="1">
        <v>266.17460703057998</v>
      </c>
      <c r="K709" s="1"/>
      <c r="L709" s="1"/>
      <c r="M709" s="1"/>
      <c r="N709" s="1"/>
      <c r="O709" s="1"/>
      <c r="P709" s="1"/>
      <c r="Q709" s="1"/>
      <c r="R709" s="1">
        <v>12611</v>
      </c>
      <c r="S709" t="s">
        <v>11</v>
      </c>
    </row>
    <row r="710" spans="1:19" x14ac:dyDescent="0.55000000000000004">
      <c r="A710" t="s">
        <v>21</v>
      </c>
      <c r="B710">
        <v>1963</v>
      </c>
      <c r="C710">
        <v>85</v>
      </c>
      <c r="D710" s="2">
        <v>0</v>
      </c>
      <c r="E710" s="3">
        <v>85</v>
      </c>
      <c r="F710" t="s">
        <v>12</v>
      </c>
      <c r="G710" t="s">
        <v>12</v>
      </c>
      <c r="H710" s="1"/>
      <c r="I710" s="1">
        <v>217.52647391278501</v>
      </c>
      <c r="J710" s="1">
        <v>15.433398774466101</v>
      </c>
      <c r="K710" s="1"/>
      <c r="L710" s="1"/>
      <c r="M710" s="1"/>
      <c r="N710" s="1"/>
      <c r="O710" s="1"/>
      <c r="P710" s="1"/>
      <c r="Q710" s="1"/>
      <c r="R710" s="1">
        <v>318</v>
      </c>
      <c r="S710" t="s">
        <v>12</v>
      </c>
    </row>
    <row r="711" spans="1:19" x14ac:dyDescent="0.55000000000000004">
      <c r="A711" t="s">
        <v>21</v>
      </c>
      <c r="B711">
        <v>1962</v>
      </c>
      <c r="C711">
        <v>270</v>
      </c>
      <c r="D711" s="2">
        <v>0</v>
      </c>
      <c r="E711" s="3">
        <v>270</v>
      </c>
      <c r="F711" t="s">
        <v>12</v>
      </c>
      <c r="G711" t="s">
        <v>12</v>
      </c>
      <c r="H711" s="1"/>
      <c r="I711" s="1">
        <v>488.213577650947</v>
      </c>
      <c r="J711" s="1">
        <v>23</v>
      </c>
      <c r="K711" s="1"/>
      <c r="L711" s="1"/>
      <c r="M711" s="1"/>
      <c r="N711" s="1"/>
      <c r="O711" s="1"/>
      <c r="P711" s="1"/>
      <c r="Q711" s="1"/>
      <c r="R711" s="1">
        <v>781</v>
      </c>
      <c r="S711" t="s">
        <v>12</v>
      </c>
    </row>
    <row r="712" spans="1:19" x14ac:dyDescent="0.55000000000000004">
      <c r="A712" t="s">
        <v>21</v>
      </c>
      <c r="B712">
        <v>1961</v>
      </c>
      <c r="C712">
        <v>409</v>
      </c>
      <c r="D712" s="2">
        <v>0</v>
      </c>
      <c r="E712" s="3">
        <v>409</v>
      </c>
      <c r="F712" t="s">
        <v>12</v>
      </c>
      <c r="G712" t="s">
        <v>12</v>
      </c>
      <c r="H712" s="1"/>
      <c r="I712" s="1">
        <v>254</v>
      </c>
      <c r="J712" s="1">
        <v>19</v>
      </c>
      <c r="K712" s="1"/>
      <c r="L712" s="1"/>
      <c r="M712" s="1"/>
      <c r="N712" s="1"/>
      <c r="O712" s="1"/>
      <c r="P712" s="1"/>
      <c r="Q712" s="1"/>
      <c r="R712" s="1">
        <v>682</v>
      </c>
      <c r="S712" t="s">
        <v>12</v>
      </c>
    </row>
    <row r="713" spans="1:19" x14ac:dyDescent="0.55000000000000004">
      <c r="A713" t="s">
        <v>21</v>
      </c>
      <c r="B713">
        <v>1960</v>
      </c>
      <c r="C713">
        <v>4676</v>
      </c>
      <c r="D713" s="2">
        <v>35</v>
      </c>
      <c r="E713" s="3">
        <v>4711</v>
      </c>
      <c r="F713" t="s">
        <v>12</v>
      </c>
      <c r="G713" t="s">
        <v>12</v>
      </c>
      <c r="H713" s="1"/>
      <c r="I713" s="1">
        <v>9768</v>
      </c>
      <c r="J713" s="1">
        <v>78</v>
      </c>
      <c r="K713" s="1"/>
      <c r="L713" s="1"/>
      <c r="M713" s="1"/>
      <c r="N713" s="1"/>
      <c r="O713" s="1"/>
      <c r="P713" s="1"/>
      <c r="Q713" s="1"/>
      <c r="R713" s="1">
        <v>14557</v>
      </c>
      <c r="S713" t="s">
        <v>11</v>
      </c>
    </row>
    <row r="714" spans="1:19" x14ac:dyDescent="0.55000000000000004">
      <c r="A714" t="s">
        <v>21</v>
      </c>
      <c r="B714">
        <v>1959</v>
      </c>
      <c r="C714">
        <v>35</v>
      </c>
      <c r="D714" s="2">
        <v>29</v>
      </c>
      <c r="E714" s="3">
        <v>64</v>
      </c>
      <c r="F714" t="s">
        <v>12</v>
      </c>
      <c r="G714" t="s">
        <v>12</v>
      </c>
      <c r="H714" s="1"/>
      <c r="I714" s="1">
        <v>436.69027596825799</v>
      </c>
      <c r="J714" s="1">
        <v>2.0694066090252301</v>
      </c>
      <c r="K714" s="1"/>
      <c r="L714" s="1"/>
      <c r="M714" s="1"/>
      <c r="N714" s="1"/>
      <c r="O714" s="1"/>
      <c r="P714" s="1"/>
      <c r="Q714" s="1"/>
      <c r="R714" s="1">
        <v>503</v>
      </c>
      <c r="S714" t="s">
        <v>12</v>
      </c>
    </row>
    <row r="715" spans="1:19" x14ac:dyDescent="0.55000000000000004">
      <c r="A715" t="s">
        <v>21</v>
      </c>
      <c r="B715">
        <v>1958</v>
      </c>
      <c r="C715">
        <v>0</v>
      </c>
      <c r="D715" s="2">
        <v>0</v>
      </c>
      <c r="E715" s="3">
        <v>0</v>
      </c>
      <c r="F715" t="s">
        <v>12</v>
      </c>
      <c r="G715" t="s">
        <v>12</v>
      </c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>
        <v>0</v>
      </c>
      <c r="S715" t="s">
        <v>12</v>
      </c>
    </row>
    <row r="716" spans="1:19" x14ac:dyDescent="0.55000000000000004">
      <c r="A716" t="s">
        <v>21</v>
      </c>
      <c r="B716">
        <v>1957</v>
      </c>
      <c r="C716">
        <v>389</v>
      </c>
      <c r="D716" s="2">
        <v>0</v>
      </c>
      <c r="E716" s="3">
        <v>389</v>
      </c>
      <c r="F716" t="s">
        <v>12</v>
      </c>
      <c r="G716" t="s">
        <v>12</v>
      </c>
      <c r="H716" s="1"/>
      <c r="I716" s="1">
        <v>2844</v>
      </c>
      <c r="J716" s="1">
        <v>2</v>
      </c>
      <c r="K716" s="1"/>
      <c r="L716" s="1"/>
      <c r="M716" s="1"/>
      <c r="N716" s="1"/>
      <c r="O716" s="1"/>
      <c r="P716" s="1"/>
      <c r="Q716" s="1"/>
      <c r="R716" s="1">
        <v>3235</v>
      </c>
      <c r="S716" t="s">
        <v>12</v>
      </c>
    </row>
    <row r="717" spans="1:19" x14ac:dyDescent="0.55000000000000004">
      <c r="A717" t="s">
        <v>21</v>
      </c>
      <c r="B717">
        <v>1956</v>
      </c>
      <c r="C717">
        <v>6235</v>
      </c>
      <c r="D717" s="2">
        <v>0</v>
      </c>
      <c r="E717" s="3">
        <v>6235</v>
      </c>
      <c r="F717" t="s">
        <v>12</v>
      </c>
      <c r="G717" t="s">
        <v>12</v>
      </c>
      <c r="H717" s="1"/>
      <c r="I717" s="1">
        <v>19901.995444191401</v>
      </c>
      <c r="J717" s="1">
        <v>19.1640091116173</v>
      </c>
      <c r="K717" s="1"/>
      <c r="L717" s="1"/>
      <c r="M717" s="1"/>
      <c r="N717" s="1"/>
      <c r="O717" s="1"/>
      <c r="P717" s="1"/>
      <c r="Q717" s="1"/>
      <c r="R717" s="1">
        <v>26156</v>
      </c>
      <c r="S717" t="s">
        <v>12</v>
      </c>
    </row>
    <row r="718" spans="1:19" x14ac:dyDescent="0.55000000000000004">
      <c r="A718" t="s">
        <v>21</v>
      </c>
      <c r="B718">
        <v>1955</v>
      </c>
      <c r="C718">
        <v>191</v>
      </c>
      <c r="D718" s="2">
        <v>0</v>
      </c>
      <c r="E718" s="3">
        <v>191</v>
      </c>
      <c r="F718" t="s">
        <v>12</v>
      </c>
      <c r="G718" t="s">
        <v>12</v>
      </c>
      <c r="H718" s="1"/>
      <c r="I718" s="1">
        <v>705</v>
      </c>
      <c r="J718" s="1">
        <v>1</v>
      </c>
      <c r="K718" s="1"/>
      <c r="L718" s="1"/>
      <c r="M718" s="1"/>
      <c r="N718" s="1"/>
      <c r="O718" s="1"/>
      <c r="P718" s="1"/>
      <c r="Q718" s="1"/>
      <c r="R718" s="1">
        <v>897</v>
      </c>
      <c r="S718" t="s">
        <v>11</v>
      </c>
    </row>
    <row r="719" spans="1:19" x14ac:dyDescent="0.55000000000000004">
      <c r="A719" t="s">
        <v>21</v>
      </c>
      <c r="B719">
        <v>1954</v>
      </c>
      <c r="C719">
        <v>279</v>
      </c>
      <c r="D719" s="2">
        <v>0</v>
      </c>
      <c r="E719" s="3">
        <v>279</v>
      </c>
      <c r="F719" t="s">
        <v>12</v>
      </c>
      <c r="G719" t="s">
        <v>12</v>
      </c>
      <c r="H719" s="1"/>
      <c r="I719" s="1">
        <v>2019.2796610169501</v>
      </c>
      <c r="J719" s="1">
        <v>9</v>
      </c>
      <c r="K719" s="1"/>
      <c r="L719" s="1"/>
      <c r="M719" s="1"/>
      <c r="N719" s="1"/>
      <c r="O719" s="1"/>
      <c r="P719" s="1"/>
      <c r="Q719" s="1"/>
      <c r="R719" s="1">
        <v>2307</v>
      </c>
      <c r="S719" t="s">
        <v>12</v>
      </c>
    </row>
    <row r="720" spans="1:19" x14ac:dyDescent="0.55000000000000004">
      <c r="A720" t="s">
        <v>21</v>
      </c>
      <c r="B720">
        <v>1953</v>
      </c>
      <c r="C720">
        <v>507</v>
      </c>
      <c r="D720" s="2">
        <v>4</v>
      </c>
      <c r="E720" s="3">
        <v>511</v>
      </c>
      <c r="F720" t="s">
        <v>12</v>
      </c>
      <c r="G720" t="s">
        <v>12</v>
      </c>
      <c r="H720" s="1"/>
      <c r="I720" s="1">
        <v>1817.95871346284</v>
      </c>
      <c r="J720" s="1">
        <v>16.372652141247201</v>
      </c>
      <c r="K720" s="1"/>
      <c r="L720" s="1"/>
      <c r="M720" s="1"/>
      <c r="N720" s="1"/>
      <c r="O720" s="1"/>
      <c r="P720" s="1"/>
      <c r="Q720" s="1"/>
      <c r="R720" s="1">
        <v>2345</v>
      </c>
      <c r="S720" t="s">
        <v>12</v>
      </c>
    </row>
    <row r="721" spans="1:20" x14ac:dyDescent="0.55000000000000004">
      <c r="A721" t="s">
        <v>21</v>
      </c>
      <c r="B721">
        <v>1952</v>
      </c>
      <c r="C721">
        <v>6192</v>
      </c>
      <c r="D721" s="2">
        <v>9</v>
      </c>
      <c r="E721" s="3">
        <v>6201</v>
      </c>
      <c r="F721" t="s">
        <v>12</v>
      </c>
      <c r="G721" t="s">
        <v>12</v>
      </c>
      <c r="H721" s="1"/>
      <c r="I721" s="1">
        <v>24367.609417711101</v>
      </c>
      <c r="J721" s="1">
        <v>48.371989272267697</v>
      </c>
      <c r="K721" s="1"/>
      <c r="L721" s="1"/>
      <c r="M721" s="1"/>
      <c r="N721" s="1"/>
      <c r="O721" s="1"/>
      <c r="P721" s="1"/>
      <c r="Q721" s="1"/>
      <c r="R721" s="1">
        <v>30617</v>
      </c>
      <c r="S721" t="s">
        <v>12</v>
      </c>
    </row>
    <row r="722" spans="1:20" x14ac:dyDescent="0.55000000000000004">
      <c r="A722" t="s">
        <v>22</v>
      </c>
      <c r="B722">
        <v>2023</v>
      </c>
      <c r="C722">
        <v>7842</v>
      </c>
      <c r="D722" s="2">
        <v>0</v>
      </c>
      <c r="E722" s="3">
        <v>7842</v>
      </c>
      <c r="F722" t="s">
        <v>12</v>
      </c>
      <c r="G722" t="s">
        <v>12</v>
      </c>
      <c r="H722" s="1">
        <v>77.292663385553595</v>
      </c>
      <c r="I722" s="1">
        <v>518.44949881251603</v>
      </c>
      <c r="J722" s="1">
        <v>120.825789074694</v>
      </c>
      <c r="K722" s="1"/>
      <c r="L722" s="1">
        <v>3265</v>
      </c>
      <c r="M722" s="1">
        <v>1953</v>
      </c>
      <c r="N722" s="1"/>
      <c r="O722" s="1"/>
      <c r="P722" s="1"/>
      <c r="Q722" s="1">
        <v>-47024.1097907355</v>
      </c>
      <c r="R722" s="1">
        <v>13777</v>
      </c>
      <c r="S722" t="s">
        <v>11</v>
      </c>
    </row>
    <row r="723" spans="1:20" x14ac:dyDescent="0.55000000000000004">
      <c r="A723" t="s">
        <v>22</v>
      </c>
      <c r="B723">
        <v>2022</v>
      </c>
      <c r="C723">
        <v>712563</v>
      </c>
      <c r="D723" s="2">
        <v>19</v>
      </c>
      <c r="E723" s="3">
        <v>712582</v>
      </c>
      <c r="F723" t="s">
        <v>12</v>
      </c>
      <c r="G723" t="s">
        <v>12</v>
      </c>
      <c r="H723" s="1">
        <v>9270.4036908055605</v>
      </c>
      <c r="I723" s="1">
        <v>377366.26439374097</v>
      </c>
      <c r="J723" s="1">
        <v>36487.226583128599</v>
      </c>
      <c r="K723" s="1"/>
      <c r="L723" s="1">
        <v>179359</v>
      </c>
      <c r="M723" s="1">
        <v>4873</v>
      </c>
      <c r="N723" s="1"/>
      <c r="O723" s="1">
        <v>5</v>
      </c>
      <c r="P723" s="1"/>
      <c r="Q723" s="1">
        <v>-308121.26036599802</v>
      </c>
      <c r="R723" s="1">
        <v>1319943</v>
      </c>
      <c r="S723" t="s">
        <v>11</v>
      </c>
    </row>
    <row r="724" spans="1:20" x14ac:dyDescent="0.55000000000000004">
      <c r="A724" t="s">
        <v>22</v>
      </c>
      <c r="B724">
        <v>2021</v>
      </c>
      <c r="C724">
        <v>29897</v>
      </c>
      <c r="D724" s="2">
        <v>1662</v>
      </c>
      <c r="E724" s="3">
        <v>31559</v>
      </c>
      <c r="F724" t="s">
        <v>12</v>
      </c>
      <c r="G724" t="s">
        <v>12</v>
      </c>
      <c r="H724" s="1">
        <v>2827.9276072023399</v>
      </c>
      <c r="I724" s="1">
        <v>316.39587775665001</v>
      </c>
      <c r="J724" s="1">
        <v>422.405283546026</v>
      </c>
      <c r="K724" s="1"/>
      <c r="L724" s="1">
        <v>9229</v>
      </c>
      <c r="M724" s="1">
        <v>7018</v>
      </c>
      <c r="N724" s="1"/>
      <c r="O724" s="1">
        <v>551</v>
      </c>
      <c r="P724" s="1">
        <v>541</v>
      </c>
      <c r="Q724" s="1">
        <v>-64719.409690152701</v>
      </c>
      <c r="R724" s="1">
        <v>52465</v>
      </c>
      <c r="S724" t="s">
        <v>11</v>
      </c>
    </row>
    <row r="725" spans="1:20" x14ac:dyDescent="0.55000000000000004">
      <c r="A725" t="s">
        <v>22</v>
      </c>
      <c r="B725">
        <v>2020</v>
      </c>
      <c r="C725">
        <v>27</v>
      </c>
      <c r="D725" s="2">
        <v>0</v>
      </c>
      <c r="E725" s="3">
        <v>27</v>
      </c>
      <c r="F725" t="s">
        <v>12</v>
      </c>
      <c r="G725" t="s">
        <v>12</v>
      </c>
      <c r="H725" s="1">
        <v>314.34920029584998</v>
      </c>
      <c r="I725" s="1">
        <v>8.5407690437910393</v>
      </c>
      <c r="J725" s="1">
        <v>1.47924236266297</v>
      </c>
      <c r="K725" s="1"/>
      <c r="L725" s="1">
        <v>32</v>
      </c>
      <c r="M725" s="1">
        <v>5</v>
      </c>
      <c r="N725" s="1"/>
      <c r="O725" s="1"/>
      <c r="P725" s="1"/>
      <c r="Q725" s="1">
        <v>-75.947764992804494</v>
      </c>
      <c r="R725" s="1">
        <v>388</v>
      </c>
      <c r="S725" t="s">
        <v>11</v>
      </c>
    </row>
    <row r="726" spans="1:20" x14ac:dyDescent="0.55000000000000004">
      <c r="A726" t="s">
        <v>22</v>
      </c>
      <c r="B726">
        <v>2019</v>
      </c>
      <c r="C726">
        <v>5263</v>
      </c>
      <c r="D726" s="2">
        <v>0</v>
      </c>
      <c r="E726" s="3">
        <v>5263</v>
      </c>
      <c r="F726" t="s">
        <v>12</v>
      </c>
      <c r="G726" t="s">
        <v>12</v>
      </c>
      <c r="H726" s="1">
        <v>3466.7933955837002</v>
      </c>
      <c r="I726" s="1">
        <v>192.87839630349001</v>
      </c>
      <c r="J726" s="1">
        <v>47.488506242145199</v>
      </c>
      <c r="K726" s="1"/>
      <c r="L726" s="1">
        <v>3599</v>
      </c>
      <c r="M726" s="1">
        <v>1421</v>
      </c>
      <c r="N726" s="1"/>
      <c r="O726" s="1"/>
      <c r="P726" s="1"/>
      <c r="Q726" s="1">
        <v>-8464.6032623624506</v>
      </c>
      <c r="R726" s="1">
        <v>13990</v>
      </c>
      <c r="S726" t="s">
        <v>11</v>
      </c>
    </row>
    <row r="727" spans="1:20" x14ac:dyDescent="0.55000000000000004">
      <c r="A727" t="s">
        <v>22</v>
      </c>
      <c r="B727">
        <v>2018</v>
      </c>
      <c r="C727">
        <v>1517302</v>
      </c>
      <c r="D727" s="2">
        <v>0</v>
      </c>
      <c r="E727" s="3">
        <v>1517302</v>
      </c>
      <c r="F727" t="s">
        <v>12</v>
      </c>
      <c r="G727" t="s">
        <v>12</v>
      </c>
      <c r="H727" s="1">
        <v>20693.836182879</v>
      </c>
      <c r="I727" s="1">
        <v>2191371.72980888</v>
      </c>
      <c r="J727" s="1">
        <v>359060.142338684</v>
      </c>
      <c r="K727" s="1"/>
      <c r="L727" s="1">
        <v>168589</v>
      </c>
      <c r="M727" s="1"/>
      <c r="N727" s="1">
        <v>33407</v>
      </c>
      <c r="O727" s="1"/>
      <c r="P727" s="1"/>
      <c r="Q727" s="1">
        <v>-266714.83954716899</v>
      </c>
      <c r="R727" s="1">
        <v>4290424</v>
      </c>
      <c r="S727" t="s">
        <v>11</v>
      </c>
    </row>
    <row r="728" spans="1:20" x14ac:dyDescent="0.55000000000000004">
      <c r="A728" t="s">
        <v>22</v>
      </c>
      <c r="B728">
        <v>2017</v>
      </c>
      <c r="C728">
        <v>15069</v>
      </c>
      <c r="D728" s="2">
        <v>7575</v>
      </c>
      <c r="E728" s="3">
        <v>22644</v>
      </c>
      <c r="F728" t="s">
        <v>12</v>
      </c>
      <c r="G728" t="s">
        <v>12</v>
      </c>
      <c r="H728" s="1">
        <v>465.710105535374</v>
      </c>
      <c r="I728" s="1">
        <v>1633.55749037137</v>
      </c>
      <c r="J728" s="1">
        <v>1090.1831521147701</v>
      </c>
      <c r="K728" s="1"/>
      <c r="L728" s="1">
        <v>6137</v>
      </c>
      <c r="M728" s="1">
        <v>3342</v>
      </c>
      <c r="N728" s="1">
        <v>250</v>
      </c>
      <c r="O728" s="1">
        <v>3061</v>
      </c>
      <c r="P728" s="1">
        <v>1608</v>
      </c>
      <c r="Q728" s="1">
        <v>-24542.9738762548</v>
      </c>
      <c r="R728" s="1">
        <v>40231</v>
      </c>
      <c r="S728" t="s">
        <v>11</v>
      </c>
    </row>
    <row r="729" spans="1:20" x14ac:dyDescent="0.55000000000000004">
      <c r="A729" t="s">
        <v>22</v>
      </c>
      <c r="B729">
        <v>2016</v>
      </c>
      <c r="C729">
        <v>49</v>
      </c>
      <c r="D729" s="2">
        <v>0</v>
      </c>
      <c r="E729" s="3">
        <v>49</v>
      </c>
      <c r="F729" t="s">
        <v>12</v>
      </c>
      <c r="G729" t="s">
        <v>12</v>
      </c>
      <c r="H729" s="1">
        <v>99.720795954213003</v>
      </c>
      <c r="I729" s="1">
        <v>53.499196593873002</v>
      </c>
      <c r="J729" s="1">
        <v>17.179668145883099</v>
      </c>
      <c r="K729" s="1"/>
      <c r="L729" s="1">
        <v>126</v>
      </c>
      <c r="M729" s="1">
        <v>105</v>
      </c>
      <c r="N729" s="1">
        <v>414</v>
      </c>
      <c r="O729" s="1"/>
      <c r="P729" s="1"/>
      <c r="Q729" s="1">
        <v>-141.11567911520501</v>
      </c>
      <c r="R729" s="1">
        <v>864</v>
      </c>
      <c r="S729" t="s">
        <v>11</v>
      </c>
    </row>
    <row r="730" spans="1:20" x14ac:dyDescent="0.55000000000000004">
      <c r="A730" t="s">
        <v>22</v>
      </c>
      <c r="B730">
        <v>2015</v>
      </c>
      <c r="C730">
        <v>9688</v>
      </c>
      <c r="D730" s="2">
        <v>0</v>
      </c>
      <c r="E730" s="3">
        <v>9688</v>
      </c>
      <c r="F730" t="s">
        <v>12</v>
      </c>
      <c r="G730" t="s">
        <v>12</v>
      </c>
      <c r="H730" s="1">
        <v>3505.49532407284</v>
      </c>
      <c r="I730" s="1">
        <v>2309.1347037312298</v>
      </c>
      <c r="J730" s="1">
        <v>1991.1177699538</v>
      </c>
      <c r="K730" s="1"/>
      <c r="L730" s="1">
        <v>10114</v>
      </c>
      <c r="M730" s="1">
        <v>2674</v>
      </c>
      <c r="N730" s="1">
        <v>451</v>
      </c>
      <c r="O730" s="1"/>
      <c r="P730" s="1"/>
      <c r="Q730" s="1">
        <v>-52495.967056483903</v>
      </c>
      <c r="R730" s="1">
        <v>30733</v>
      </c>
      <c r="S730" t="s">
        <v>11</v>
      </c>
    </row>
    <row r="731" spans="1:20" x14ac:dyDescent="0.55000000000000004">
      <c r="A731" t="s">
        <v>22</v>
      </c>
      <c r="B731">
        <v>2014</v>
      </c>
      <c r="C731">
        <v>2207847</v>
      </c>
      <c r="D731" s="2">
        <v>109</v>
      </c>
      <c r="E731" s="3">
        <v>2207956</v>
      </c>
      <c r="F731" t="s">
        <v>12</v>
      </c>
      <c r="G731" t="s">
        <v>12</v>
      </c>
      <c r="H731" s="1">
        <v>47987.892938543999</v>
      </c>
      <c r="I731" s="1">
        <v>4910667.9693990396</v>
      </c>
      <c r="J731" s="1">
        <v>394364.51633580902</v>
      </c>
      <c r="K731" s="1"/>
      <c r="L731" s="1">
        <v>551961.99999999895</v>
      </c>
      <c r="M731" s="1"/>
      <c r="N731" s="1">
        <v>45332</v>
      </c>
      <c r="O731" s="1">
        <v>27</v>
      </c>
      <c r="P731" s="1"/>
      <c r="Q731" s="1">
        <v>-1719312.0270040999</v>
      </c>
      <c r="R731" s="1">
        <v>8158297</v>
      </c>
      <c r="S731" t="s">
        <v>11</v>
      </c>
      <c r="T731" s="1"/>
    </row>
    <row r="732" spans="1:20" x14ac:dyDescent="0.55000000000000004">
      <c r="A732" t="s">
        <v>22</v>
      </c>
      <c r="B732">
        <v>2013</v>
      </c>
      <c r="C732">
        <v>152981</v>
      </c>
      <c r="D732" s="2">
        <v>32264</v>
      </c>
      <c r="E732" s="3">
        <v>185245</v>
      </c>
      <c r="F732" t="s">
        <v>12</v>
      </c>
      <c r="G732" t="s">
        <v>12</v>
      </c>
      <c r="H732" s="1">
        <v>5745.9727057524997</v>
      </c>
      <c r="I732" s="1">
        <v>28181.6127965384</v>
      </c>
      <c r="J732" s="1">
        <v>8860.0342336178401</v>
      </c>
      <c r="K732" s="1"/>
      <c r="L732" s="1">
        <v>128221</v>
      </c>
      <c r="M732" s="1">
        <v>85144</v>
      </c>
      <c r="N732" s="1">
        <v>752</v>
      </c>
      <c r="O732" s="1">
        <v>22301</v>
      </c>
      <c r="P732" s="1">
        <v>9153</v>
      </c>
      <c r="Q732" s="1">
        <v>-134797.56118898801</v>
      </c>
      <c r="R732" s="1">
        <v>473604</v>
      </c>
      <c r="S732" t="s">
        <v>11</v>
      </c>
    </row>
    <row r="733" spans="1:20" s="4" customFormat="1" x14ac:dyDescent="0.55000000000000004">
      <c r="A733" s="4" t="s">
        <v>22</v>
      </c>
      <c r="B733" s="4">
        <v>2012</v>
      </c>
      <c r="C733" s="4">
        <v>12</v>
      </c>
      <c r="D733" s="5">
        <v>0</v>
      </c>
      <c r="E733" s="6">
        <v>12</v>
      </c>
      <c r="F733" s="4" t="s">
        <v>12</v>
      </c>
      <c r="G733" s="4" t="s">
        <v>12</v>
      </c>
      <c r="H733" s="10">
        <v>8.4493285041326995</v>
      </c>
      <c r="I733" s="10">
        <v>755.31587156702005</v>
      </c>
      <c r="J733" s="10">
        <v>813.43567810130401</v>
      </c>
      <c r="K733" s="10">
        <v>-1588</v>
      </c>
      <c r="L733" s="10">
        <v>45</v>
      </c>
      <c r="M733" s="10"/>
      <c r="N733" s="10"/>
      <c r="O733" s="10"/>
      <c r="P733" s="10"/>
      <c r="Q733" s="10">
        <v>-2057.5273809205501</v>
      </c>
      <c r="R733" s="10">
        <v>46</v>
      </c>
      <c r="S733" s="4" t="s">
        <v>11</v>
      </c>
    </row>
    <row r="734" spans="1:20" x14ac:dyDescent="0.55000000000000004">
      <c r="A734" t="s">
        <v>22</v>
      </c>
      <c r="B734">
        <v>2011</v>
      </c>
      <c r="C734">
        <v>165695</v>
      </c>
      <c r="D734" s="2">
        <v>0</v>
      </c>
      <c r="E734" s="3">
        <v>165695</v>
      </c>
      <c r="F734" t="s">
        <v>12</v>
      </c>
      <c r="G734" t="s">
        <v>12</v>
      </c>
      <c r="H734" s="1">
        <v>2070.1377513068401</v>
      </c>
      <c r="I734" s="1">
        <v>94020.453186589802</v>
      </c>
      <c r="J734" s="1">
        <v>30641.500905630099</v>
      </c>
      <c r="K734" s="1"/>
      <c r="L734" s="1">
        <v>81611</v>
      </c>
      <c r="M734" s="1"/>
      <c r="N734" s="1">
        <v>5517</v>
      </c>
      <c r="O734" s="1"/>
      <c r="P734" s="1"/>
      <c r="Q734" s="1">
        <v>-223789.26018861</v>
      </c>
      <c r="R734" s="1">
        <v>379555</v>
      </c>
      <c r="S734" t="s">
        <v>11</v>
      </c>
    </row>
    <row r="735" spans="1:20" x14ac:dyDescent="0.55000000000000004">
      <c r="A735" t="s">
        <v>22</v>
      </c>
      <c r="B735">
        <v>2010</v>
      </c>
      <c r="C735">
        <v>7519018</v>
      </c>
      <c r="D735" s="2">
        <v>58</v>
      </c>
      <c r="E735" s="3">
        <v>7519076</v>
      </c>
      <c r="F735" t="s">
        <v>12</v>
      </c>
      <c r="G735" t="s">
        <v>12</v>
      </c>
      <c r="H735" s="1">
        <v>0</v>
      </c>
      <c r="I735" s="1">
        <v>8442055.5948257502</v>
      </c>
      <c r="J735" s="1"/>
      <c r="K735" s="1"/>
      <c r="L735" s="1">
        <v>565948</v>
      </c>
      <c r="M735" s="1"/>
      <c r="N735" s="1">
        <v>187098</v>
      </c>
      <c r="O735" s="1">
        <v>4</v>
      </c>
      <c r="P735" s="1"/>
      <c r="Q735" s="1">
        <v>-1102577.8325062301</v>
      </c>
      <c r="R735" s="1">
        <v>16714182</v>
      </c>
      <c r="S735" t="s">
        <v>11</v>
      </c>
    </row>
    <row r="736" spans="1:20" x14ac:dyDescent="0.55000000000000004">
      <c r="A736" t="s">
        <v>22</v>
      </c>
      <c r="B736">
        <v>2009</v>
      </c>
      <c r="C736">
        <v>32481</v>
      </c>
      <c r="D736" s="2">
        <v>38863</v>
      </c>
      <c r="E736" s="3">
        <v>71344</v>
      </c>
      <c r="F736" t="s">
        <v>12</v>
      </c>
      <c r="G736" t="s">
        <v>12</v>
      </c>
      <c r="H736" s="1">
        <v>1055.9028680711899</v>
      </c>
      <c r="I736" s="1">
        <v>2762.3647446760101</v>
      </c>
      <c r="J736" s="1">
        <v>963.47115776291002</v>
      </c>
      <c r="K736" s="1"/>
      <c r="L736" s="1">
        <v>19593</v>
      </c>
      <c r="M736" s="1">
        <v>7299</v>
      </c>
      <c r="N736" s="1">
        <v>738</v>
      </c>
      <c r="O736" s="1">
        <v>22414</v>
      </c>
      <c r="P736" s="1">
        <v>6644</v>
      </c>
      <c r="Q736" s="1">
        <v>23305.110191491902</v>
      </c>
      <c r="R736" s="1">
        <v>132814</v>
      </c>
      <c r="S736" t="s">
        <v>11</v>
      </c>
    </row>
    <row r="737" spans="1:19" x14ac:dyDescent="0.55000000000000004">
      <c r="A737" t="s">
        <v>22</v>
      </c>
      <c r="B737">
        <v>2008</v>
      </c>
      <c r="C737">
        <v>164</v>
      </c>
      <c r="D737" s="2">
        <v>0</v>
      </c>
      <c r="E737" s="3">
        <v>164</v>
      </c>
      <c r="F737" t="s">
        <v>12</v>
      </c>
      <c r="G737" t="s">
        <v>12</v>
      </c>
      <c r="H737" s="1">
        <v>25.110021015060301</v>
      </c>
      <c r="I737" s="1">
        <v>2497.05336017339</v>
      </c>
      <c r="J737" s="1">
        <v>2449.7484736834499</v>
      </c>
      <c r="K737" s="1"/>
      <c r="L737" s="1"/>
      <c r="M737" s="1"/>
      <c r="N737" s="1"/>
      <c r="O737" s="1"/>
      <c r="P737" s="1"/>
      <c r="Q737" s="1">
        <v>-7369.8024464663704</v>
      </c>
      <c r="R737" s="1">
        <v>12506</v>
      </c>
      <c r="S737" t="s">
        <v>9</v>
      </c>
    </row>
    <row r="738" spans="1:19" x14ac:dyDescent="0.55000000000000004">
      <c r="A738" t="s">
        <v>22</v>
      </c>
      <c r="B738">
        <v>2007</v>
      </c>
      <c r="C738">
        <v>61043</v>
      </c>
      <c r="D738" s="2">
        <v>0</v>
      </c>
      <c r="E738" s="3">
        <v>61043</v>
      </c>
      <c r="F738" t="s">
        <v>12</v>
      </c>
      <c r="G738" t="s">
        <v>12</v>
      </c>
      <c r="H738" s="1">
        <v>12789.2098712234</v>
      </c>
      <c r="I738" s="1">
        <v>13358.2590323318</v>
      </c>
      <c r="J738" s="1">
        <v>6519.7569398768801</v>
      </c>
      <c r="K738" s="1"/>
      <c r="L738" s="1"/>
      <c r="M738" s="1"/>
      <c r="N738" s="1"/>
      <c r="O738" s="1"/>
      <c r="P738" s="1"/>
      <c r="Q738" s="1">
        <v>-55122.325361732401</v>
      </c>
      <c r="R738" s="1">
        <v>148833</v>
      </c>
      <c r="S738" t="s">
        <v>9</v>
      </c>
    </row>
    <row r="739" spans="1:19" x14ac:dyDescent="0.55000000000000004">
      <c r="A739" t="s">
        <v>22</v>
      </c>
      <c r="B739">
        <v>2006</v>
      </c>
      <c r="C739">
        <v>2897709</v>
      </c>
      <c r="D739" s="2">
        <v>12</v>
      </c>
      <c r="E739" s="3">
        <v>2897721</v>
      </c>
      <c r="F739" t="s">
        <v>12</v>
      </c>
      <c r="G739" t="s">
        <v>12</v>
      </c>
      <c r="H739" s="1">
        <v>17459.307644624099</v>
      </c>
      <c r="I739" s="1">
        <v>2737182.5248686802</v>
      </c>
      <c r="J739" s="1">
        <v>310232.37522068201</v>
      </c>
      <c r="K739" s="1"/>
      <c r="L739" s="1"/>
      <c r="M739" s="1"/>
      <c r="N739" s="1"/>
      <c r="O739" s="1"/>
      <c r="P739" s="1"/>
      <c r="Q739" s="1">
        <v>-1606857.69489401</v>
      </c>
      <c r="R739" s="1">
        <v>7569453</v>
      </c>
      <c r="S739" t="s">
        <v>9</v>
      </c>
    </row>
    <row r="740" spans="1:19" x14ac:dyDescent="0.55000000000000004">
      <c r="A740" t="s">
        <v>22</v>
      </c>
      <c r="B740">
        <v>2005</v>
      </c>
      <c r="C740">
        <v>21113</v>
      </c>
      <c r="D740" s="2">
        <v>42234</v>
      </c>
      <c r="E740" s="3">
        <v>63347</v>
      </c>
      <c r="F740" t="s">
        <v>12</v>
      </c>
      <c r="G740" t="s">
        <v>12</v>
      </c>
      <c r="H740" s="1">
        <v>28701.178777366</v>
      </c>
      <c r="I740" s="1">
        <v>18215.044708420501</v>
      </c>
      <c r="J740" s="1">
        <v>5522.0957973740697</v>
      </c>
      <c r="K740" s="1"/>
      <c r="L740" s="1"/>
      <c r="M740" s="1"/>
      <c r="N740" s="1"/>
      <c r="O740" s="1"/>
      <c r="P740" s="1"/>
      <c r="Q740" s="1">
        <v>22228.073630213901</v>
      </c>
      <c r="R740" s="1">
        <v>115785</v>
      </c>
      <c r="S740" t="s">
        <v>9</v>
      </c>
    </row>
    <row r="741" spans="1:19" x14ac:dyDescent="0.55000000000000004">
      <c r="A741" t="s">
        <v>22</v>
      </c>
      <c r="B741">
        <v>2004</v>
      </c>
      <c r="C741">
        <v>2994</v>
      </c>
      <c r="D741" s="2">
        <v>88</v>
      </c>
      <c r="E741" s="3">
        <v>3082</v>
      </c>
      <c r="F741" t="s">
        <v>12</v>
      </c>
      <c r="G741" t="s">
        <v>12</v>
      </c>
      <c r="H741" s="1">
        <v>109.681571561102</v>
      </c>
      <c r="I741" s="1">
        <v>4376.1737760999004</v>
      </c>
      <c r="J741" s="1">
        <v>3062.8526918080802</v>
      </c>
      <c r="K741" s="1"/>
      <c r="L741" s="1"/>
      <c r="M741" s="1"/>
      <c r="N741" s="1"/>
      <c r="O741" s="1"/>
      <c r="P741" s="1"/>
      <c r="Q741" s="1">
        <v>-6889.6295035512803</v>
      </c>
      <c r="R741" s="1">
        <v>17520</v>
      </c>
      <c r="S741" t="s">
        <v>9</v>
      </c>
    </row>
    <row r="742" spans="1:19" x14ac:dyDescent="0.55000000000000004">
      <c r="A742" t="s">
        <v>22</v>
      </c>
      <c r="B742">
        <v>2003</v>
      </c>
      <c r="C742">
        <v>381278</v>
      </c>
      <c r="D742" s="2">
        <v>0</v>
      </c>
      <c r="E742" s="3">
        <v>381278</v>
      </c>
      <c r="F742" t="s">
        <v>12</v>
      </c>
      <c r="G742" t="s">
        <v>12</v>
      </c>
      <c r="H742" s="1">
        <v>8490.1459920493799</v>
      </c>
      <c r="I742" s="1">
        <v>231152.96143808999</v>
      </c>
      <c r="J742" s="1">
        <v>36777.335535649203</v>
      </c>
      <c r="K742" s="1"/>
      <c r="L742" s="1"/>
      <c r="M742" s="1"/>
      <c r="N742" s="1"/>
      <c r="O742" s="1"/>
      <c r="P742" s="1"/>
      <c r="Q742" s="1">
        <v>11514.528860869699</v>
      </c>
      <c r="R742" s="1">
        <v>657698</v>
      </c>
      <c r="S742" t="s">
        <v>9</v>
      </c>
    </row>
    <row r="743" spans="1:19" x14ac:dyDescent="0.55000000000000004">
      <c r="A743" t="s">
        <v>22</v>
      </c>
      <c r="B743">
        <v>2002</v>
      </c>
      <c r="C743">
        <v>5532263</v>
      </c>
      <c r="D743" s="2">
        <v>123</v>
      </c>
      <c r="E743" s="3">
        <v>5532386</v>
      </c>
      <c r="F743" t="s">
        <v>12</v>
      </c>
      <c r="G743" t="s">
        <v>12</v>
      </c>
      <c r="H743" s="1">
        <v>227.811063061575</v>
      </c>
      <c r="I743" s="1">
        <v>966881.57322745398</v>
      </c>
      <c r="J743" s="1">
        <v>147235.415554804</v>
      </c>
      <c r="K743" s="1"/>
      <c r="L743" s="1"/>
      <c r="M743" s="1"/>
      <c r="N743" s="1"/>
      <c r="O743" s="1"/>
      <c r="P743" s="1"/>
      <c r="Q743" s="1">
        <v>-196074.713661243</v>
      </c>
      <c r="R743" s="1">
        <v>6842806</v>
      </c>
      <c r="S743" t="s">
        <v>9</v>
      </c>
    </row>
    <row r="744" spans="1:19" x14ac:dyDescent="0.55000000000000004">
      <c r="A744" t="s">
        <v>22</v>
      </c>
      <c r="B744">
        <v>2001</v>
      </c>
      <c r="C744">
        <v>4858</v>
      </c>
      <c r="D744" s="2">
        <v>18272</v>
      </c>
      <c r="E744" s="3">
        <v>23130</v>
      </c>
      <c r="F744" t="s">
        <v>12</v>
      </c>
      <c r="G744" t="s">
        <v>12</v>
      </c>
      <c r="H744" s="1">
        <v>1118.6000328804701</v>
      </c>
      <c r="I744" s="1">
        <v>9441.1713381336303</v>
      </c>
      <c r="J744" s="1">
        <v>2266.3552483005501</v>
      </c>
      <c r="K744" s="1"/>
      <c r="L744" s="1"/>
      <c r="M744" s="1"/>
      <c r="N744" s="1"/>
      <c r="O744" s="1"/>
      <c r="P744" s="1"/>
      <c r="Q744" s="1">
        <v>-22131.917713834799</v>
      </c>
      <c r="R744" s="1">
        <v>58088</v>
      </c>
      <c r="S744" t="s">
        <v>9</v>
      </c>
    </row>
    <row r="745" spans="1:19" x14ac:dyDescent="0.55000000000000004">
      <c r="A745" t="s">
        <v>22</v>
      </c>
      <c r="B745">
        <v>2000</v>
      </c>
      <c r="C745">
        <v>855</v>
      </c>
      <c r="D745" s="2">
        <v>0</v>
      </c>
      <c r="E745" s="3">
        <v>855</v>
      </c>
      <c r="F745" t="s">
        <v>12</v>
      </c>
      <c r="G745" t="s">
        <v>12</v>
      </c>
      <c r="H745" s="1">
        <v>21.919931575463</v>
      </c>
      <c r="I745" s="1">
        <v>20694.083422481301</v>
      </c>
      <c r="J745" s="1">
        <v>4985.79659294065</v>
      </c>
      <c r="K745" s="1"/>
      <c r="L745" s="1"/>
      <c r="M745" s="1"/>
      <c r="N745" s="1"/>
      <c r="O745" s="1"/>
      <c r="P745" s="1"/>
      <c r="Q745" s="1">
        <v>-19367.256544757201</v>
      </c>
      <c r="R745" s="1">
        <v>45924</v>
      </c>
      <c r="S745" t="s">
        <v>9</v>
      </c>
    </row>
    <row r="746" spans="1:19" x14ac:dyDescent="0.55000000000000004">
      <c r="A746" t="s">
        <v>22</v>
      </c>
      <c r="B746">
        <v>1999</v>
      </c>
      <c r="C746">
        <v>343540</v>
      </c>
      <c r="D746" s="2">
        <v>0</v>
      </c>
      <c r="E746" s="3">
        <v>343540</v>
      </c>
      <c r="F746" t="s">
        <v>12</v>
      </c>
      <c r="G746" t="s">
        <v>12</v>
      </c>
      <c r="H746" s="1">
        <v>14100.961435331499</v>
      </c>
      <c r="I746" s="1">
        <v>80372.322999743104</v>
      </c>
      <c r="J746" s="1">
        <v>4811.2219393185796</v>
      </c>
      <c r="K746" s="1"/>
      <c r="L746" s="1"/>
      <c r="M746" s="1"/>
      <c r="N746" s="1"/>
      <c r="O746" s="1"/>
      <c r="P746" s="1"/>
      <c r="Q746" s="1">
        <v>-380112.017089759</v>
      </c>
      <c r="R746" s="1">
        <v>822937</v>
      </c>
      <c r="S746" t="s">
        <v>9</v>
      </c>
    </row>
    <row r="747" spans="1:19" x14ac:dyDescent="0.55000000000000004">
      <c r="A747" t="s">
        <v>22</v>
      </c>
      <c r="B747">
        <v>1998</v>
      </c>
      <c r="C747">
        <v>1389271</v>
      </c>
      <c r="D747" s="2">
        <v>312</v>
      </c>
      <c r="E747" s="3">
        <v>1389583</v>
      </c>
      <c r="F747" t="s">
        <v>12</v>
      </c>
      <c r="G747" t="s">
        <v>12</v>
      </c>
      <c r="H747" s="1">
        <v>51837.953765883598</v>
      </c>
      <c r="I747" s="1">
        <v>408169.376463869</v>
      </c>
      <c r="J747" s="1">
        <v>22404.173406707501</v>
      </c>
      <c r="K747" s="1"/>
      <c r="L747" s="1"/>
      <c r="M747" s="1"/>
      <c r="N747" s="1"/>
      <c r="O747" s="1"/>
      <c r="P747" s="1"/>
      <c r="Q747" s="1">
        <v>-781426.09266458603</v>
      </c>
      <c r="R747" s="1">
        <v>2653421</v>
      </c>
      <c r="S747" t="s">
        <v>9</v>
      </c>
    </row>
    <row r="748" spans="1:19" x14ac:dyDescent="0.55000000000000004">
      <c r="A748" t="s">
        <v>22</v>
      </c>
      <c r="B748">
        <v>1997</v>
      </c>
      <c r="C748">
        <v>1072</v>
      </c>
      <c r="D748" s="2">
        <v>374</v>
      </c>
      <c r="E748" s="3">
        <v>1446</v>
      </c>
      <c r="F748" t="s">
        <v>12</v>
      </c>
      <c r="G748" t="s">
        <v>12</v>
      </c>
      <c r="H748" s="1">
        <v>325.45790513499998</v>
      </c>
      <c r="I748" s="1">
        <v>15904.9477342388</v>
      </c>
      <c r="J748" s="1">
        <v>313.41439048844001</v>
      </c>
      <c r="K748" s="1"/>
      <c r="L748" s="1"/>
      <c r="M748" s="1"/>
      <c r="N748" s="1"/>
      <c r="O748" s="1"/>
      <c r="P748" s="1"/>
      <c r="Q748" s="1">
        <v>-1855.6345471449199</v>
      </c>
      <c r="R748" s="1">
        <v>19845</v>
      </c>
      <c r="S748" t="s">
        <v>9</v>
      </c>
    </row>
    <row r="749" spans="1:19" x14ac:dyDescent="0.55000000000000004">
      <c r="A749" t="s">
        <v>22</v>
      </c>
      <c r="B749">
        <v>1996</v>
      </c>
      <c r="C749">
        <v>12466</v>
      </c>
      <c r="D749" s="2">
        <v>18</v>
      </c>
      <c r="E749" s="3">
        <v>12484</v>
      </c>
      <c r="F749" t="s">
        <v>12</v>
      </c>
      <c r="G749" t="s">
        <v>12</v>
      </c>
      <c r="H749" s="1">
        <v>663.580915025948</v>
      </c>
      <c r="I749" s="1">
        <v>12320.067124782399</v>
      </c>
      <c r="J749" s="1">
        <v>9794.9691599465896</v>
      </c>
      <c r="K749" s="1"/>
      <c r="L749" s="1"/>
      <c r="M749" s="1"/>
      <c r="N749" s="1"/>
      <c r="O749" s="1"/>
      <c r="P749" s="1"/>
      <c r="Q749" s="1">
        <v>-20830.743627258798</v>
      </c>
      <c r="R749" s="1">
        <v>56093</v>
      </c>
      <c r="S749" t="s">
        <v>9</v>
      </c>
    </row>
    <row r="750" spans="1:19" x14ac:dyDescent="0.55000000000000004">
      <c r="A750" t="s">
        <v>22</v>
      </c>
      <c r="B750">
        <v>1995</v>
      </c>
      <c r="C750">
        <v>428875</v>
      </c>
      <c r="D750" s="2">
        <v>0</v>
      </c>
      <c r="E750" s="3">
        <v>428875</v>
      </c>
      <c r="F750" t="s">
        <v>12</v>
      </c>
      <c r="G750" t="s">
        <v>12</v>
      </c>
      <c r="H750" s="1">
        <v>18838.366616601801</v>
      </c>
      <c r="I750" s="1">
        <v>384909.31990297098</v>
      </c>
      <c r="J750" s="1">
        <v>124561.79153217901</v>
      </c>
      <c r="K750" s="1"/>
      <c r="L750" s="1"/>
      <c r="M750" s="1"/>
      <c r="N750" s="1"/>
      <c r="O750" s="1"/>
      <c r="P750" s="1"/>
      <c r="Q750" s="1">
        <v>144056.97524741801</v>
      </c>
      <c r="R750" s="1">
        <v>957184</v>
      </c>
      <c r="S750" t="s">
        <v>9</v>
      </c>
    </row>
    <row r="751" spans="1:19" x14ac:dyDescent="0.55000000000000004">
      <c r="A751" t="s">
        <v>22</v>
      </c>
      <c r="B751">
        <v>1994</v>
      </c>
      <c r="C751">
        <v>1370677</v>
      </c>
      <c r="D751" s="2">
        <v>252</v>
      </c>
      <c r="E751" s="3">
        <v>1370929</v>
      </c>
      <c r="F751" t="s">
        <v>12</v>
      </c>
      <c r="G751" t="s">
        <v>12</v>
      </c>
      <c r="H751" s="1">
        <v>135480.402</v>
      </c>
      <c r="I751" s="1">
        <v>5930678.9701342601</v>
      </c>
      <c r="J751" s="1">
        <v>63262</v>
      </c>
      <c r="K751" s="1"/>
      <c r="L751" s="1"/>
      <c r="M751" s="1"/>
      <c r="N751" s="1"/>
      <c r="O751" s="1"/>
      <c r="P751" s="1"/>
      <c r="Q751" s="1">
        <v>586156.50123109599</v>
      </c>
      <c r="R751" s="1">
        <v>7500350</v>
      </c>
      <c r="S751" t="s">
        <v>9</v>
      </c>
    </row>
    <row r="752" spans="1:19" x14ac:dyDescent="0.55000000000000004">
      <c r="A752" t="s">
        <v>22</v>
      </c>
      <c r="B752">
        <v>1993</v>
      </c>
      <c r="C752">
        <v>1367</v>
      </c>
      <c r="D752" s="2">
        <v>9999</v>
      </c>
      <c r="E752" s="3">
        <v>11366</v>
      </c>
      <c r="F752" t="s">
        <v>12</v>
      </c>
      <c r="G752" t="s">
        <v>12</v>
      </c>
      <c r="H752" s="1">
        <v>182.08508352547699</v>
      </c>
      <c r="I752" s="1">
        <v>19374.994746660701</v>
      </c>
      <c r="J752" s="1"/>
      <c r="K752" s="1"/>
      <c r="L752" s="1"/>
      <c r="M752" s="1"/>
      <c r="N752" s="1"/>
      <c r="O752" s="1"/>
      <c r="P752" s="1"/>
      <c r="Q752" s="1">
        <v>8792.2164235627697</v>
      </c>
      <c r="R752" s="1">
        <v>30923</v>
      </c>
      <c r="S752" t="s">
        <v>9</v>
      </c>
    </row>
    <row r="753" spans="1:19" x14ac:dyDescent="0.55000000000000004">
      <c r="A753" t="s">
        <v>22</v>
      </c>
      <c r="B753">
        <v>1992</v>
      </c>
      <c r="C753">
        <v>12996</v>
      </c>
      <c r="D753" s="2">
        <v>132</v>
      </c>
      <c r="E753" s="3">
        <v>13128</v>
      </c>
      <c r="F753" t="s">
        <v>12</v>
      </c>
      <c r="G753" t="s">
        <v>12</v>
      </c>
      <c r="H753" s="1">
        <v>5940.3832656296499</v>
      </c>
      <c r="I753" s="1">
        <v>52150.214861722103</v>
      </c>
      <c r="J753" s="1">
        <v>190.36301108139099</v>
      </c>
      <c r="K753" s="1"/>
      <c r="L753" s="1"/>
      <c r="M753" s="1"/>
      <c r="N753" s="1"/>
      <c r="O753" s="1"/>
      <c r="P753" s="1"/>
      <c r="Q753" s="1">
        <v>8031.4787844088996</v>
      </c>
      <c r="R753" s="1">
        <v>71409</v>
      </c>
      <c r="S753" t="s">
        <v>9</v>
      </c>
    </row>
    <row r="754" spans="1:19" x14ac:dyDescent="0.55000000000000004">
      <c r="A754" t="s">
        <v>22</v>
      </c>
      <c r="B754">
        <v>1991</v>
      </c>
      <c r="C754">
        <v>1255517</v>
      </c>
      <c r="D754" s="2">
        <v>1</v>
      </c>
      <c r="E754" s="3">
        <v>1255518</v>
      </c>
      <c r="F754" t="s">
        <v>12</v>
      </c>
      <c r="G754" t="s">
        <v>12</v>
      </c>
      <c r="H754" s="1">
        <v>21711.6007959044</v>
      </c>
      <c r="I754" s="1">
        <v>2297697.1465981798</v>
      </c>
      <c r="J754" s="1">
        <v>33730.480805983701</v>
      </c>
      <c r="K754" s="1"/>
      <c r="L754" s="1"/>
      <c r="M754" s="1"/>
      <c r="N754" s="1"/>
      <c r="O754" s="1"/>
      <c r="P754" s="1"/>
      <c r="Q754" s="1">
        <v>-96901.917001496695</v>
      </c>
      <c r="R754" s="1">
        <v>3705559</v>
      </c>
      <c r="S754" t="s">
        <v>9</v>
      </c>
    </row>
    <row r="755" spans="1:19" s="4" customFormat="1" x14ac:dyDescent="0.55000000000000004">
      <c r="A755" s="4" t="s">
        <v>22</v>
      </c>
      <c r="B755" s="4">
        <v>1990</v>
      </c>
      <c r="C755" s="4">
        <v>3715262</v>
      </c>
      <c r="D755" s="5">
        <v>5919</v>
      </c>
      <c r="E755" s="6">
        <v>3721181</v>
      </c>
      <c r="F755" s="4" t="s">
        <v>12</v>
      </c>
      <c r="G755" s="4" t="s">
        <v>12</v>
      </c>
      <c r="H755" s="10">
        <v>164615.486397712</v>
      </c>
      <c r="I755" s="10">
        <v>6419985.2062720004</v>
      </c>
      <c r="J755" s="10">
        <v>155380.16684684201</v>
      </c>
      <c r="K755" s="10"/>
      <c r="L755" s="10"/>
      <c r="M755" s="10"/>
      <c r="N755" s="10"/>
      <c r="O755" s="10"/>
      <c r="P755" s="10"/>
      <c r="Q755" s="10">
        <v>852407.67045244505</v>
      </c>
      <c r="R755" s="10">
        <v>10461162</v>
      </c>
      <c r="S755" s="4" t="s">
        <v>9</v>
      </c>
    </row>
    <row r="756" spans="1:19" x14ac:dyDescent="0.55000000000000004">
      <c r="A756" t="s">
        <v>22</v>
      </c>
      <c r="B756">
        <v>1989</v>
      </c>
      <c r="C756">
        <v>565</v>
      </c>
      <c r="D756" s="2">
        <v>11088</v>
      </c>
      <c r="E756" s="3">
        <v>11653</v>
      </c>
      <c r="F756" t="s">
        <v>12</v>
      </c>
      <c r="G756" t="s">
        <v>12</v>
      </c>
      <c r="H756" s="1">
        <v>3432.2999581985</v>
      </c>
      <c r="I756" s="1">
        <v>56361.937184677001</v>
      </c>
      <c r="J756" s="1">
        <v>202.210526315789</v>
      </c>
      <c r="K756" s="1"/>
      <c r="L756" s="1"/>
      <c r="M756" s="1"/>
      <c r="N756" s="1"/>
      <c r="O756" s="1"/>
      <c r="P756" s="1"/>
      <c r="Q756" s="1">
        <v>6542.2521283066899</v>
      </c>
      <c r="R756" s="1">
        <v>71649</v>
      </c>
      <c r="S756" t="s">
        <v>9</v>
      </c>
    </row>
    <row r="757" spans="1:19" x14ac:dyDescent="0.55000000000000004">
      <c r="A757" t="s">
        <v>22</v>
      </c>
      <c r="B757">
        <v>1988</v>
      </c>
      <c r="C757">
        <v>5007</v>
      </c>
      <c r="D757" s="2">
        <v>52</v>
      </c>
      <c r="E757" s="3">
        <v>5059</v>
      </c>
      <c r="F757" t="s">
        <v>12</v>
      </c>
      <c r="G757" t="s">
        <v>12</v>
      </c>
      <c r="H757" s="1">
        <v>0</v>
      </c>
      <c r="I757" s="1">
        <v>42276.149273496601</v>
      </c>
      <c r="J757" s="1">
        <v>2557</v>
      </c>
      <c r="K757" s="1"/>
      <c r="L757" s="1"/>
      <c r="M757" s="1"/>
      <c r="N757" s="1"/>
      <c r="O757" s="1"/>
      <c r="P757" s="1"/>
      <c r="Q757" s="1">
        <v>-15853.9105339327</v>
      </c>
      <c r="R757" s="1">
        <v>65746</v>
      </c>
      <c r="S757" t="s">
        <v>9</v>
      </c>
    </row>
    <row r="758" spans="1:19" x14ac:dyDescent="0.55000000000000004">
      <c r="A758" t="s">
        <v>22</v>
      </c>
      <c r="B758">
        <v>1987</v>
      </c>
      <c r="C758">
        <v>603090</v>
      </c>
      <c r="D758" s="2">
        <v>73</v>
      </c>
      <c r="E758" s="3">
        <v>603163</v>
      </c>
      <c r="F758" t="s">
        <v>12</v>
      </c>
      <c r="G758" t="s">
        <v>12</v>
      </c>
      <c r="H758" s="1">
        <v>2602.9275043112898</v>
      </c>
      <c r="I758" s="1">
        <v>1465369.1349202001</v>
      </c>
      <c r="J758" s="1">
        <v>52850.545207143703</v>
      </c>
      <c r="K758" s="1"/>
      <c r="L758" s="1"/>
      <c r="M758" s="1"/>
      <c r="N758" s="1"/>
      <c r="O758" s="1"/>
      <c r="P758" s="1"/>
      <c r="Q758" s="1">
        <v>178422.87621175699</v>
      </c>
      <c r="R758" s="1">
        <v>2123986</v>
      </c>
      <c r="S758" t="s">
        <v>9</v>
      </c>
    </row>
    <row r="759" spans="1:19" x14ac:dyDescent="0.55000000000000004">
      <c r="A759" t="s">
        <v>22</v>
      </c>
      <c r="B759">
        <v>1986</v>
      </c>
      <c r="C759">
        <v>2345230</v>
      </c>
      <c r="D759" s="2">
        <v>11034</v>
      </c>
      <c r="E759" s="3">
        <v>2356264</v>
      </c>
      <c r="F759" t="s">
        <v>12</v>
      </c>
      <c r="G759" t="s">
        <v>12</v>
      </c>
      <c r="H759" s="1">
        <v>30573.242607113702</v>
      </c>
      <c r="I759" s="1">
        <v>6627846.8717072001</v>
      </c>
      <c r="J759" s="1">
        <v>139128.21389733299</v>
      </c>
      <c r="K759" s="1"/>
      <c r="L759" s="1"/>
      <c r="M759" s="1"/>
      <c r="N759" s="1"/>
      <c r="O759" s="1"/>
      <c r="P759" s="1"/>
      <c r="Q759" s="1">
        <v>-621494.98051035905</v>
      </c>
      <c r="R759" s="1">
        <v>9775307</v>
      </c>
      <c r="S759" t="s">
        <v>9</v>
      </c>
    </row>
    <row r="760" spans="1:19" x14ac:dyDescent="0.55000000000000004">
      <c r="A760" t="s">
        <v>22</v>
      </c>
      <c r="B760">
        <v>1985</v>
      </c>
      <c r="C760">
        <v>1484</v>
      </c>
      <c r="D760" s="2">
        <v>13716</v>
      </c>
      <c r="E760" s="3">
        <v>15200</v>
      </c>
      <c r="F760" t="s">
        <v>12</v>
      </c>
      <c r="G760" t="s">
        <v>12</v>
      </c>
      <c r="H760" s="1">
        <v>68.262944461815593</v>
      </c>
      <c r="I760" s="1">
        <v>67149.475974680507</v>
      </c>
      <c r="J760" s="1">
        <v>115.814711011954</v>
      </c>
      <c r="K760" s="1"/>
      <c r="L760" s="1"/>
      <c r="M760" s="1"/>
      <c r="N760" s="1"/>
      <c r="O760" s="1"/>
      <c r="P760" s="1"/>
      <c r="Q760" s="1">
        <v>6127.8488254653003</v>
      </c>
      <c r="R760" s="1">
        <v>82534</v>
      </c>
      <c r="S760" t="s">
        <v>9</v>
      </c>
    </row>
    <row r="761" spans="1:19" x14ac:dyDescent="0.55000000000000004">
      <c r="A761" t="s">
        <v>22</v>
      </c>
      <c r="B761">
        <v>1984</v>
      </c>
      <c r="C761">
        <v>4335</v>
      </c>
      <c r="D761" s="2">
        <v>4</v>
      </c>
      <c r="E761" s="3">
        <v>4339</v>
      </c>
      <c r="F761" t="s">
        <v>12</v>
      </c>
      <c r="G761" t="s">
        <v>12</v>
      </c>
      <c r="H761" s="1">
        <v>0</v>
      </c>
      <c r="I761" s="1">
        <v>31971.320103236099</v>
      </c>
      <c r="J761" s="1">
        <v>1723.6928225624199</v>
      </c>
      <c r="K761" s="1"/>
      <c r="L761" s="1"/>
      <c r="M761" s="1"/>
      <c r="N761" s="1"/>
      <c r="O761" s="1"/>
      <c r="P761" s="1"/>
      <c r="Q761" s="1">
        <v>-4490.2934894718401</v>
      </c>
      <c r="R761" s="1">
        <v>42524</v>
      </c>
      <c r="S761" t="s">
        <v>9</v>
      </c>
    </row>
    <row r="762" spans="1:19" x14ac:dyDescent="0.55000000000000004">
      <c r="A762" t="s">
        <v>22</v>
      </c>
      <c r="B762">
        <v>1983</v>
      </c>
      <c r="C762">
        <v>211365</v>
      </c>
      <c r="D762" s="2">
        <v>59</v>
      </c>
      <c r="E762" s="3">
        <v>211424</v>
      </c>
      <c r="F762" t="s">
        <v>12</v>
      </c>
      <c r="G762" t="s">
        <v>12</v>
      </c>
      <c r="H762" s="1">
        <v>60276.310220256099</v>
      </c>
      <c r="I762" s="1">
        <v>1302720.98183858</v>
      </c>
      <c r="J762" s="1">
        <v>12369.140358254101</v>
      </c>
      <c r="K762" s="1"/>
      <c r="L762" s="1"/>
      <c r="M762" s="1"/>
      <c r="N762" s="1"/>
      <c r="O762" s="1"/>
      <c r="P762" s="1"/>
      <c r="Q762" s="1">
        <v>-108047.61298171199</v>
      </c>
      <c r="R762" s="1">
        <v>1694838</v>
      </c>
      <c r="S762" t="s">
        <v>9</v>
      </c>
    </row>
    <row r="763" spans="1:19" x14ac:dyDescent="0.55000000000000004">
      <c r="A763" t="s">
        <v>22</v>
      </c>
      <c r="B763">
        <v>1982</v>
      </c>
      <c r="C763">
        <v>3060235</v>
      </c>
      <c r="D763" s="2">
        <v>1023</v>
      </c>
      <c r="E763" s="3">
        <v>3061258</v>
      </c>
      <c r="F763" t="s">
        <v>12</v>
      </c>
      <c r="G763" t="s">
        <v>12</v>
      </c>
      <c r="H763" s="1"/>
      <c r="I763" s="1">
        <v>6188803.6206513001</v>
      </c>
      <c r="J763" s="1">
        <v>110118.225236465</v>
      </c>
      <c r="K763" s="1"/>
      <c r="L763" s="1"/>
      <c r="M763" s="1"/>
      <c r="N763" s="1"/>
      <c r="O763" s="1"/>
      <c r="P763" s="1"/>
      <c r="Q763" s="1">
        <v>172434.697083776</v>
      </c>
      <c r="R763" s="1">
        <v>9360180</v>
      </c>
      <c r="S763" t="s">
        <v>9</v>
      </c>
    </row>
    <row r="764" spans="1:19" x14ac:dyDescent="0.55000000000000004">
      <c r="A764" t="s">
        <v>22</v>
      </c>
      <c r="B764">
        <v>1981</v>
      </c>
      <c r="C764">
        <v>10293</v>
      </c>
      <c r="D764" s="2">
        <v>36614</v>
      </c>
      <c r="E764" s="3">
        <v>46907</v>
      </c>
      <c r="F764" t="s">
        <v>12</v>
      </c>
      <c r="G764" t="s">
        <v>12</v>
      </c>
      <c r="H764" s="1"/>
      <c r="I764" s="1">
        <v>158307.45078231199</v>
      </c>
      <c r="J764" s="1">
        <v>1386.40498073086</v>
      </c>
      <c r="K764" s="1"/>
      <c r="L764" s="1"/>
      <c r="M764" s="1"/>
      <c r="N764" s="1"/>
      <c r="O764" s="1"/>
      <c r="P764" s="1"/>
      <c r="Q764" s="1">
        <v>18267.244074069102</v>
      </c>
      <c r="R764" s="1">
        <v>206601</v>
      </c>
      <c r="S764" t="s">
        <v>9</v>
      </c>
    </row>
    <row r="765" spans="1:19" x14ac:dyDescent="0.55000000000000004">
      <c r="A765" t="s">
        <v>22</v>
      </c>
      <c r="B765">
        <v>1980</v>
      </c>
      <c r="C765">
        <v>2500</v>
      </c>
      <c r="D765" s="2">
        <v>175</v>
      </c>
      <c r="E765" s="3">
        <v>2675</v>
      </c>
      <c r="F765" t="s">
        <v>12</v>
      </c>
      <c r="G765" t="s">
        <v>12</v>
      </c>
      <c r="H765" s="1"/>
      <c r="I765" s="1">
        <v>14812.7177213594</v>
      </c>
      <c r="J765" s="1">
        <v>1975.5680063325301</v>
      </c>
      <c r="K765" s="1"/>
      <c r="L765" s="1"/>
      <c r="M765" s="1"/>
      <c r="N765" s="1"/>
      <c r="O765" s="1"/>
      <c r="P765" s="1"/>
      <c r="Q765" s="1">
        <v>-2364.68407862305</v>
      </c>
      <c r="R765" s="1">
        <v>21828</v>
      </c>
      <c r="S765" t="s">
        <v>9</v>
      </c>
    </row>
    <row r="766" spans="1:19" x14ac:dyDescent="0.55000000000000004">
      <c r="A766" t="s">
        <v>22</v>
      </c>
      <c r="B766">
        <v>1979</v>
      </c>
      <c r="C766">
        <v>299403</v>
      </c>
      <c r="D766" s="2">
        <v>310</v>
      </c>
      <c r="E766" s="3">
        <v>299713</v>
      </c>
      <c r="F766" t="s">
        <v>12</v>
      </c>
      <c r="G766" t="s">
        <v>12</v>
      </c>
      <c r="H766" s="1"/>
      <c r="I766" s="1">
        <v>834217.90745583002</v>
      </c>
      <c r="J766" s="1">
        <v>12805.634228156699</v>
      </c>
      <c r="K766" s="1"/>
      <c r="L766" s="1"/>
      <c r="M766" s="1"/>
      <c r="N766" s="1"/>
      <c r="O766" s="1"/>
      <c r="P766" s="1"/>
      <c r="Q766" s="1">
        <v>-67118.037051190098</v>
      </c>
      <c r="R766" s="1">
        <v>1213855</v>
      </c>
      <c r="S766" t="s">
        <v>9</v>
      </c>
    </row>
    <row r="767" spans="1:19" x14ac:dyDescent="0.55000000000000004">
      <c r="A767" t="s">
        <v>22</v>
      </c>
      <c r="B767">
        <v>1978</v>
      </c>
      <c r="C767">
        <v>1897353</v>
      </c>
      <c r="D767" s="2">
        <v>3050</v>
      </c>
      <c r="E767" s="3">
        <v>1900403</v>
      </c>
      <c r="F767" t="s">
        <v>12</v>
      </c>
      <c r="G767" t="s">
        <v>12</v>
      </c>
      <c r="H767" s="1"/>
      <c r="I767" s="1">
        <v>4970777.1960398396</v>
      </c>
      <c r="J767" s="1">
        <v>54020.870120666499</v>
      </c>
      <c r="K767" s="1"/>
      <c r="L767" s="1"/>
      <c r="M767" s="1"/>
      <c r="N767" s="1"/>
      <c r="O767" s="1"/>
      <c r="P767" s="1"/>
      <c r="Q767" s="1">
        <v>98117.947814377796</v>
      </c>
      <c r="R767" s="1">
        <v>6925201</v>
      </c>
      <c r="S767" t="s">
        <v>9</v>
      </c>
    </row>
    <row r="768" spans="1:19" x14ac:dyDescent="0.55000000000000004">
      <c r="A768" t="s">
        <v>22</v>
      </c>
      <c r="B768">
        <v>1977</v>
      </c>
      <c r="C768">
        <v>12510</v>
      </c>
      <c r="D768" s="2">
        <v>69265</v>
      </c>
      <c r="E768" s="3">
        <v>81775</v>
      </c>
      <c r="F768" t="s">
        <v>12</v>
      </c>
      <c r="G768" t="s">
        <v>12</v>
      </c>
      <c r="H768" s="1"/>
      <c r="I768" s="1">
        <v>132582.401880819</v>
      </c>
      <c r="J768" s="1">
        <v>921.83202853123396</v>
      </c>
      <c r="K768" s="1"/>
      <c r="L768" s="1"/>
      <c r="M768" s="1"/>
      <c r="N768" s="1"/>
      <c r="O768" s="1"/>
      <c r="P768" s="1"/>
      <c r="Q768" s="1">
        <v>65641.136085152801</v>
      </c>
      <c r="R768" s="1">
        <v>215279</v>
      </c>
      <c r="S768" t="s">
        <v>9</v>
      </c>
    </row>
    <row r="769" spans="1:19" x14ac:dyDescent="0.55000000000000004">
      <c r="A769" t="s">
        <v>22</v>
      </c>
      <c r="B769">
        <v>1976</v>
      </c>
      <c r="C769">
        <v>4780</v>
      </c>
      <c r="D769" s="2">
        <v>808</v>
      </c>
      <c r="E769" s="3">
        <v>5588</v>
      </c>
      <c r="F769" t="s">
        <v>12</v>
      </c>
      <c r="G769" t="s">
        <v>12</v>
      </c>
      <c r="H769" s="1"/>
      <c r="I769" s="1">
        <v>35837</v>
      </c>
      <c r="J769" s="1">
        <v>1081</v>
      </c>
      <c r="K769" s="1"/>
      <c r="L769" s="1"/>
      <c r="M769" s="1"/>
      <c r="N769" s="1"/>
      <c r="O769" s="1"/>
      <c r="P769" s="1"/>
      <c r="Q769" s="1"/>
      <c r="R769" s="1">
        <v>42506</v>
      </c>
      <c r="S769" t="s">
        <v>12</v>
      </c>
    </row>
    <row r="770" spans="1:19" x14ac:dyDescent="0.55000000000000004">
      <c r="A770" t="s">
        <v>22</v>
      </c>
      <c r="B770">
        <v>1975</v>
      </c>
      <c r="C770">
        <v>167365</v>
      </c>
      <c r="D770" s="2">
        <v>1200</v>
      </c>
      <c r="E770" s="3">
        <v>168565</v>
      </c>
      <c r="F770" t="s">
        <v>12</v>
      </c>
      <c r="G770" t="s">
        <v>12</v>
      </c>
      <c r="H770" s="1"/>
      <c r="I770" s="1">
        <v>532785.00000000105</v>
      </c>
      <c r="J770" s="1">
        <v>15081</v>
      </c>
      <c r="K770" s="1"/>
      <c r="L770" s="1"/>
      <c r="M770" s="1"/>
      <c r="N770" s="1"/>
      <c r="O770" s="1"/>
      <c r="P770" s="1"/>
      <c r="Q770" s="1"/>
      <c r="R770" s="1">
        <v>716431</v>
      </c>
      <c r="S770" t="s">
        <v>11</v>
      </c>
    </row>
    <row r="771" spans="1:19" x14ac:dyDescent="0.55000000000000004">
      <c r="A771" t="s">
        <v>22</v>
      </c>
      <c r="B771">
        <v>1974</v>
      </c>
      <c r="C771">
        <v>1150772</v>
      </c>
      <c r="D771" s="2">
        <v>6761</v>
      </c>
      <c r="E771" s="3">
        <v>1157533</v>
      </c>
      <c r="F771" t="s">
        <v>12</v>
      </c>
      <c r="G771" t="s">
        <v>12</v>
      </c>
      <c r="H771" s="1"/>
      <c r="I771" s="1">
        <v>4203807</v>
      </c>
      <c r="J771" s="1">
        <v>50074</v>
      </c>
      <c r="K771" s="1"/>
      <c r="L771" s="1"/>
      <c r="M771" s="1"/>
      <c r="N771" s="1"/>
      <c r="O771" s="1"/>
      <c r="P771" s="1"/>
      <c r="Q771" s="1"/>
      <c r="R771" s="1">
        <v>5411414</v>
      </c>
      <c r="S771" t="s">
        <v>12</v>
      </c>
    </row>
    <row r="772" spans="1:19" x14ac:dyDescent="0.55000000000000004">
      <c r="A772" t="s">
        <v>22</v>
      </c>
      <c r="B772">
        <v>1973</v>
      </c>
      <c r="C772">
        <v>3808</v>
      </c>
      <c r="D772" s="2">
        <v>44190</v>
      </c>
      <c r="E772" s="3">
        <v>47998</v>
      </c>
      <c r="F772" t="s">
        <v>12</v>
      </c>
      <c r="G772" t="s">
        <v>12</v>
      </c>
      <c r="H772" s="1"/>
      <c r="I772" s="1">
        <v>148772</v>
      </c>
      <c r="J772" s="1">
        <v>6207</v>
      </c>
      <c r="K772" s="1"/>
      <c r="L772" s="1"/>
      <c r="M772" s="1"/>
      <c r="N772" s="1"/>
      <c r="O772" s="1"/>
      <c r="P772" s="1"/>
      <c r="Q772" s="1"/>
      <c r="R772" s="1">
        <v>202977</v>
      </c>
      <c r="S772" t="s">
        <v>12</v>
      </c>
    </row>
    <row r="773" spans="1:19" x14ac:dyDescent="0.55000000000000004">
      <c r="A773" t="s">
        <v>22</v>
      </c>
      <c r="B773">
        <v>1972</v>
      </c>
      <c r="C773">
        <v>4192</v>
      </c>
      <c r="D773" s="2">
        <v>506</v>
      </c>
      <c r="E773" s="3">
        <v>4698</v>
      </c>
      <c r="F773" t="s">
        <v>12</v>
      </c>
      <c r="G773" t="s">
        <v>12</v>
      </c>
      <c r="H773" s="1"/>
      <c r="I773" s="1">
        <v>25918.999999999902</v>
      </c>
      <c r="J773" s="1">
        <v>1683</v>
      </c>
      <c r="K773" s="1"/>
      <c r="L773" s="1"/>
      <c r="M773" s="1"/>
      <c r="N773" s="1"/>
      <c r="O773" s="1"/>
      <c r="P773" s="1"/>
      <c r="Q773" s="1"/>
      <c r="R773" s="1">
        <v>32300</v>
      </c>
      <c r="S773" t="s">
        <v>12</v>
      </c>
    </row>
    <row r="774" spans="1:19" x14ac:dyDescent="0.55000000000000004">
      <c r="A774" t="s">
        <v>22</v>
      </c>
      <c r="B774">
        <v>1971</v>
      </c>
      <c r="C774">
        <v>290192</v>
      </c>
      <c r="D774" s="2">
        <v>101</v>
      </c>
      <c r="E774" s="3">
        <v>290293</v>
      </c>
      <c r="F774" t="s">
        <v>12</v>
      </c>
      <c r="G774" t="s">
        <v>12</v>
      </c>
      <c r="H774" s="1"/>
      <c r="I774" s="1">
        <v>2841635</v>
      </c>
      <c r="J774" s="1">
        <v>14051</v>
      </c>
      <c r="K774" s="1"/>
      <c r="L774" s="1"/>
      <c r="M774" s="1"/>
      <c r="N774" s="1"/>
      <c r="O774" s="1"/>
      <c r="P774" s="1"/>
      <c r="Q774" s="1"/>
      <c r="R774" s="1">
        <v>3145979</v>
      </c>
      <c r="S774" t="s">
        <v>12</v>
      </c>
    </row>
    <row r="775" spans="1:19" x14ac:dyDescent="0.55000000000000004">
      <c r="A775" t="s">
        <v>22</v>
      </c>
      <c r="B775">
        <v>1970</v>
      </c>
      <c r="C775">
        <v>1528862</v>
      </c>
      <c r="D775" s="2">
        <v>27962</v>
      </c>
      <c r="E775" s="3">
        <v>1556824</v>
      </c>
      <c r="F775" t="s">
        <v>12</v>
      </c>
      <c r="G775" t="s">
        <v>12</v>
      </c>
      <c r="H775" s="1"/>
      <c r="I775" s="1">
        <v>2402254</v>
      </c>
      <c r="J775" s="1">
        <v>38463.999999999898</v>
      </c>
      <c r="K775" s="1"/>
      <c r="L775" s="1"/>
      <c r="M775" s="1"/>
      <c r="N775" s="1"/>
      <c r="O775" s="1"/>
      <c r="P775" s="1"/>
      <c r="Q775" s="1"/>
      <c r="R775" s="1">
        <v>3997542</v>
      </c>
      <c r="S775" t="s">
        <v>12</v>
      </c>
    </row>
    <row r="776" spans="1:19" x14ac:dyDescent="0.55000000000000004">
      <c r="A776" t="s">
        <v>22</v>
      </c>
      <c r="B776">
        <v>1969</v>
      </c>
      <c r="C776">
        <v>5985</v>
      </c>
      <c r="D776" s="2">
        <v>49334</v>
      </c>
      <c r="E776" s="3">
        <v>55319</v>
      </c>
      <c r="F776" t="s">
        <v>12</v>
      </c>
      <c r="G776" t="s">
        <v>12</v>
      </c>
      <c r="H776" s="1"/>
      <c r="I776" s="1">
        <v>68269</v>
      </c>
      <c r="J776" s="1">
        <v>1953</v>
      </c>
      <c r="K776" s="1"/>
      <c r="L776" s="1"/>
      <c r="M776" s="1"/>
      <c r="N776" s="1"/>
      <c r="O776" s="1"/>
      <c r="P776" s="1"/>
      <c r="Q776" s="1"/>
      <c r="R776" s="1">
        <v>125541</v>
      </c>
      <c r="S776" t="s">
        <v>12</v>
      </c>
    </row>
    <row r="777" spans="1:19" x14ac:dyDescent="0.55000000000000004">
      <c r="A777" t="s">
        <v>22</v>
      </c>
      <c r="B777">
        <v>1968</v>
      </c>
      <c r="C777">
        <v>3686</v>
      </c>
      <c r="D777" s="2">
        <v>312</v>
      </c>
      <c r="E777" s="3">
        <v>3998</v>
      </c>
      <c r="F777" t="s">
        <v>12</v>
      </c>
      <c r="G777" t="s">
        <v>12</v>
      </c>
      <c r="H777" s="1"/>
      <c r="I777" s="1">
        <v>18234.0621005428</v>
      </c>
      <c r="J777" s="1">
        <v>279</v>
      </c>
      <c r="K777" s="1"/>
      <c r="L777" s="1"/>
      <c r="M777" s="1"/>
      <c r="N777" s="1"/>
      <c r="O777" s="1"/>
      <c r="P777" s="1"/>
      <c r="Q777" s="1"/>
      <c r="R777" s="1">
        <v>22511</v>
      </c>
      <c r="S777" t="s">
        <v>12</v>
      </c>
    </row>
    <row r="778" spans="1:19" x14ac:dyDescent="0.55000000000000004">
      <c r="A778" t="s">
        <v>22</v>
      </c>
      <c r="B778">
        <v>1967</v>
      </c>
      <c r="C778">
        <v>844954</v>
      </c>
      <c r="D778" s="2">
        <v>976</v>
      </c>
      <c r="E778" s="3">
        <v>845930</v>
      </c>
      <c r="F778" t="s">
        <v>12</v>
      </c>
      <c r="G778" t="s">
        <v>12</v>
      </c>
      <c r="H778" s="1"/>
      <c r="I778" s="1">
        <v>2250421</v>
      </c>
      <c r="J778" s="1">
        <v>48137</v>
      </c>
      <c r="K778" s="1"/>
      <c r="L778" s="1"/>
      <c r="M778" s="1"/>
      <c r="N778" s="1"/>
      <c r="O778" s="1"/>
      <c r="P778" s="1"/>
      <c r="Q778" s="1"/>
      <c r="R778" s="1">
        <v>3144488</v>
      </c>
      <c r="S778" t="s">
        <v>12</v>
      </c>
    </row>
    <row r="779" spans="1:19" x14ac:dyDescent="0.55000000000000004">
      <c r="A779" t="s">
        <v>22</v>
      </c>
      <c r="B779">
        <v>1966</v>
      </c>
      <c r="C779">
        <v>1282180</v>
      </c>
      <c r="D779" s="2">
        <v>40300</v>
      </c>
      <c r="E779" s="3">
        <v>1322480</v>
      </c>
      <c r="F779" t="s">
        <v>12</v>
      </c>
      <c r="G779" t="s">
        <v>12</v>
      </c>
      <c r="H779" s="1"/>
      <c r="I779" s="1">
        <v>1416053</v>
      </c>
      <c r="J779" s="1">
        <v>85925</v>
      </c>
      <c r="K779" s="1"/>
      <c r="L779" s="1"/>
      <c r="M779" s="1"/>
      <c r="N779" s="1"/>
      <c r="O779" s="1"/>
      <c r="P779" s="1"/>
      <c r="Q779" s="1"/>
      <c r="R779" s="1">
        <v>2824458</v>
      </c>
      <c r="S779" t="s">
        <v>12</v>
      </c>
    </row>
    <row r="780" spans="1:19" x14ac:dyDescent="0.55000000000000004">
      <c r="A780" t="s">
        <v>22</v>
      </c>
      <c r="B780">
        <v>1965</v>
      </c>
      <c r="C780">
        <v>2087</v>
      </c>
      <c r="D780" s="2">
        <v>57442</v>
      </c>
      <c r="E780" s="3">
        <v>59529</v>
      </c>
      <c r="F780" t="s">
        <v>12</v>
      </c>
      <c r="G780" t="s">
        <v>12</v>
      </c>
      <c r="H780" s="1"/>
      <c r="I780" s="1">
        <v>37657</v>
      </c>
      <c r="J780" s="1">
        <v>373</v>
      </c>
      <c r="K780" s="1"/>
      <c r="L780" s="1"/>
      <c r="M780" s="1"/>
      <c r="N780" s="1"/>
      <c r="O780" s="1"/>
      <c r="P780" s="1"/>
      <c r="Q780" s="1"/>
      <c r="R780" s="1">
        <v>97559</v>
      </c>
      <c r="S780" t="s">
        <v>12</v>
      </c>
    </row>
    <row r="781" spans="1:19" x14ac:dyDescent="0.55000000000000004">
      <c r="A781" t="s">
        <v>22</v>
      </c>
      <c r="B781">
        <v>1964</v>
      </c>
      <c r="C781">
        <v>604</v>
      </c>
      <c r="D781" s="2">
        <v>112</v>
      </c>
      <c r="E781" s="3">
        <v>716</v>
      </c>
      <c r="F781" t="s">
        <v>12</v>
      </c>
      <c r="G781" t="s">
        <v>12</v>
      </c>
      <c r="H781" s="1"/>
      <c r="I781" s="1">
        <v>1728.2758620689699</v>
      </c>
      <c r="J781" s="1">
        <v>190.60413793103501</v>
      </c>
      <c r="K781" s="1"/>
      <c r="L781" s="1"/>
      <c r="M781" s="1"/>
      <c r="N781" s="1"/>
      <c r="O781" s="1"/>
      <c r="P781" s="1"/>
      <c r="Q781" s="1"/>
      <c r="R781" s="1">
        <v>2635</v>
      </c>
      <c r="S781" t="s">
        <v>11</v>
      </c>
    </row>
    <row r="782" spans="1:19" x14ac:dyDescent="0.55000000000000004">
      <c r="A782" t="s">
        <v>22</v>
      </c>
      <c r="B782">
        <v>1963</v>
      </c>
      <c r="C782">
        <v>158468</v>
      </c>
      <c r="D782" s="2">
        <v>113</v>
      </c>
      <c r="E782" s="3">
        <v>158581</v>
      </c>
      <c r="F782" t="s">
        <v>12</v>
      </c>
      <c r="G782" t="s">
        <v>12</v>
      </c>
      <c r="H782" s="1"/>
      <c r="I782" s="1">
        <v>211066</v>
      </c>
      <c r="J782" s="1">
        <v>16991</v>
      </c>
      <c r="K782" s="1"/>
      <c r="L782" s="1"/>
      <c r="M782" s="1"/>
      <c r="N782" s="1"/>
      <c r="O782" s="1"/>
      <c r="P782" s="1"/>
      <c r="Q782" s="1"/>
      <c r="R782" s="1">
        <v>386638</v>
      </c>
      <c r="S782" t="s">
        <v>12</v>
      </c>
    </row>
    <row r="783" spans="1:19" x14ac:dyDescent="0.55000000000000004">
      <c r="A783" t="s">
        <v>22</v>
      </c>
      <c r="B783">
        <v>1962</v>
      </c>
      <c r="C783">
        <v>1144569</v>
      </c>
      <c r="D783" s="2">
        <v>6573</v>
      </c>
      <c r="E783" s="3">
        <v>1151142</v>
      </c>
      <c r="F783" t="s">
        <v>12</v>
      </c>
      <c r="G783" t="s">
        <v>12</v>
      </c>
      <c r="H783" s="1"/>
      <c r="I783" s="1">
        <v>875727.00000000105</v>
      </c>
      <c r="J783" s="1">
        <v>60001</v>
      </c>
      <c r="K783" s="1"/>
      <c r="L783" s="1"/>
      <c r="M783" s="1"/>
      <c r="N783" s="1"/>
      <c r="O783" s="1"/>
      <c r="P783" s="1"/>
      <c r="Q783" s="1"/>
      <c r="R783" s="1">
        <v>2086870</v>
      </c>
      <c r="S783" t="s">
        <v>12</v>
      </c>
    </row>
    <row r="784" spans="1:19" x14ac:dyDescent="0.55000000000000004">
      <c r="A784" t="s">
        <v>22</v>
      </c>
      <c r="B784">
        <v>1961</v>
      </c>
      <c r="C784">
        <v>1150</v>
      </c>
      <c r="D784" s="2">
        <v>64707</v>
      </c>
      <c r="E784" s="3">
        <v>65857</v>
      </c>
      <c r="F784" t="s">
        <v>12</v>
      </c>
      <c r="G784" t="s">
        <v>12</v>
      </c>
      <c r="H784" s="1"/>
      <c r="I784" s="1">
        <v>39092.177105929099</v>
      </c>
      <c r="J784" s="1">
        <v>351</v>
      </c>
      <c r="K784" s="1"/>
      <c r="L784" s="1"/>
      <c r="M784" s="1"/>
      <c r="N784" s="1"/>
      <c r="O784" s="1"/>
      <c r="P784" s="1"/>
      <c r="Q784" s="1"/>
      <c r="R784" s="1">
        <v>105300</v>
      </c>
      <c r="S784" t="s">
        <v>12</v>
      </c>
    </row>
    <row r="785" spans="1:19" x14ac:dyDescent="0.55000000000000004">
      <c r="A785" t="s">
        <v>22</v>
      </c>
      <c r="B785">
        <v>1960</v>
      </c>
      <c r="C785">
        <v>1907</v>
      </c>
      <c r="D785" s="2">
        <v>7</v>
      </c>
      <c r="E785" s="3">
        <v>1914</v>
      </c>
      <c r="F785" t="s">
        <v>12</v>
      </c>
      <c r="G785" t="s">
        <v>12</v>
      </c>
      <c r="H785" s="1"/>
      <c r="I785" s="1">
        <v>5022</v>
      </c>
      <c r="J785" s="1">
        <v>748</v>
      </c>
      <c r="K785" s="1"/>
      <c r="L785" s="1"/>
      <c r="M785" s="1"/>
      <c r="N785" s="1"/>
      <c r="O785" s="1"/>
      <c r="P785" s="1"/>
      <c r="Q785" s="1"/>
      <c r="R785" s="1">
        <v>7684</v>
      </c>
      <c r="S785" t="s">
        <v>11</v>
      </c>
    </row>
    <row r="786" spans="1:19" x14ac:dyDescent="0.55000000000000004">
      <c r="A786" t="s">
        <v>22</v>
      </c>
      <c r="B786">
        <v>1959</v>
      </c>
      <c r="C786">
        <v>134826</v>
      </c>
      <c r="D786" s="2">
        <v>264</v>
      </c>
      <c r="E786" s="3">
        <v>135090</v>
      </c>
      <c r="F786" t="s">
        <v>12</v>
      </c>
      <c r="G786" t="s">
        <v>12</v>
      </c>
      <c r="H786" s="1"/>
      <c r="I786" s="1">
        <v>675196</v>
      </c>
      <c r="J786" s="1">
        <v>8340.0000000000091</v>
      </c>
      <c r="K786" s="1"/>
      <c r="L786" s="1"/>
      <c r="M786" s="1"/>
      <c r="N786" s="1"/>
      <c r="O786" s="1"/>
      <c r="P786" s="1"/>
      <c r="Q786" s="1"/>
      <c r="R786" s="1">
        <v>818626</v>
      </c>
      <c r="S786" t="s">
        <v>12</v>
      </c>
    </row>
    <row r="787" spans="1:19" x14ac:dyDescent="0.55000000000000004">
      <c r="A787" t="s">
        <v>22</v>
      </c>
      <c r="B787">
        <v>1958</v>
      </c>
      <c r="C787">
        <v>2294736</v>
      </c>
      <c r="D787" s="2">
        <v>5238</v>
      </c>
      <c r="E787" s="3">
        <v>2299974</v>
      </c>
      <c r="F787" t="s">
        <v>12</v>
      </c>
      <c r="G787" t="s">
        <v>12</v>
      </c>
      <c r="H787" s="1"/>
      <c r="I787" s="1">
        <v>11644016.145333299</v>
      </c>
      <c r="J787" s="1">
        <v>41809.2656641637</v>
      </c>
      <c r="K787" s="1"/>
      <c r="L787" s="1"/>
      <c r="M787" s="1"/>
      <c r="N787" s="1"/>
      <c r="O787" s="1"/>
      <c r="P787" s="1"/>
      <c r="Q787" s="1"/>
      <c r="R787" s="1">
        <v>13985799</v>
      </c>
      <c r="S787" t="s">
        <v>12</v>
      </c>
    </row>
    <row r="788" spans="1:19" x14ac:dyDescent="0.55000000000000004">
      <c r="A788" t="s">
        <v>22</v>
      </c>
      <c r="B788">
        <v>1957</v>
      </c>
      <c r="C788">
        <v>2809</v>
      </c>
      <c r="D788" s="2">
        <v>304419</v>
      </c>
      <c r="E788" s="3">
        <v>307228</v>
      </c>
      <c r="F788" t="s">
        <v>12</v>
      </c>
      <c r="G788" t="s">
        <v>12</v>
      </c>
      <c r="H788" s="1"/>
      <c r="I788" s="1">
        <v>356837</v>
      </c>
      <c r="J788" s="1">
        <v>3611</v>
      </c>
      <c r="K788" s="1"/>
      <c r="L788" s="1"/>
      <c r="M788" s="1"/>
      <c r="N788" s="1"/>
      <c r="O788" s="1"/>
      <c r="P788" s="1"/>
      <c r="Q788" s="1"/>
      <c r="R788" s="1">
        <v>667676</v>
      </c>
      <c r="S788" t="s">
        <v>12</v>
      </c>
    </row>
    <row r="789" spans="1:19" x14ac:dyDescent="0.55000000000000004">
      <c r="A789" t="s">
        <v>22</v>
      </c>
      <c r="B789">
        <v>1956</v>
      </c>
      <c r="C789">
        <v>3321</v>
      </c>
      <c r="D789" s="2">
        <v>1184</v>
      </c>
      <c r="E789" s="3">
        <v>4505</v>
      </c>
      <c r="F789" t="s">
        <v>12</v>
      </c>
      <c r="G789" t="s">
        <v>12</v>
      </c>
      <c r="H789" s="1"/>
      <c r="I789" s="1">
        <v>10142</v>
      </c>
      <c r="J789" s="1">
        <v>1670</v>
      </c>
      <c r="K789" s="1"/>
      <c r="L789" s="1"/>
      <c r="M789" s="1"/>
      <c r="N789" s="1"/>
      <c r="O789" s="1"/>
      <c r="P789" s="1"/>
      <c r="Q789" s="1"/>
      <c r="R789" s="1">
        <v>16317</v>
      </c>
      <c r="S789" t="s">
        <v>12</v>
      </c>
    </row>
    <row r="790" spans="1:19" x14ac:dyDescent="0.55000000000000004">
      <c r="A790" t="s">
        <v>22</v>
      </c>
      <c r="B790">
        <v>1955</v>
      </c>
      <c r="C790">
        <v>63859</v>
      </c>
      <c r="D790" s="2">
        <v>725</v>
      </c>
      <c r="E790" s="3">
        <v>64584</v>
      </c>
      <c r="F790" t="s">
        <v>12</v>
      </c>
      <c r="G790" t="s">
        <v>12</v>
      </c>
      <c r="H790" s="1"/>
      <c r="I790" s="1">
        <v>466401.00000000099</v>
      </c>
      <c r="J790" s="1">
        <v>11990</v>
      </c>
      <c r="K790" s="1"/>
      <c r="L790" s="1"/>
      <c r="M790" s="1"/>
      <c r="N790" s="1"/>
      <c r="O790" s="1"/>
      <c r="P790" s="1"/>
      <c r="Q790" s="1"/>
      <c r="R790" s="1">
        <v>542975</v>
      </c>
      <c r="S790" t="s">
        <v>11</v>
      </c>
    </row>
    <row r="791" spans="1:19" x14ac:dyDescent="0.55000000000000004">
      <c r="A791" t="s">
        <v>22</v>
      </c>
      <c r="B791">
        <v>1954</v>
      </c>
      <c r="C791">
        <v>2026754</v>
      </c>
      <c r="D791" s="2">
        <v>4259</v>
      </c>
      <c r="E791" s="3">
        <v>2031013</v>
      </c>
      <c r="F791" t="s">
        <v>12</v>
      </c>
      <c r="G791" t="s">
        <v>12</v>
      </c>
      <c r="H791" s="1"/>
      <c r="I791" s="1">
        <v>7204847</v>
      </c>
      <c r="J791" s="1">
        <v>49688</v>
      </c>
      <c r="K791" s="1"/>
      <c r="L791" s="1"/>
      <c r="M791" s="1"/>
      <c r="N791" s="1"/>
      <c r="O791" s="1"/>
      <c r="P791" s="1"/>
      <c r="Q791" s="1"/>
      <c r="R791" s="1">
        <v>9285548</v>
      </c>
      <c r="S791" t="s">
        <v>12</v>
      </c>
    </row>
    <row r="792" spans="1:19" x14ac:dyDescent="0.55000000000000004">
      <c r="A792" t="s">
        <v>22</v>
      </c>
      <c r="B792">
        <v>1953</v>
      </c>
      <c r="C792">
        <v>3473</v>
      </c>
      <c r="D792" s="2">
        <v>216891</v>
      </c>
      <c r="E792" s="3">
        <v>220364</v>
      </c>
      <c r="F792" t="s">
        <v>12</v>
      </c>
      <c r="G792" t="s">
        <v>12</v>
      </c>
      <c r="H792" s="1"/>
      <c r="I792" s="1">
        <v>330624.92836546298</v>
      </c>
      <c r="J792" s="1">
        <v>8843</v>
      </c>
      <c r="K792" s="1"/>
      <c r="L792" s="1"/>
      <c r="M792" s="1"/>
      <c r="N792" s="1"/>
      <c r="O792" s="1"/>
      <c r="P792" s="1"/>
      <c r="Q792" s="1"/>
      <c r="R792" s="1">
        <v>559832</v>
      </c>
      <c r="S792" t="s">
        <v>12</v>
      </c>
    </row>
    <row r="793" spans="1:19" x14ac:dyDescent="0.55000000000000004">
      <c r="A793" t="s">
        <v>22</v>
      </c>
      <c r="B793">
        <v>1952</v>
      </c>
      <c r="C793">
        <v>7317</v>
      </c>
      <c r="D793" s="2">
        <v>3436</v>
      </c>
      <c r="E793" s="3">
        <v>10753</v>
      </c>
      <c r="F793" t="s">
        <v>12</v>
      </c>
      <c r="G793" t="s">
        <v>12</v>
      </c>
      <c r="H793" s="1"/>
      <c r="I793" s="1">
        <v>17502</v>
      </c>
      <c r="J793" s="1">
        <v>1458</v>
      </c>
      <c r="K793" s="1"/>
      <c r="L793" s="1"/>
      <c r="M793" s="1"/>
      <c r="N793" s="1"/>
      <c r="O793" s="1"/>
      <c r="P793" s="1"/>
      <c r="Q793" s="1"/>
      <c r="R793" s="1">
        <v>29713</v>
      </c>
      <c r="S793" t="s">
        <v>12</v>
      </c>
    </row>
    <row r="794" spans="1:19" x14ac:dyDescent="0.55000000000000004">
      <c r="A794" t="s">
        <v>23</v>
      </c>
      <c r="B794">
        <v>2023</v>
      </c>
      <c r="C794">
        <v>20485</v>
      </c>
      <c r="D794" s="2">
        <v>13</v>
      </c>
      <c r="E794" s="3">
        <v>20498</v>
      </c>
      <c r="F794">
        <v>88</v>
      </c>
      <c r="G794" t="s">
        <v>12</v>
      </c>
      <c r="H794" s="1">
        <v>445.56387267522598</v>
      </c>
      <c r="I794" s="1">
        <v>993.28224683108397</v>
      </c>
      <c r="J794" s="1">
        <v>2186.78950880499</v>
      </c>
      <c r="K794" s="1"/>
      <c r="L794" s="1">
        <v>12306</v>
      </c>
      <c r="M794" s="1">
        <v>8141</v>
      </c>
      <c r="N794" s="1">
        <v>-948</v>
      </c>
      <c r="O794" s="1">
        <v>8</v>
      </c>
      <c r="P794" s="1">
        <v>5</v>
      </c>
      <c r="Q794" s="1">
        <v>-46257.920346553197</v>
      </c>
      <c r="R794" s="1">
        <v>43724</v>
      </c>
      <c r="S794" t="s">
        <v>11</v>
      </c>
    </row>
    <row r="795" spans="1:19" x14ac:dyDescent="0.55000000000000004">
      <c r="A795" t="s">
        <v>23</v>
      </c>
      <c r="B795">
        <v>2022</v>
      </c>
      <c r="C795">
        <v>87947</v>
      </c>
      <c r="D795" s="2">
        <v>0</v>
      </c>
      <c r="E795" s="3">
        <v>87947</v>
      </c>
      <c r="F795" t="s">
        <v>12</v>
      </c>
      <c r="G795" t="s">
        <v>12</v>
      </c>
      <c r="H795" s="1">
        <v>1009.73431882733</v>
      </c>
      <c r="I795" s="1">
        <v>29451.590063578002</v>
      </c>
      <c r="J795" s="1">
        <v>24270.289285557501</v>
      </c>
      <c r="K795" s="1"/>
      <c r="L795" s="1">
        <v>51157</v>
      </c>
      <c r="M795" s="1">
        <v>31420</v>
      </c>
      <c r="N795" s="1">
        <v>-9977</v>
      </c>
      <c r="O795" s="1"/>
      <c r="P795" s="1"/>
      <c r="Q795" s="1">
        <v>-119385.759257832</v>
      </c>
      <c r="R795" s="1">
        <v>215279</v>
      </c>
      <c r="S795" t="s">
        <v>11</v>
      </c>
    </row>
    <row r="796" spans="1:19" x14ac:dyDescent="0.55000000000000004">
      <c r="A796" t="s">
        <v>23</v>
      </c>
      <c r="B796">
        <v>2021</v>
      </c>
      <c r="C796">
        <v>379925</v>
      </c>
      <c r="D796" s="2">
        <v>182</v>
      </c>
      <c r="E796" s="3">
        <v>380107</v>
      </c>
      <c r="F796" t="s">
        <v>12</v>
      </c>
      <c r="G796" t="s">
        <v>12</v>
      </c>
      <c r="H796" s="1">
        <v>9531.9041268778092</v>
      </c>
      <c r="I796" s="1">
        <v>3587.10900002169</v>
      </c>
      <c r="J796" s="1">
        <v>12823.965938900301</v>
      </c>
      <c r="K796" s="1"/>
      <c r="L796" s="1">
        <v>44507.673976719801</v>
      </c>
      <c r="M796" s="1">
        <v>20645.065648364802</v>
      </c>
      <c r="N796" s="1">
        <v>-3164.5502119854</v>
      </c>
      <c r="O796" s="1">
        <v>20.9970156245477</v>
      </c>
      <c r="P796" s="1">
        <v>9.9985788688322206</v>
      </c>
      <c r="Q796" s="1">
        <v>-17776.3637787431</v>
      </c>
      <c r="R796" s="1">
        <v>468069</v>
      </c>
      <c r="S796" t="s">
        <v>11</v>
      </c>
    </row>
    <row r="797" spans="1:19" x14ac:dyDescent="0.55000000000000004">
      <c r="A797" t="s">
        <v>23</v>
      </c>
      <c r="B797">
        <v>2020</v>
      </c>
      <c r="C797">
        <v>4741</v>
      </c>
      <c r="D797" s="2">
        <v>21</v>
      </c>
      <c r="E797" s="3">
        <v>4762</v>
      </c>
      <c r="F797" t="s">
        <v>12</v>
      </c>
      <c r="G797" t="s">
        <v>12</v>
      </c>
      <c r="H797" s="1">
        <v>360.71384999690002</v>
      </c>
      <c r="I797" s="1">
        <v>413.23638984881001</v>
      </c>
      <c r="J797" s="1">
        <v>3184.32383650048</v>
      </c>
      <c r="K797" s="1"/>
      <c r="L797" s="1">
        <v>1673</v>
      </c>
      <c r="M797" s="1">
        <v>4741</v>
      </c>
      <c r="N797" s="1">
        <v>-2862</v>
      </c>
      <c r="O797" s="1">
        <v>7</v>
      </c>
      <c r="P797" s="1">
        <v>21</v>
      </c>
      <c r="Q797" s="1">
        <v>-26540.739674935201</v>
      </c>
      <c r="R797" s="1">
        <v>12300</v>
      </c>
      <c r="S797" t="s">
        <v>11</v>
      </c>
    </row>
    <row r="798" spans="1:19" x14ac:dyDescent="0.55000000000000004">
      <c r="A798" t="s">
        <v>23</v>
      </c>
      <c r="B798">
        <v>2019</v>
      </c>
      <c r="C798">
        <v>5801</v>
      </c>
      <c r="D798" s="2">
        <v>60</v>
      </c>
      <c r="E798" s="3">
        <v>5861</v>
      </c>
      <c r="F798" t="s">
        <v>12</v>
      </c>
      <c r="G798" t="s">
        <v>12</v>
      </c>
      <c r="H798" s="1">
        <v>3079.5364711555699</v>
      </c>
      <c r="I798" s="1">
        <v>271.51083277317002</v>
      </c>
      <c r="J798" s="1">
        <v>716.89429196853803</v>
      </c>
      <c r="K798" s="1"/>
      <c r="L798" s="1">
        <v>5027</v>
      </c>
      <c r="M798" s="1">
        <v>1740</v>
      </c>
      <c r="N798" s="1">
        <v>-2612</v>
      </c>
      <c r="O798" s="1">
        <v>52</v>
      </c>
      <c r="P798" s="1">
        <v>18</v>
      </c>
      <c r="Q798" s="1">
        <v>-16983.0908813063</v>
      </c>
      <c r="R798" s="1">
        <v>14154</v>
      </c>
      <c r="S798" t="s">
        <v>11</v>
      </c>
    </row>
    <row r="799" spans="1:19" x14ac:dyDescent="0.55000000000000004">
      <c r="A799" t="s">
        <v>23</v>
      </c>
      <c r="B799">
        <v>2018</v>
      </c>
      <c r="C799">
        <v>112189</v>
      </c>
      <c r="D799" s="2">
        <v>0</v>
      </c>
      <c r="E799" s="3">
        <v>112189</v>
      </c>
      <c r="F799" t="s">
        <v>12</v>
      </c>
      <c r="G799" t="s">
        <v>12</v>
      </c>
      <c r="H799" s="1">
        <v>619.56590924017996</v>
      </c>
      <c r="I799" s="1">
        <v>147612.71285081701</v>
      </c>
      <c r="J799" s="1">
        <v>28444.934748669599</v>
      </c>
      <c r="K799" s="1"/>
      <c r="L799" s="1">
        <v>36462</v>
      </c>
      <c r="M799" s="1">
        <v>33657</v>
      </c>
      <c r="N799" s="1">
        <v>-30039</v>
      </c>
      <c r="O799" s="1"/>
      <c r="P799" s="1"/>
      <c r="Q799" s="1">
        <v>-25674.361033204601</v>
      </c>
      <c r="R799" s="1">
        <v>328946</v>
      </c>
      <c r="S799" t="s">
        <v>11</v>
      </c>
    </row>
    <row r="800" spans="1:19" x14ac:dyDescent="0.55000000000000004">
      <c r="A800" t="s">
        <v>23</v>
      </c>
      <c r="B800">
        <v>2017</v>
      </c>
      <c r="C800">
        <v>146975</v>
      </c>
      <c r="D800" s="2">
        <v>495</v>
      </c>
      <c r="E800" s="3">
        <v>147470</v>
      </c>
      <c r="F800" t="s">
        <v>12</v>
      </c>
      <c r="G800" t="s">
        <v>12</v>
      </c>
      <c r="H800" s="1">
        <v>2595.0932499798</v>
      </c>
      <c r="I800" s="1">
        <v>3474.5347594936402</v>
      </c>
      <c r="J800" s="1">
        <v>13591.869459424001</v>
      </c>
      <c r="K800" s="1"/>
      <c r="L800" s="1">
        <v>30379</v>
      </c>
      <c r="M800" s="1">
        <v>25171</v>
      </c>
      <c r="N800" s="1">
        <v>-3075</v>
      </c>
      <c r="O800" s="1">
        <v>91</v>
      </c>
      <c r="P800" s="1">
        <v>23</v>
      </c>
      <c r="Q800" s="1">
        <v>-34715.312539537299</v>
      </c>
      <c r="R800" s="1">
        <v>219720</v>
      </c>
      <c r="S800" t="s">
        <v>11</v>
      </c>
    </row>
    <row r="801" spans="1:19" x14ac:dyDescent="0.55000000000000004">
      <c r="A801" t="s">
        <v>23</v>
      </c>
      <c r="B801">
        <v>2016</v>
      </c>
      <c r="C801">
        <v>9407</v>
      </c>
      <c r="D801" s="2">
        <v>659</v>
      </c>
      <c r="E801" s="3">
        <v>10066</v>
      </c>
      <c r="F801" t="s">
        <v>12</v>
      </c>
      <c r="G801" t="s">
        <v>12</v>
      </c>
      <c r="H801" s="1">
        <v>666.04113799415597</v>
      </c>
      <c r="I801" s="1">
        <v>3166.9210184325998</v>
      </c>
      <c r="J801" s="1">
        <v>8323.5873292579199</v>
      </c>
      <c r="K801" s="1"/>
      <c r="L801" s="1">
        <v>4409</v>
      </c>
      <c r="M801" s="1">
        <v>8229</v>
      </c>
      <c r="N801" s="1">
        <v>-2147</v>
      </c>
      <c r="O801" s="1">
        <v>325</v>
      </c>
      <c r="P801" s="1">
        <v>641</v>
      </c>
      <c r="Q801" s="1">
        <v>-19657.4686258662</v>
      </c>
      <c r="R801" s="1">
        <v>33680</v>
      </c>
      <c r="S801" t="s">
        <v>11</v>
      </c>
    </row>
    <row r="802" spans="1:19" x14ac:dyDescent="0.55000000000000004">
      <c r="A802" t="s">
        <v>23</v>
      </c>
      <c r="B802">
        <v>2015</v>
      </c>
      <c r="C802">
        <v>11124</v>
      </c>
      <c r="D802" s="2">
        <v>0</v>
      </c>
      <c r="E802" s="3">
        <v>11124</v>
      </c>
      <c r="F802" t="s">
        <v>12</v>
      </c>
      <c r="G802" t="s">
        <v>12</v>
      </c>
      <c r="H802" s="1">
        <v>2084.5615097465902</v>
      </c>
      <c r="I802" s="1">
        <v>5770.40598034903</v>
      </c>
      <c r="J802" s="1">
        <v>2800.5961115503801</v>
      </c>
      <c r="K802" s="1">
        <v>744</v>
      </c>
      <c r="L802" s="1">
        <v>7503</v>
      </c>
      <c r="M802" s="1">
        <v>11386</v>
      </c>
      <c r="N802" s="1">
        <v>-2454</v>
      </c>
      <c r="O802" s="1"/>
      <c r="P802" s="1"/>
      <c r="Q802" s="1">
        <v>-50121.690874981003</v>
      </c>
      <c r="R802" s="1">
        <v>38959</v>
      </c>
      <c r="S802" t="s">
        <v>11</v>
      </c>
    </row>
    <row r="803" spans="1:19" x14ac:dyDescent="0.55000000000000004">
      <c r="A803" t="s">
        <v>23</v>
      </c>
      <c r="B803">
        <v>2014</v>
      </c>
      <c r="C803">
        <v>50691</v>
      </c>
      <c r="D803" s="2">
        <v>0</v>
      </c>
      <c r="E803" s="3">
        <v>50691</v>
      </c>
      <c r="F803" t="s">
        <v>12</v>
      </c>
      <c r="G803" t="s">
        <v>12</v>
      </c>
      <c r="H803" s="1">
        <v>6947.9985103984</v>
      </c>
      <c r="I803" s="1">
        <v>177343.453433232</v>
      </c>
      <c r="J803" s="1">
        <v>37645.023677906604</v>
      </c>
      <c r="K803" s="1"/>
      <c r="L803" s="1">
        <v>34254</v>
      </c>
      <c r="M803" s="1">
        <v>52070</v>
      </c>
      <c r="N803" s="1">
        <v>-47390</v>
      </c>
      <c r="O803" s="1"/>
      <c r="P803" s="1"/>
      <c r="Q803" s="1">
        <v>-104001.684208031</v>
      </c>
      <c r="R803" s="1">
        <v>311561</v>
      </c>
      <c r="S803" t="s">
        <v>11</v>
      </c>
    </row>
    <row r="804" spans="1:19" x14ac:dyDescent="0.55000000000000004">
      <c r="A804" t="s">
        <v>23</v>
      </c>
      <c r="B804">
        <v>2013</v>
      </c>
      <c r="C804">
        <v>131764</v>
      </c>
      <c r="D804" s="2">
        <v>839</v>
      </c>
      <c r="E804" s="3">
        <v>132603</v>
      </c>
      <c r="F804" t="s">
        <v>12</v>
      </c>
      <c r="G804" t="s">
        <v>12</v>
      </c>
      <c r="H804" s="1">
        <v>1171.6259459820501</v>
      </c>
      <c r="I804" s="1">
        <v>25598.350844830598</v>
      </c>
      <c r="J804" s="1">
        <v>27196.577740320201</v>
      </c>
      <c r="K804" s="1"/>
      <c r="L804" s="1">
        <v>43921</v>
      </c>
      <c r="M804" s="1"/>
      <c r="N804" s="1">
        <v>-3298</v>
      </c>
      <c r="O804" s="1">
        <v>280</v>
      </c>
      <c r="P804" s="1"/>
      <c r="Q804" s="1">
        <v>-32334.4457603808</v>
      </c>
      <c r="R804" s="1">
        <v>227473</v>
      </c>
      <c r="S804" t="s">
        <v>11</v>
      </c>
    </row>
    <row r="805" spans="1:19" x14ac:dyDescent="0.55000000000000004">
      <c r="A805" t="s">
        <v>23</v>
      </c>
      <c r="B805">
        <v>2012</v>
      </c>
      <c r="C805">
        <v>93119</v>
      </c>
      <c r="D805" s="2">
        <v>40</v>
      </c>
      <c r="E805" s="3">
        <v>93159</v>
      </c>
      <c r="F805" t="s">
        <v>12</v>
      </c>
      <c r="G805" t="s">
        <v>12</v>
      </c>
      <c r="H805" s="1">
        <v>659.14072271600003</v>
      </c>
      <c r="I805" s="1">
        <v>39612.763430017701</v>
      </c>
      <c r="J805" s="1">
        <v>59476.204067681501</v>
      </c>
      <c r="K805" s="1"/>
      <c r="L805" s="1">
        <v>16433</v>
      </c>
      <c r="M805" s="1"/>
      <c r="N805" s="1">
        <v>-16161</v>
      </c>
      <c r="O805" s="1">
        <v>7</v>
      </c>
      <c r="P805" s="1"/>
      <c r="Q805" s="1">
        <v>-31154.40459441</v>
      </c>
      <c r="R805" s="1">
        <v>193186</v>
      </c>
      <c r="S805" t="s">
        <v>11</v>
      </c>
    </row>
    <row r="806" spans="1:19" x14ac:dyDescent="0.55000000000000004">
      <c r="A806" t="s">
        <v>23</v>
      </c>
      <c r="B806">
        <v>2011</v>
      </c>
      <c r="C806">
        <v>3783</v>
      </c>
      <c r="D806" s="2">
        <v>270</v>
      </c>
      <c r="E806" s="3">
        <v>4053</v>
      </c>
      <c r="F806" t="s">
        <v>12</v>
      </c>
      <c r="G806" t="s">
        <v>12</v>
      </c>
      <c r="H806" s="1">
        <v>971.00821495927005</v>
      </c>
      <c r="I806" s="1">
        <v>24014.676142199001</v>
      </c>
      <c r="J806" s="1">
        <v>25709.095874510302</v>
      </c>
      <c r="K806" s="1"/>
      <c r="L806" s="1">
        <v>509</v>
      </c>
      <c r="M806" s="1">
        <v>799</v>
      </c>
      <c r="N806" s="1">
        <v>-43893</v>
      </c>
      <c r="O806" s="1">
        <v>36</v>
      </c>
      <c r="P806" s="1">
        <v>56</v>
      </c>
      <c r="Q806" s="1">
        <v>-46805.116128824797</v>
      </c>
      <c r="R806" s="1">
        <v>12255</v>
      </c>
      <c r="S806" t="s">
        <v>11</v>
      </c>
    </row>
    <row r="807" spans="1:19" x14ac:dyDescent="0.55000000000000004">
      <c r="A807" t="s">
        <v>23</v>
      </c>
      <c r="B807">
        <v>2010</v>
      </c>
      <c r="C807">
        <v>75241</v>
      </c>
      <c r="D807" s="2">
        <v>48</v>
      </c>
      <c r="E807" s="3">
        <v>75289</v>
      </c>
      <c r="F807" t="s">
        <v>12</v>
      </c>
      <c r="G807" t="s">
        <v>12</v>
      </c>
      <c r="H807" s="1">
        <v>0</v>
      </c>
      <c r="I807" s="1">
        <v>116940.523330639</v>
      </c>
      <c r="J807" s="1"/>
      <c r="K807" s="1"/>
      <c r="L807" s="1">
        <v>10558</v>
      </c>
      <c r="M807" s="1">
        <v>19785</v>
      </c>
      <c r="N807" s="1">
        <v>-64402</v>
      </c>
      <c r="O807" s="1">
        <v>7</v>
      </c>
      <c r="P807" s="1">
        <v>13</v>
      </c>
      <c r="Q807" s="1">
        <v>-74934.341761139294</v>
      </c>
      <c r="R807" s="1">
        <v>158191</v>
      </c>
      <c r="S807" t="s">
        <v>11</v>
      </c>
    </row>
    <row r="808" spans="1:19" x14ac:dyDescent="0.55000000000000004">
      <c r="A808" t="s">
        <v>23</v>
      </c>
      <c r="B808">
        <v>2009</v>
      </c>
      <c r="C808">
        <v>86964</v>
      </c>
      <c r="D808" s="2">
        <v>37</v>
      </c>
      <c r="E808" s="3">
        <v>87001</v>
      </c>
      <c r="F808" t="s">
        <v>12</v>
      </c>
      <c r="G808" t="s">
        <v>12</v>
      </c>
      <c r="H808" s="1">
        <v>771.025606673889</v>
      </c>
      <c r="I808" s="1">
        <v>5547.0013288718501</v>
      </c>
      <c r="J808" s="1">
        <v>10554.3548830665</v>
      </c>
      <c r="K808" s="1"/>
      <c r="L808" s="1">
        <v>21741</v>
      </c>
      <c r="M808" s="1"/>
      <c r="N808" s="1">
        <v>-1514</v>
      </c>
      <c r="O808" s="1">
        <v>9</v>
      </c>
      <c r="P808" s="1"/>
      <c r="Q808" s="1">
        <v>-41612.771176203503</v>
      </c>
      <c r="R808" s="1">
        <v>124109</v>
      </c>
      <c r="S808" t="s">
        <v>11</v>
      </c>
    </row>
    <row r="809" spans="1:19" x14ac:dyDescent="0.55000000000000004">
      <c r="A809" t="s">
        <v>23</v>
      </c>
      <c r="B809">
        <v>2008</v>
      </c>
      <c r="C809">
        <v>146569</v>
      </c>
      <c r="D809" s="2">
        <v>89</v>
      </c>
      <c r="E809" s="3">
        <v>146658</v>
      </c>
      <c r="F809" t="s">
        <v>12</v>
      </c>
      <c r="G809" t="s">
        <v>12</v>
      </c>
      <c r="H809" s="1">
        <v>138.59854005897699</v>
      </c>
      <c r="I809" s="1">
        <v>32239.4292456556</v>
      </c>
      <c r="J809" s="1">
        <v>86809.3326863088</v>
      </c>
      <c r="K809" s="1"/>
      <c r="L809" s="1"/>
      <c r="M809" s="1"/>
      <c r="N809" s="1"/>
      <c r="O809" s="1"/>
      <c r="P809" s="1"/>
      <c r="Q809" s="1">
        <v>-44851.799588860602</v>
      </c>
      <c r="R809" s="1">
        <v>310697</v>
      </c>
      <c r="S809" t="s">
        <v>9</v>
      </c>
    </row>
    <row r="810" spans="1:19" x14ac:dyDescent="0.55000000000000004">
      <c r="A810" t="s">
        <v>23</v>
      </c>
      <c r="B810">
        <v>2007</v>
      </c>
      <c r="C810">
        <v>8487</v>
      </c>
      <c r="D810" s="2">
        <v>220</v>
      </c>
      <c r="E810" s="3">
        <v>8707</v>
      </c>
      <c r="F810" t="s">
        <v>12</v>
      </c>
      <c r="G810" t="s">
        <v>12</v>
      </c>
      <c r="H810" s="1">
        <v>405.21449385030002</v>
      </c>
      <c r="I810" s="1">
        <v>2910.65554125569</v>
      </c>
      <c r="J810" s="1">
        <v>7772.0145286685802</v>
      </c>
      <c r="K810" s="1"/>
      <c r="L810" s="1"/>
      <c r="M810" s="1"/>
      <c r="N810" s="1"/>
      <c r="O810" s="1"/>
      <c r="P810" s="1"/>
      <c r="Q810" s="1">
        <v>-16634.660684976599</v>
      </c>
      <c r="R810" s="1">
        <v>36430</v>
      </c>
      <c r="S810" t="s">
        <v>9</v>
      </c>
    </row>
    <row r="811" spans="1:19" x14ac:dyDescent="0.55000000000000004">
      <c r="A811" t="s">
        <v>23</v>
      </c>
      <c r="B811">
        <v>2006</v>
      </c>
      <c r="C811">
        <v>27504</v>
      </c>
      <c r="D811" s="2">
        <v>11</v>
      </c>
      <c r="E811" s="3">
        <v>27515</v>
      </c>
      <c r="F811" t="s">
        <v>12</v>
      </c>
      <c r="G811" t="s">
        <v>12</v>
      </c>
      <c r="H811" s="1">
        <v>528.52630324788197</v>
      </c>
      <c r="I811" s="1">
        <v>99776.680314908095</v>
      </c>
      <c r="J811" s="1">
        <v>25942.660717529001</v>
      </c>
      <c r="K811" s="1"/>
      <c r="L811" s="1"/>
      <c r="M811" s="1"/>
      <c r="N811" s="1"/>
      <c r="O811" s="1"/>
      <c r="P811" s="1"/>
      <c r="Q811" s="1">
        <v>-73617.167497404196</v>
      </c>
      <c r="R811" s="1">
        <v>227380</v>
      </c>
      <c r="S811" t="s">
        <v>9</v>
      </c>
    </row>
    <row r="812" spans="1:19" x14ac:dyDescent="0.55000000000000004">
      <c r="A812" t="s">
        <v>23</v>
      </c>
      <c r="B812">
        <v>2005</v>
      </c>
      <c r="C812">
        <v>293124</v>
      </c>
      <c r="D812" s="2">
        <v>20</v>
      </c>
      <c r="E812" s="3">
        <v>293144</v>
      </c>
      <c r="F812" t="s">
        <v>12</v>
      </c>
      <c r="G812" t="s">
        <v>12</v>
      </c>
      <c r="H812" s="1">
        <v>29292.544194735201</v>
      </c>
      <c r="I812" s="1">
        <v>106039.98391675101</v>
      </c>
      <c r="J812" s="1">
        <v>100153.610365513</v>
      </c>
      <c r="K812" s="1"/>
      <c r="L812" s="1"/>
      <c r="M812" s="1"/>
      <c r="N812" s="1"/>
      <c r="O812" s="1"/>
      <c r="P812" s="1"/>
      <c r="Q812" s="1">
        <v>-100466.29223568</v>
      </c>
      <c r="R812" s="1">
        <v>629096</v>
      </c>
      <c r="S812" t="s">
        <v>9</v>
      </c>
    </row>
    <row r="813" spans="1:19" x14ac:dyDescent="0.55000000000000004">
      <c r="A813" t="s">
        <v>23</v>
      </c>
      <c r="B813">
        <v>2004</v>
      </c>
      <c r="C813">
        <v>83418</v>
      </c>
      <c r="D813" s="2">
        <v>29</v>
      </c>
      <c r="E813" s="3">
        <v>83447</v>
      </c>
      <c r="F813" t="s">
        <v>12</v>
      </c>
      <c r="G813" t="s">
        <v>12</v>
      </c>
      <c r="H813" s="1">
        <v>10620.431258896801</v>
      </c>
      <c r="I813" s="1">
        <v>475403.58316958201</v>
      </c>
      <c r="J813" s="1">
        <v>128945.717086327</v>
      </c>
      <c r="K813" s="1"/>
      <c r="L813" s="1"/>
      <c r="M813" s="1"/>
      <c r="N813" s="1"/>
      <c r="O813" s="1"/>
      <c r="P813" s="1"/>
      <c r="Q813" s="1">
        <v>-274276.50863588898</v>
      </c>
      <c r="R813" s="1">
        <v>972693</v>
      </c>
      <c r="S813" t="s">
        <v>9</v>
      </c>
    </row>
    <row r="814" spans="1:19" x14ac:dyDescent="0.55000000000000004">
      <c r="A814" t="s">
        <v>23</v>
      </c>
      <c r="B814">
        <v>2003</v>
      </c>
      <c r="C814">
        <v>36647</v>
      </c>
      <c r="D814" s="2">
        <v>1827</v>
      </c>
      <c r="E814" s="3">
        <v>38474</v>
      </c>
      <c r="F814" t="s">
        <v>12</v>
      </c>
      <c r="G814" t="s">
        <v>12</v>
      </c>
      <c r="H814" s="1">
        <v>2056.5761568199</v>
      </c>
      <c r="I814" s="1">
        <v>50143.352590210903</v>
      </c>
      <c r="J814" s="1">
        <v>21876.419738051402</v>
      </c>
      <c r="K814" s="1"/>
      <c r="L814" s="1"/>
      <c r="M814" s="1"/>
      <c r="N814" s="1"/>
      <c r="O814" s="1"/>
      <c r="P814" s="1"/>
      <c r="Q814" s="1">
        <v>-27326.5252086047</v>
      </c>
      <c r="R814" s="1">
        <v>139877</v>
      </c>
      <c r="S814" t="s">
        <v>9</v>
      </c>
    </row>
    <row r="815" spans="1:19" x14ac:dyDescent="0.55000000000000004">
      <c r="A815" t="s">
        <v>23</v>
      </c>
      <c r="B815">
        <v>2002</v>
      </c>
      <c r="C815">
        <v>34498</v>
      </c>
      <c r="D815" s="2">
        <v>23</v>
      </c>
      <c r="E815" s="3">
        <v>34521</v>
      </c>
      <c r="F815" t="s">
        <v>12</v>
      </c>
      <c r="G815" t="s">
        <v>12</v>
      </c>
      <c r="H815" s="1">
        <v>8.8170946258253107</v>
      </c>
      <c r="I815" s="1">
        <v>35363.258803782403</v>
      </c>
      <c r="J815" s="1">
        <v>17275.841494502001</v>
      </c>
      <c r="K815" s="1"/>
      <c r="L815" s="1"/>
      <c r="M815" s="1"/>
      <c r="N815" s="1"/>
      <c r="O815" s="1"/>
      <c r="P815" s="1"/>
      <c r="Q815" s="1">
        <v>-34286.511122395801</v>
      </c>
      <c r="R815" s="1">
        <v>121455</v>
      </c>
      <c r="S815" t="s">
        <v>9</v>
      </c>
    </row>
    <row r="816" spans="1:19" x14ac:dyDescent="0.55000000000000004">
      <c r="A816" t="s">
        <v>23</v>
      </c>
      <c r="B816">
        <v>2001</v>
      </c>
      <c r="C816">
        <v>351569</v>
      </c>
      <c r="D816" s="2">
        <v>312</v>
      </c>
      <c r="E816" s="3">
        <v>351881</v>
      </c>
      <c r="F816" t="s">
        <v>12</v>
      </c>
      <c r="G816" t="s">
        <v>12</v>
      </c>
      <c r="H816" s="1">
        <v>3964.6547847111801</v>
      </c>
      <c r="I816" s="1">
        <v>168247.58761437301</v>
      </c>
      <c r="J816" s="1">
        <v>84339.786744790094</v>
      </c>
      <c r="K816" s="1"/>
      <c r="L816" s="1"/>
      <c r="M816" s="1"/>
      <c r="N816" s="1"/>
      <c r="O816" s="1"/>
      <c r="P816" s="1"/>
      <c r="Q816" s="1">
        <v>-130927.220231108</v>
      </c>
      <c r="R816" s="1">
        <v>739360</v>
      </c>
      <c r="S816" t="s">
        <v>9</v>
      </c>
    </row>
    <row r="817" spans="1:19" x14ac:dyDescent="0.55000000000000004">
      <c r="A817" t="s">
        <v>23</v>
      </c>
      <c r="B817">
        <v>2000</v>
      </c>
      <c r="C817">
        <v>454397</v>
      </c>
      <c r="D817" s="2">
        <v>81</v>
      </c>
      <c r="E817" s="3">
        <v>454478</v>
      </c>
      <c r="F817" t="s">
        <v>12</v>
      </c>
      <c r="G817" t="s">
        <v>12</v>
      </c>
      <c r="H817" s="1">
        <v>491.95514139407499</v>
      </c>
      <c r="I817" s="1">
        <v>305248.10642981098</v>
      </c>
      <c r="J817" s="1">
        <v>67038.659133004505</v>
      </c>
      <c r="K817" s="1"/>
      <c r="L817" s="1"/>
      <c r="M817" s="1"/>
      <c r="N817" s="1"/>
      <c r="O817" s="1"/>
      <c r="P817" s="1"/>
      <c r="Q817" s="1">
        <v>139159.01011549399</v>
      </c>
      <c r="R817" s="1">
        <v>827257</v>
      </c>
      <c r="S817" t="s">
        <v>9</v>
      </c>
    </row>
    <row r="818" spans="1:19" x14ac:dyDescent="0.55000000000000004">
      <c r="A818" t="s">
        <v>23</v>
      </c>
      <c r="B818">
        <v>1999</v>
      </c>
      <c r="C818">
        <v>61574</v>
      </c>
      <c r="D818" s="2">
        <v>546</v>
      </c>
      <c r="E818" s="3">
        <v>62120</v>
      </c>
      <c r="F818" t="s">
        <v>12</v>
      </c>
      <c r="G818" t="s">
        <v>12</v>
      </c>
      <c r="H818" s="1">
        <v>58.865971160925298</v>
      </c>
      <c r="I818" s="1">
        <v>10531.9540983482</v>
      </c>
      <c r="J818" s="1">
        <v>15159.8918484811</v>
      </c>
      <c r="K818" s="1"/>
      <c r="L818" s="1"/>
      <c r="M818" s="1"/>
      <c r="N818" s="1"/>
      <c r="O818" s="1"/>
      <c r="P818" s="1"/>
      <c r="Q818" s="1">
        <v>-33120.121131445201</v>
      </c>
      <c r="R818" s="1">
        <v>120991</v>
      </c>
      <c r="S818" t="s">
        <v>9</v>
      </c>
    </row>
    <row r="819" spans="1:19" x14ac:dyDescent="0.55000000000000004">
      <c r="A819" t="s">
        <v>23</v>
      </c>
      <c r="B819">
        <v>1998</v>
      </c>
      <c r="C819">
        <v>138397</v>
      </c>
      <c r="D819" s="2">
        <v>1024</v>
      </c>
      <c r="E819" s="3">
        <v>139421</v>
      </c>
      <c r="F819" t="s">
        <v>12</v>
      </c>
      <c r="G819" t="s">
        <v>12</v>
      </c>
      <c r="H819" s="1">
        <v>10812.129014526399</v>
      </c>
      <c r="I819" s="1">
        <v>172557.872915966</v>
      </c>
      <c r="J819" s="1">
        <v>56454.515619521102</v>
      </c>
      <c r="K819" s="1"/>
      <c r="L819" s="1"/>
      <c r="M819" s="1"/>
      <c r="N819" s="1"/>
      <c r="O819" s="1"/>
      <c r="P819" s="1"/>
      <c r="Q819" s="1">
        <v>-348790.712557355</v>
      </c>
      <c r="R819" s="1">
        <v>728036</v>
      </c>
      <c r="S819" t="s">
        <v>9</v>
      </c>
    </row>
    <row r="820" spans="1:19" x14ac:dyDescent="0.55000000000000004">
      <c r="A820" t="s">
        <v>23</v>
      </c>
      <c r="B820">
        <v>1997</v>
      </c>
      <c r="C820">
        <v>907652</v>
      </c>
      <c r="D820" s="2">
        <v>0</v>
      </c>
      <c r="E820" s="3">
        <v>907652</v>
      </c>
      <c r="F820" t="s">
        <v>12</v>
      </c>
      <c r="G820" t="s">
        <v>12</v>
      </c>
      <c r="H820" s="1">
        <v>57151.378069339597</v>
      </c>
      <c r="I820" s="1">
        <v>2158874.2691529002</v>
      </c>
      <c r="J820" s="1">
        <v>108685.489770421</v>
      </c>
      <c r="K820" s="1"/>
      <c r="L820" s="1"/>
      <c r="M820" s="1"/>
      <c r="N820" s="1"/>
      <c r="O820" s="1"/>
      <c r="P820" s="1"/>
      <c r="Q820" s="1">
        <v>-85539.297155990498</v>
      </c>
      <c r="R820" s="1">
        <v>3317902</v>
      </c>
      <c r="S820" t="s">
        <v>9</v>
      </c>
    </row>
    <row r="821" spans="1:19" x14ac:dyDescent="0.55000000000000004">
      <c r="A821" t="s">
        <v>23</v>
      </c>
      <c r="B821">
        <v>1996</v>
      </c>
      <c r="C821">
        <v>62994</v>
      </c>
      <c r="D821" s="2">
        <v>2904</v>
      </c>
      <c r="E821" s="3">
        <v>65898</v>
      </c>
      <c r="F821" t="s">
        <v>12</v>
      </c>
      <c r="G821" t="s">
        <v>12</v>
      </c>
      <c r="H821" s="1">
        <v>699.32775041478601</v>
      </c>
      <c r="I821" s="1">
        <v>65107.968260088797</v>
      </c>
      <c r="J821" s="1">
        <v>24871.360014714501</v>
      </c>
      <c r="K821" s="1"/>
      <c r="L821" s="1"/>
      <c r="M821" s="1"/>
      <c r="N821" s="1"/>
      <c r="O821" s="1"/>
      <c r="P821" s="1"/>
      <c r="Q821" s="1">
        <v>-9426.3371907501405</v>
      </c>
      <c r="R821" s="1">
        <v>166003</v>
      </c>
      <c r="S821" t="s">
        <v>9</v>
      </c>
    </row>
    <row r="822" spans="1:19" x14ac:dyDescent="0.55000000000000004">
      <c r="A822" t="s">
        <v>23</v>
      </c>
      <c r="B822">
        <v>1995</v>
      </c>
      <c r="C822">
        <v>34362</v>
      </c>
      <c r="D822" s="2">
        <v>0</v>
      </c>
      <c r="E822" s="3">
        <v>34362</v>
      </c>
      <c r="F822" t="s">
        <v>12</v>
      </c>
      <c r="G822" t="s">
        <v>12</v>
      </c>
      <c r="H822" s="1">
        <v>11.237615445092301</v>
      </c>
      <c r="I822" s="1">
        <v>41734.647769688097</v>
      </c>
      <c r="J822" s="1">
        <v>35375.452137109198</v>
      </c>
      <c r="K822" s="1"/>
      <c r="L822" s="1"/>
      <c r="M822" s="1"/>
      <c r="N822" s="1"/>
      <c r="O822" s="1"/>
      <c r="P822" s="1"/>
      <c r="Q822" s="1">
        <v>-16107.724674857</v>
      </c>
      <c r="R822" s="1">
        <v>127591</v>
      </c>
      <c r="S822" t="s">
        <v>9</v>
      </c>
    </row>
    <row r="823" spans="1:19" x14ac:dyDescent="0.55000000000000004">
      <c r="A823" t="s">
        <v>23</v>
      </c>
      <c r="B823">
        <v>1994</v>
      </c>
      <c r="C823">
        <v>76462</v>
      </c>
      <c r="D823" s="2">
        <v>253</v>
      </c>
      <c r="E823" s="3">
        <v>76715</v>
      </c>
      <c r="F823" t="s">
        <v>12</v>
      </c>
      <c r="G823" t="s">
        <v>12</v>
      </c>
      <c r="H823" s="1">
        <v>1090.7002970672199</v>
      </c>
      <c r="I823" s="1">
        <v>436829.57862702903</v>
      </c>
      <c r="J823" s="1">
        <v>28944.8274218816</v>
      </c>
      <c r="K823" s="1"/>
      <c r="L823" s="1"/>
      <c r="M823" s="1"/>
      <c r="N823" s="1"/>
      <c r="O823" s="1"/>
      <c r="P823" s="1"/>
      <c r="Q823" s="1">
        <v>-91267.379479985393</v>
      </c>
      <c r="R823" s="1">
        <v>634847</v>
      </c>
      <c r="S823" t="s">
        <v>9</v>
      </c>
    </row>
    <row r="824" spans="1:19" x14ac:dyDescent="0.55000000000000004">
      <c r="A824" t="s">
        <v>23</v>
      </c>
      <c r="B824">
        <v>1993</v>
      </c>
      <c r="C824">
        <v>1804969</v>
      </c>
      <c r="D824" s="2">
        <v>173</v>
      </c>
      <c r="E824" s="3">
        <v>1805142</v>
      </c>
      <c r="F824" t="s">
        <v>12</v>
      </c>
      <c r="G824" t="s">
        <v>12</v>
      </c>
      <c r="H824" s="1">
        <v>10292.945442379199</v>
      </c>
      <c r="I824" s="1">
        <v>3588400.1992658302</v>
      </c>
      <c r="J824" s="1">
        <v>194212</v>
      </c>
      <c r="K824" s="1"/>
      <c r="L824" s="1"/>
      <c r="M824" s="1"/>
      <c r="N824" s="1"/>
      <c r="O824" s="1"/>
      <c r="P824" s="1"/>
      <c r="Q824" s="1">
        <v>1018225.26059914</v>
      </c>
      <c r="R824" s="1">
        <v>5598047</v>
      </c>
      <c r="S824" t="s">
        <v>9</v>
      </c>
    </row>
    <row r="825" spans="1:19" x14ac:dyDescent="0.55000000000000004">
      <c r="A825" t="s">
        <v>23</v>
      </c>
      <c r="B825">
        <v>1992</v>
      </c>
      <c r="C825">
        <v>19513</v>
      </c>
      <c r="D825" s="2">
        <v>4379</v>
      </c>
      <c r="E825" s="3">
        <v>23892</v>
      </c>
      <c r="F825" t="s">
        <v>12</v>
      </c>
      <c r="G825" t="s">
        <v>12</v>
      </c>
      <c r="H825" s="1">
        <v>1205.6876726452699</v>
      </c>
      <c r="I825" s="1">
        <v>237216.03208325701</v>
      </c>
      <c r="J825" s="1">
        <v>10614.920095518</v>
      </c>
      <c r="K825" s="1"/>
      <c r="L825" s="1"/>
      <c r="M825" s="1"/>
      <c r="N825" s="1"/>
      <c r="O825" s="1"/>
      <c r="P825" s="1"/>
      <c r="Q825" s="1">
        <v>-30066.280453404899</v>
      </c>
      <c r="R825" s="1">
        <v>302995</v>
      </c>
      <c r="S825" t="s">
        <v>9</v>
      </c>
    </row>
    <row r="826" spans="1:19" x14ac:dyDescent="0.55000000000000004">
      <c r="A826" t="s">
        <v>23</v>
      </c>
      <c r="B826">
        <v>1991</v>
      </c>
      <c r="C826">
        <v>76860</v>
      </c>
      <c r="D826" s="2">
        <v>462</v>
      </c>
      <c r="E826" s="3">
        <v>77322</v>
      </c>
      <c r="F826" t="s">
        <v>12</v>
      </c>
      <c r="G826" t="s">
        <v>12</v>
      </c>
      <c r="H826" s="1">
        <v>1272.0067692083601</v>
      </c>
      <c r="I826" s="1">
        <v>256988.553078684</v>
      </c>
      <c r="J826" s="1">
        <v>15513</v>
      </c>
      <c r="K826" s="1"/>
      <c r="L826" s="1"/>
      <c r="M826" s="1"/>
      <c r="N826" s="1"/>
      <c r="O826" s="1"/>
      <c r="P826" s="1"/>
      <c r="Q826" s="1">
        <v>-5040.0263933997303</v>
      </c>
      <c r="R826" s="1">
        <v>356136</v>
      </c>
      <c r="S826" t="s">
        <v>9</v>
      </c>
    </row>
    <row r="827" spans="1:19" x14ac:dyDescent="0.55000000000000004">
      <c r="A827" t="s">
        <v>23</v>
      </c>
      <c r="B827">
        <v>1990</v>
      </c>
      <c r="C827">
        <v>189079</v>
      </c>
      <c r="D827" s="2">
        <v>981</v>
      </c>
      <c r="E827" s="3">
        <v>190060</v>
      </c>
      <c r="F827" t="s">
        <v>12</v>
      </c>
      <c r="G827" t="s">
        <v>12</v>
      </c>
      <c r="H827" s="1">
        <v>8047.83208329837</v>
      </c>
      <c r="I827" s="1">
        <v>600691.58938756702</v>
      </c>
      <c r="J827" s="1">
        <v>29812</v>
      </c>
      <c r="K827" s="1"/>
      <c r="L827" s="1"/>
      <c r="M827" s="1"/>
      <c r="N827" s="1"/>
      <c r="O827" s="1"/>
      <c r="P827" s="1"/>
      <c r="Q827" s="1">
        <v>-16906.183156784999</v>
      </c>
      <c r="R827" s="1">
        <v>845518</v>
      </c>
      <c r="S827" t="s">
        <v>9</v>
      </c>
    </row>
    <row r="828" spans="1:19" x14ac:dyDescent="0.55000000000000004">
      <c r="A828" t="s">
        <v>23</v>
      </c>
      <c r="B828">
        <v>1989</v>
      </c>
      <c r="C828">
        <v>575697</v>
      </c>
      <c r="D828" s="2">
        <v>94</v>
      </c>
      <c r="E828" s="3">
        <v>575791</v>
      </c>
      <c r="F828" t="s">
        <v>12</v>
      </c>
      <c r="G828" t="s">
        <v>12</v>
      </c>
      <c r="H828" s="1">
        <v>34122.385014729698</v>
      </c>
      <c r="I828" s="1">
        <v>2791415.3103574701</v>
      </c>
      <c r="J828" s="1">
        <v>90640</v>
      </c>
      <c r="K828" s="1"/>
      <c r="L828" s="1"/>
      <c r="M828" s="1"/>
      <c r="N828" s="1"/>
      <c r="O828" s="1"/>
      <c r="P828" s="1"/>
      <c r="Q828" s="1">
        <v>7987.8581595394799</v>
      </c>
      <c r="R828" s="1">
        <v>3491969</v>
      </c>
      <c r="S828" t="s">
        <v>9</v>
      </c>
    </row>
    <row r="829" spans="1:19" x14ac:dyDescent="0.55000000000000004">
      <c r="A829" t="s">
        <v>23</v>
      </c>
      <c r="B829">
        <v>1988</v>
      </c>
      <c r="C829">
        <v>7117</v>
      </c>
      <c r="D829" s="2">
        <v>4342</v>
      </c>
      <c r="E829" s="3">
        <v>11459</v>
      </c>
      <c r="F829" t="s">
        <v>12</v>
      </c>
      <c r="G829" t="s">
        <v>12</v>
      </c>
      <c r="H829" s="1">
        <v>0</v>
      </c>
      <c r="I829" s="1">
        <v>8040.6676884540302</v>
      </c>
      <c r="J829" s="1">
        <v>3232</v>
      </c>
      <c r="K829" s="1"/>
      <c r="L829" s="1"/>
      <c r="M829" s="1"/>
      <c r="N829" s="1"/>
      <c r="O829" s="1"/>
      <c r="P829" s="1"/>
      <c r="Q829" s="1">
        <v>5800.00770197575</v>
      </c>
      <c r="R829" s="1">
        <v>22732</v>
      </c>
      <c r="S829" t="s">
        <v>9</v>
      </c>
    </row>
    <row r="830" spans="1:19" x14ac:dyDescent="0.55000000000000004">
      <c r="A830" t="s">
        <v>23</v>
      </c>
      <c r="B830">
        <v>1987</v>
      </c>
      <c r="C830">
        <v>6472</v>
      </c>
      <c r="D830" s="2">
        <v>52</v>
      </c>
      <c r="E830" s="3">
        <v>6524</v>
      </c>
      <c r="F830" t="s">
        <v>12</v>
      </c>
      <c r="G830" t="s">
        <v>12</v>
      </c>
      <c r="H830" s="1">
        <v>0</v>
      </c>
      <c r="I830" s="1">
        <v>8858.7950185361606</v>
      </c>
      <c r="J830" s="1">
        <v>5755</v>
      </c>
      <c r="K830" s="1"/>
      <c r="L830" s="1"/>
      <c r="M830" s="1"/>
      <c r="N830" s="1"/>
      <c r="O830" s="1"/>
      <c r="P830" s="1"/>
      <c r="Q830" s="1">
        <v>140.72275615459</v>
      </c>
      <c r="R830" s="1">
        <v>21138</v>
      </c>
      <c r="S830" t="s">
        <v>9</v>
      </c>
    </row>
    <row r="831" spans="1:19" x14ac:dyDescent="0.55000000000000004">
      <c r="A831" t="s">
        <v>23</v>
      </c>
      <c r="B831">
        <v>1986</v>
      </c>
      <c r="C831">
        <v>28715</v>
      </c>
      <c r="D831" s="2">
        <v>0</v>
      </c>
      <c r="E831" s="3">
        <v>28715</v>
      </c>
      <c r="F831" t="s">
        <v>12</v>
      </c>
      <c r="G831" t="s">
        <v>12</v>
      </c>
      <c r="H831" s="1">
        <v>0</v>
      </c>
      <c r="I831" s="1">
        <v>71859.950270596106</v>
      </c>
      <c r="J831" s="1">
        <v>10105.3845863311</v>
      </c>
      <c r="K831" s="1"/>
      <c r="L831" s="1"/>
      <c r="M831" s="1"/>
      <c r="N831" s="1"/>
      <c r="O831" s="1"/>
      <c r="P831" s="1"/>
      <c r="Q831" s="1">
        <v>-4893.8402905905396</v>
      </c>
      <c r="R831" s="1">
        <v>115574</v>
      </c>
      <c r="S831" t="s">
        <v>9</v>
      </c>
    </row>
    <row r="832" spans="1:19" x14ac:dyDescent="0.55000000000000004">
      <c r="A832" t="s">
        <v>23</v>
      </c>
      <c r="B832">
        <v>1985</v>
      </c>
      <c r="C832">
        <v>274621</v>
      </c>
      <c r="D832" s="2">
        <v>21</v>
      </c>
      <c r="E832" s="3">
        <v>274642</v>
      </c>
      <c r="F832" t="s">
        <v>12</v>
      </c>
      <c r="G832" t="s">
        <v>12</v>
      </c>
      <c r="H832" s="1">
        <v>188.38372641079999</v>
      </c>
      <c r="I832" s="1">
        <v>1607891.67357825</v>
      </c>
      <c r="J832" s="1">
        <v>53317.7931245949</v>
      </c>
      <c r="K832" s="1"/>
      <c r="L832" s="1"/>
      <c r="M832" s="1"/>
      <c r="N832" s="1"/>
      <c r="O832" s="1"/>
      <c r="P832" s="1"/>
      <c r="Q832" s="1">
        <v>49254.264219792502</v>
      </c>
      <c r="R832" s="1">
        <v>1936040</v>
      </c>
      <c r="S832" t="s">
        <v>9</v>
      </c>
    </row>
    <row r="833" spans="1:19" x14ac:dyDescent="0.55000000000000004">
      <c r="A833" t="s">
        <v>23</v>
      </c>
      <c r="B833">
        <v>1984</v>
      </c>
      <c r="C833">
        <v>1228</v>
      </c>
      <c r="D833" s="2">
        <v>0</v>
      </c>
      <c r="E833" s="3">
        <v>1228</v>
      </c>
      <c r="F833" t="s">
        <v>12</v>
      </c>
      <c r="G833" t="s">
        <v>12</v>
      </c>
      <c r="H833" s="1">
        <v>0</v>
      </c>
      <c r="I833" s="1">
        <v>19163.3130742994</v>
      </c>
      <c r="J833" s="1">
        <v>1375.1125097486899</v>
      </c>
      <c r="K833" s="1"/>
      <c r="L833" s="1"/>
      <c r="M833" s="1"/>
      <c r="N833" s="1"/>
      <c r="O833" s="1"/>
      <c r="P833" s="1"/>
      <c r="Q833" s="1">
        <v>-2780.6563821004002</v>
      </c>
      <c r="R833" s="1">
        <v>24547</v>
      </c>
      <c r="S833" t="s">
        <v>9</v>
      </c>
    </row>
    <row r="834" spans="1:19" x14ac:dyDescent="0.55000000000000004">
      <c r="A834" t="s">
        <v>23</v>
      </c>
      <c r="B834">
        <v>1983</v>
      </c>
      <c r="C834">
        <v>2246</v>
      </c>
      <c r="D834" s="2">
        <v>0</v>
      </c>
      <c r="E834" s="3">
        <v>2246</v>
      </c>
      <c r="F834" t="s">
        <v>12</v>
      </c>
      <c r="G834" t="s">
        <v>12</v>
      </c>
      <c r="H834" s="1">
        <v>897.49739240585802</v>
      </c>
      <c r="I834" s="1">
        <v>4773.4263368521397</v>
      </c>
      <c r="J834" s="1">
        <v>2163.34709861798</v>
      </c>
      <c r="K834" s="1"/>
      <c r="L834" s="1"/>
      <c r="M834" s="1"/>
      <c r="N834" s="1"/>
      <c r="O834" s="1"/>
      <c r="P834" s="1"/>
      <c r="Q834" s="1">
        <v>2404.84762084248</v>
      </c>
      <c r="R834" s="1">
        <v>10080</v>
      </c>
      <c r="S834" t="s">
        <v>9</v>
      </c>
    </row>
    <row r="835" spans="1:19" x14ac:dyDescent="0.55000000000000004">
      <c r="A835" t="s">
        <v>23</v>
      </c>
      <c r="B835">
        <v>1982</v>
      </c>
      <c r="C835">
        <v>16758</v>
      </c>
      <c r="D835" s="2">
        <v>0</v>
      </c>
      <c r="E835" s="3">
        <v>16758</v>
      </c>
      <c r="F835" t="s">
        <v>12</v>
      </c>
      <c r="G835" t="s">
        <v>12</v>
      </c>
      <c r="H835" s="1"/>
      <c r="I835" s="1">
        <v>65215.070689756401</v>
      </c>
      <c r="J835" s="1">
        <v>11483.7876895832</v>
      </c>
      <c r="K835" s="1"/>
      <c r="L835" s="1"/>
      <c r="M835" s="1"/>
      <c r="N835" s="1"/>
      <c r="O835" s="1"/>
      <c r="P835" s="1"/>
      <c r="Q835" s="1">
        <v>3403.74841412966</v>
      </c>
      <c r="R835" s="1">
        <v>93457</v>
      </c>
      <c r="S835" t="s">
        <v>9</v>
      </c>
    </row>
    <row r="836" spans="1:19" x14ac:dyDescent="0.55000000000000004">
      <c r="A836" t="s">
        <v>23</v>
      </c>
      <c r="B836">
        <v>1981</v>
      </c>
      <c r="C836">
        <v>249494</v>
      </c>
      <c r="D836" s="2">
        <v>205</v>
      </c>
      <c r="E836" s="3">
        <v>249699</v>
      </c>
      <c r="F836" t="s">
        <v>12</v>
      </c>
      <c r="G836" t="s">
        <v>12</v>
      </c>
      <c r="H836" s="1"/>
      <c r="I836" s="1">
        <v>982155.279919405</v>
      </c>
      <c r="J836" s="1">
        <v>63914.949666366701</v>
      </c>
      <c r="K836" s="1"/>
      <c r="L836" s="1"/>
      <c r="M836" s="1"/>
      <c r="N836" s="1"/>
      <c r="O836" s="1"/>
      <c r="P836" s="1"/>
      <c r="Q836" s="1">
        <v>-57530.246361056801</v>
      </c>
      <c r="R836" s="1">
        <v>1353299</v>
      </c>
      <c r="S836" t="s">
        <v>9</v>
      </c>
    </row>
    <row r="837" spans="1:19" x14ac:dyDescent="0.55000000000000004">
      <c r="A837" t="s">
        <v>23</v>
      </c>
      <c r="B837">
        <v>1980</v>
      </c>
      <c r="C837">
        <v>946</v>
      </c>
      <c r="D837" s="2">
        <v>33</v>
      </c>
      <c r="E837" s="3">
        <v>979</v>
      </c>
      <c r="F837" t="s">
        <v>12</v>
      </c>
      <c r="G837" t="s">
        <v>12</v>
      </c>
      <c r="H837" s="1"/>
      <c r="I837" s="1">
        <v>3038.7674726331102</v>
      </c>
      <c r="J837" s="1">
        <v>536.38351838661504</v>
      </c>
      <c r="K837" s="1"/>
      <c r="L837" s="1"/>
      <c r="M837" s="1"/>
      <c r="N837" s="1"/>
      <c r="O837" s="1"/>
      <c r="P837" s="1"/>
      <c r="Q837" s="1">
        <v>-72.619795114652902</v>
      </c>
      <c r="R837" s="1">
        <v>4627</v>
      </c>
      <c r="S837" t="s">
        <v>9</v>
      </c>
    </row>
    <row r="838" spans="1:19" x14ac:dyDescent="0.55000000000000004">
      <c r="A838" t="s">
        <v>23</v>
      </c>
      <c r="B838">
        <v>1979</v>
      </c>
      <c r="C838">
        <v>31918</v>
      </c>
      <c r="D838" s="2">
        <v>0</v>
      </c>
      <c r="E838" s="3">
        <v>31918</v>
      </c>
      <c r="F838" t="s">
        <v>12</v>
      </c>
      <c r="G838" t="s">
        <v>12</v>
      </c>
      <c r="H838" s="1"/>
      <c r="I838" s="1">
        <v>174793.63950660499</v>
      </c>
      <c r="J838" s="1">
        <v>7105.2857194637199</v>
      </c>
      <c r="K838" s="1"/>
      <c r="L838" s="1"/>
      <c r="M838" s="1"/>
      <c r="N838" s="1"/>
      <c r="O838" s="1"/>
      <c r="P838" s="1"/>
      <c r="Q838" s="1">
        <v>12341.097516837401</v>
      </c>
      <c r="R838" s="1">
        <v>213817</v>
      </c>
      <c r="S838" t="s">
        <v>9</v>
      </c>
    </row>
    <row r="839" spans="1:19" x14ac:dyDescent="0.55000000000000004">
      <c r="A839" t="s">
        <v>23</v>
      </c>
      <c r="B839">
        <v>1978</v>
      </c>
      <c r="C839">
        <v>12738</v>
      </c>
      <c r="D839" s="2">
        <v>289</v>
      </c>
      <c r="E839" s="3">
        <v>13027</v>
      </c>
      <c r="F839" t="s">
        <v>12</v>
      </c>
      <c r="G839" t="s">
        <v>12</v>
      </c>
      <c r="H839" s="1"/>
      <c r="I839" s="1">
        <v>39380.623862080902</v>
      </c>
      <c r="J839" s="1">
        <v>3822.74483966959</v>
      </c>
      <c r="K839" s="1"/>
      <c r="L839" s="1"/>
      <c r="M839" s="1"/>
      <c r="N839" s="1"/>
      <c r="O839" s="1"/>
      <c r="P839" s="1"/>
      <c r="Q839" s="1">
        <v>-1174.7325661125501</v>
      </c>
      <c r="R839" s="1">
        <v>57405</v>
      </c>
      <c r="S839" t="s">
        <v>9</v>
      </c>
    </row>
    <row r="840" spans="1:19" x14ac:dyDescent="0.55000000000000004">
      <c r="A840" t="s">
        <v>23</v>
      </c>
      <c r="B840">
        <v>1977</v>
      </c>
      <c r="C840">
        <v>146459</v>
      </c>
      <c r="D840" s="2">
        <v>170</v>
      </c>
      <c r="E840" s="3">
        <v>146629</v>
      </c>
      <c r="F840" t="s">
        <v>12</v>
      </c>
      <c r="G840" t="s">
        <v>12</v>
      </c>
      <c r="H840" s="1"/>
      <c r="I840" s="1">
        <v>500113.90123114502</v>
      </c>
      <c r="J840" s="1">
        <v>19304.285887453501</v>
      </c>
      <c r="K840" s="1"/>
      <c r="L840" s="1"/>
      <c r="M840" s="1"/>
      <c r="N840" s="1"/>
      <c r="O840" s="1"/>
      <c r="P840" s="1"/>
      <c r="Q840" s="1">
        <v>-22922.644708011201</v>
      </c>
      <c r="R840" s="1">
        <v>688970</v>
      </c>
      <c r="S840" t="s">
        <v>9</v>
      </c>
    </row>
    <row r="841" spans="1:19" x14ac:dyDescent="0.55000000000000004">
      <c r="A841" t="s">
        <v>23</v>
      </c>
      <c r="B841">
        <v>1976</v>
      </c>
      <c r="C841">
        <v>2898</v>
      </c>
      <c r="D841" s="2">
        <v>102</v>
      </c>
      <c r="E841" s="3">
        <v>3000</v>
      </c>
      <c r="F841" t="s">
        <v>12</v>
      </c>
      <c r="G841" t="s">
        <v>12</v>
      </c>
      <c r="H841" s="1"/>
      <c r="I841" s="1">
        <v>11936</v>
      </c>
      <c r="J841" s="1">
        <v>1534</v>
      </c>
      <c r="K841" s="1"/>
      <c r="L841" s="1"/>
      <c r="M841" s="1"/>
      <c r="N841" s="1"/>
      <c r="O841" s="1"/>
      <c r="P841" s="1"/>
      <c r="Q841" s="1"/>
      <c r="R841" s="1">
        <v>16470</v>
      </c>
      <c r="S841" t="s">
        <v>12</v>
      </c>
    </row>
    <row r="842" spans="1:19" x14ac:dyDescent="0.55000000000000004">
      <c r="A842" t="s">
        <v>23</v>
      </c>
      <c r="B842">
        <v>1975</v>
      </c>
      <c r="C842">
        <v>14229</v>
      </c>
      <c r="D842" s="2">
        <v>0</v>
      </c>
      <c r="E842" s="3">
        <v>14229</v>
      </c>
      <c r="F842" t="s">
        <v>12</v>
      </c>
      <c r="G842" t="s">
        <v>12</v>
      </c>
      <c r="H842" s="1"/>
      <c r="I842" s="1">
        <v>44446</v>
      </c>
      <c r="J842" s="1">
        <v>6852</v>
      </c>
      <c r="K842" s="1"/>
      <c r="L842" s="1"/>
      <c r="M842" s="1"/>
      <c r="N842" s="1"/>
      <c r="O842" s="1"/>
      <c r="P842" s="1"/>
      <c r="Q842" s="1"/>
      <c r="R842" s="1">
        <v>65527</v>
      </c>
      <c r="S842" t="s">
        <v>11</v>
      </c>
    </row>
    <row r="843" spans="1:19" x14ac:dyDescent="0.55000000000000004">
      <c r="A843" t="s">
        <v>23</v>
      </c>
      <c r="B843">
        <v>1974</v>
      </c>
      <c r="C843">
        <v>14190</v>
      </c>
      <c r="D843" s="2">
        <v>437</v>
      </c>
      <c r="E843" s="3">
        <v>14627</v>
      </c>
      <c r="F843" t="s">
        <v>12</v>
      </c>
      <c r="G843" t="s">
        <v>12</v>
      </c>
      <c r="H843" s="1"/>
      <c r="I843" s="1">
        <v>68819</v>
      </c>
      <c r="J843" s="1">
        <v>8205</v>
      </c>
      <c r="K843" s="1"/>
      <c r="L843" s="1"/>
      <c r="M843" s="1"/>
      <c r="N843" s="1"/>
      <c r="O843" s="1"/>
      <c r="P843" s="1"/>
      <c r="Q843" s="1"/>
      <c r="R843" s="1">
        <v>91651</v>
      </c>
      <c r="S843" t="s">
        <v>12</v>
      </c>
    </row>
    <row r="844" spans="1:19" x14ac:dyDescent="0.55000000000000004">
      <c r="A844" t="s">
        <v>23</v>
      </c>
      <c r="B844">
        <v>1973</v>
      </c>
      <c r="C844">
        <v>214230</v>
      </c>
      <c r="D844" s="2">
        <v>113</v>
      </c>
      <c r="E844" s="3">
        <v>214343</v>
      </c>
      <c r="F844" t="s">
        <v>12</v>
      </c>
      <c r="G844" t="s">
        <v>12</v>
      </c>
      <c r="H844" s="1"/>
      <c r="I844" s="1">
        <v>1359283</v>
      </c>
      <c r="J844" s="1">
        <v>33544</v>
      </c>
      <c r="K844" s="1"/>
      <c r="L844" s="1"/>
      <c r="M844" s="1"/>
      <c r="N844" s="1"/>
      <c r="O844" s="1"/>
      <c r="P844" s="1"/>
      <c r="Q844" s="1"/>
      <c r="R844" s="1">
        <v>1607170</v>
      </c>
      <c r="S844" t="s">
        <v>12</v>
      </c>
    </row>
    <row r="845" spans="1:19" x14ac:dyDescent="0.55000000000000004">
      <c r="A845" t="s">
        <v>23</v>
      </c>
      <c r="B845">
        <v>1972</v>
      </c>
      <c r="C845">
        <v>7341</v>
      </c>
      <c r="D845" s="2">
        <v>1363</v>
      </c>
      <c r="E845" s="3">
        <v>8704</v>
      </c>
      <c r="F845" t="s">
        <v>12</v>
      </c>
      <c r="G845" t="s">
        <v>12</v>
      </c>
      <c r="H845" s="1"/>
      <c r="I845" s="1">
        <v>27472</v>
      </c>
      <c r="J845" s="1">
        <v>4011</v>
      </c>
      <c r="K845" s="1"/>
      <c r="L845" s="1"/>
      <c r="M845" s="1"/>
      <c r="N845" s="1"/>
      <c r="O845" s="1"/>
      <c r="P845" s="1"/>
      <c r="Q845" s="1"/>
      <c r="R845" s="1">
        <v>40187</v>
      </c>
      <c r="S845" t="s">
        <v>12</v>
      </c>
    </row>
    <row r="846" spans="1:19" x14ac:dyDescent="0.55000000000000004">
      <c r="A846" t="s">
        <v>23</v>
      </c>
      <c r="B846">
        <v>1971</v>
      </c>
      <c r="C846">
        <v>1535</v>
      </c>
      <c r="D846" s="2">
        <v>0</v>
      </c>
      <c r="E846" s="3">
        <v>1535</v>
      </c>
      <c r="F846" t="s">
        <v>12</v>
      </c>
      <c r="G846" t="s">
        <v>12</v>
      </c>
      <c r="H846" s="1"/>
      <c r="I846" s="1">
        <v>6138</v>
      </c>
      <c r="J846" s="1">
        <v>472</v>
      </c>
      <c r="K846" s="1"/>
      <c r="L846" s="1"/>
      <c r="M846" s="1"/>
      <c r="N846" s="1"/>
      <c r="O846" s="1"/>
      <c r="P846" s="1"/>
      <c r="Q846" s="1"/>
      <c r="R846" s="1">
        <v>8145</v>
      </c>
      <c r="S846" t="s">
        <v>12</v>
      </c>
    </row>
    <row r="847" spans="1:19" x14ac:dyDescent="0.55000000000000004">
      <c r="A847" t="s">
        <v>23</v>
      </c>
      <c r="B847">
        <v>1970</v>
      </c>
      <c r="C847">
        <v>14978</v>
      </c>
      <c r="D847" s="2">
        <v>77</v>
      </c>
      <c r="E847" s="3">
        <v>15055</v>
      </c>
      <c r="F847" t="s">
        <v>12</v>
      </c>
      <c r="G847" t="s">
        <v>12</v>
      </c>
      <c r="H847" s="1"/>
      <c r="I847" s="1">
        <v>76204.000000000102</v>
      </c>
      <c r="J847" s="1">
        <v>2762</v>
      </c>
      <c r="K847" s="1"/>
      <c r="L847" s="1"/>
      <c r="M847" s="1"/>
      <c r="N847" s="1"/>
      <c r="O847" s="1"/>
      <c r="P847" s="1"/>
      <c r="Q847" s="1"/>
      <c r="R847" s="1">
        <v>94021</v>
      </c>
      <c r="S847" t="s">
        <v>12</v>
      </c>
    </row>
    <row r="848" spans="1:19" x14ac:dyDescent="0.55000000000000004">
      <c r="A848" t="s">
        <v>23</v>
      </c>
      <c r="B848">
        <v>1969</v>
      </c>
      <c r="C848">
        <v>207014</v>
      </c>
      <c r="D848" s="2">
        <v>43</v>
      </c>
      <c r="E848" s="3">
        <v>207057</v>
      </c>
      <c r="F848" t="s">
        <v>12</v>
      </c>
      <c r="G848" t="s">
        <v>12</v>
      </c>
      <c r="H848" s="1"/>
      <c r="I848" s="1">
        <v>859005</v>
      </c>
      <c r="J848" s="1">
        <v>37895</v>
      </c>
      <c r="K848" s="1"/>
      <c r="L848" s="1"/>
      <c r="M848" s="1"/>
      <c r="N848" s="1"/>
      <c r="O848" s="1"/>
      <c r="P848" s="1"/>
      <c r="Q848" s="1"/>
      <c r="R848" s="1">
        <v>1103957</v>
      </c>
      <c r="S848" t="s">
        <v>12</v>
      </c>
    </row>
    <row r="849" spans="1:19" x14ac:dyDescent="0.55000000000000004">
      <c r="A849" t="s">
        <v>23</v>
      </c>
      <c r="B849">
        <v>1968</v>
      </c>
      <c r="C849">
        <v>389</v>
      </c>
      <c r="D849" s="2">
        <v>81</v>
      </c>
      <c r="E849" s="3">
        <v>470</v>
      </c>
      <c r="F849" t="s">
        <v>12</v>
      </c>
      <c r="G849" t="s">
        <v>12</v>
      </c>
      <c r="H849" s="1"/>
      <c r="I849" s="1">
        <v>1556.7391435171901</v>
      </c>
      <c r="J849" s="1">
        <v>135</v>
      </c>
      <c r="K849" s="1"/>
      <c r="L849" s="1"/>
      <c r="M849" s="1"/>
      <c r="N849" s="1"/>
      <c r="O849" s="1"/>
      <c r="P849" s="1"/>
      <c r="Q849" s="1"/>
      <c r="R849" s="1">
        <v>2162</v>
      </c>
      <c r="S849" t="s">
        <v>12</v>
      </c>
    </row>
    <row r="850" spans="1:19" x14ac:dyDescent="0.55000000000000004">
      <c r="A850" t="s">
        <v>23</v>
      </c>
      <c r="B850">
        <v>1967</v>
      </c>
      <c r="C850">
        <v>1629</v>
      </c>
      <c r="D850" s="2">
        <v>13</v>
      </c>
      <c r="E850" s="3">
        <v>1642</v>
      </c>
      <c r="F850" t="s">
        <v>12</v>
      </c>
      <c r="G850" t="s">
        <v>12</v>
      </c>
      <c r="H850" s="1"/>
      <c r="I850" s="1">
        <v>11951.2544365061</v>
      </c>
      <c r="J850" s="1">
        <v>295</v>
      </c>
      <c r="K850" s="1"/>
      <c r="L850" s="1"/>
      <c r="M850" s="1"/>
      <c r="N850" s="1"/>
      <c r="O850" s="1"/>
      <c r="P850" s="1"/>
      <c r="Q850" s="1"/>
      <c r="R850" s="1">
        <v>13888</v>
      </c>
      <c r="S850" t="s">
        <v>12</v>
      </c>
    </row>
    <row r="851" spans="1:19" x14ac:dyDescent="0.55000000000000004">
      <c r="A851" t="s">
        <v>23</v>
      </c>
      <c r="B851">
        <v>1966</v>
      </c>
      <c r="C851">
        <v>9027</v>
      </c>
      <c r="D851" s="2">
        <v>5</v>
      </c>
      <c r="E851" s="3">
        <v>9032</v>
      </c>
      <c r="F851" t="s">
        <v>12</v>
      </c>
      <c r="G851" t="s">
        <v>12</v>
      </c>
      <c r="H851" s="1"/>
      <c r="I851" s="1">
        <v>40786</v>
      </c>
      <c r="J851" s="1">
        <v>1264</v>
      </c>
      <c r="K851" s="1"/>
      <c r="L851" s="1"/>
      <c r="M851" s="1"/>
      <c r="N851" s="1"/>
      <c r="O851" s="1"/>
      <c r="P851" s="1"/>
      <c r="Q851" s="1"/>
      <c r="R851" s="1">
        <v>51082</v>
      </c>
      <c r="S851" t="s">
        <v>12</v>
      </c>
    </row>
    <row r="852" spans="1:19" x14ac:dyDescent="0.55000000000000004">
      <c r="A852" t="s">
        <v>23</v>
      </c>
      <c r="B852">
        <v>1965</v>
      </c>
      <c r="C852">
        <v>214943</v>
      </c>
      <c r="D852" s="2">
        <v>15</v>
      </c>
      <c r="E852" s="3">
        <v>214958</v>
      </c>
      <c r="F852" t="s">
        <v>12</v>
      </c>
      <c r="G852" t="s">
        <v>12</v>
      </c>
      <c r="H852" s="1"/>
      <c r="I852" s="1">
        <v>525558</v>
      </c>
      <c r="J852" s="1">
        <v>32846</v>
      </c>
      <c r="K852" s="1"/>
      <c r="L852" s="1"/>
      <c r="M852" s="1"/>
      <c r="N852" s="1"/>
      <c r="O852" s="1"/>
      <c r="P852" s="1"/>
      <c r="Q852" s="1"/>
      <c r="R852" s="1">
        <v>773362</v>
      </c>
      <c r="S852" t="s">
        <v>12</v>
      </c>
    </row>
    <row r="853" spans="1:19" x14ac:dyDescent="0.55000000000000004">
      <c r="A853" t="s">
        <v>23</v>
      </c>
      <c r="B853">
        <v>1964</v>
      </c>
      <c r="C853">
        <v>1816</v>
      </c>
      <c r="D853" s="2">
        <v>84</v>
      </c>
      <c r="E853" s="3">
        <v>1900</v>
      </c>
      <c r="F853" t="s">
        <v>12</v>
      </c>
      <c r="G853" t="s">
        <v>12</v>
      </c>
      <c r="H853" s="1"/>
      <c r="I853" s="1">
        <v>6413.35149073706</v>
      </c>
      <c r="J853" s="1">
        <v>933</v>
      </c>
      <c r="K853" s="1"/>
      <c r="L853" s="1"/>
      <c r="M853" s="1"/>
      <c r="N853" s="1"/>
      <c r="O853" s="1"/>
      <c r="P853" s="1"/>
      <c r="Q853" s="1"/>
      <c r="R853" s="1">
        <v>9246</v>
      </c>
      <c r="S853" t="s">
        <v>11</v>
      </c>
    </row>
    <row r="854" spans="1:19" x14ac:dyDescent="0.55000000000000004">
      <c r="A854" t="s">
        <v>23</v>
      </c>
      <c r="B854">
        <v>1963</v>
      </c>
      <c r="C854">
        <v>3222</v>
      </c>
      <c r="D854" s="2">
        <v>15</v>
      </c>
      <c r="E854" s="3">
        <v>3237</v>
      </c>
      <c r="F854" t="s">
        <v>12</v>
      </c>
      <c r="G854" t="s">
        <v>12</v>
      </c>
      <c r="H854" s="1"/>
      <c r="I854" s="1">
        <v>3430.69668141593</v>
      </c>
      <c r="J854" s="1">
        <v>411</v>
      </c>
      <c r="K854" s="1"/>
      <c r="L854" s="1"/>
      <c r="M854" s="1"/>
      <c r="N854" s="1"/>
      <c r="O854" s="1"/>
      <c r="P854" s="1"/>
      <c r="Q854" s="1"/>
      <c r="R854" s="1">
        <v>7079</v>
      </c>
      <c r="S854" t="s">
        <v>12</v>
      </c>
    </row>
    <row r="855" spans="1:19" x14ac:dyDescent="0.55000000000000004">
      <c r="A855" t="s">
        <v>23</v>
      </c>
      <c r="B855">
        <v>1962</v>
      </c>
      <c r="C855">
        <v>18643</v>
      </c>
      <c r="D855" s="2">
        <v>46</v>
      </c>
      <c r="E855" s="3">
        <v>18689</v>
      </c>
      <c r="F855" t="s">
        <v>12</v>
      </c>
      <c r="G855" t="s">
        <v>12</v>
      </c>
      <c r="H855" s="1"/>
      <c r="I855" s="1">
        <v>31570</v>
      </c>
      <c r="J855" s="1">
        <v>4768</v>
      </c>
      <c r="K855" s="1"/>
      <c r="L855" s="1"/>
      <c r="M855" s="1"/>
      <c r="N855" s="1"/>
      <c r="O855" s="1"/>
      <c r="P855" s="1"/>
      <c r="Q855" s="1"/>
      <c r="R855" s="1">
        <v>55027</v>
      </c>
      <c r="S855" t="s">
        <v>12</v>
      </c>
    </row>
    <row r="856" spans="1:19" x14ac:dyDescent="0.55000000000000004">
      <c r="A856" t="s">
        <v>23</v>
      </c>
      <c r="B856">
        <v>1961</v>
      </c>
      <c r="C856">
        <v>410887</v>
      </c>
      <c r="D856" s="2">
        <v>218</v>
      </c>
      <c r="E856" s="3">
        <v>411105</v>
      </c>
      <c r="F856" t="s">
        <v>12</v>
      </c>
      <c r="G856" t="s">
        <v>12</v>
      </c>
      <c r="H856" s="1"/>
      <c r="I856" s="1">
        <v>749907</v>
      </c>
      <c r="J856" s="1">
        <v>44877</v>
      </c>
      <c r="K856" s="1"/>
      <c r="L856" s="1"/>
      <c r="M856" s="1"/>
      <c r="N856" s="1"/>
      <c r="O856" s="1"/>
      <c r="P856" s="1"/>
      <c r="Q856" s="1"/>
      <c r="R856" s="1">
        <v>1205889</v>
      </c>
      <c r="S856" t="s">
        <v>12</v>
      </c>
    </row>
    <row r="857" spans="1:19" x14ac:dyDescent="0.55000000000000004">
      <c r="A857" t="s">
        <v>23</v>
      </c>
      <c r="B857">
        <v>1960</v>
      </c>
      <c r="C857">
        <v>2396</v>
      </c>
      <c r="D857" s="2">
        <v>565</v>
      </c>
      <c r="E857" s="3">
        <v>2961</v>
      </c>
      <c r="F857" t="s">
        <v>12</v>
      </c>
      <c r="G857" t="s">
        <v>12</v>
      </c>
      <c r="H857" s="1"/>
      <c r="I857" s="1">
        <v>11112</v>
      </c>
      <c r="J857" s="1">
        <v>389</v>
      </c>
      <c r="K857" s="1"/>
      <c r="L857" s="1"/>
      <c r="M857" s="1"/>
      <c r="N857" s="1"/>
      <c r="O857" s="1"/>
      <c r="P857" s="1"/>
      <c r="Q857" s="1"/>
      <c r="R857" s="1">
        <v>14462</v>
      </c>
      <c r="S857" t="s">
        <v>11</v>
      </c>
    </row>
    <row r="858" spans="1:19" x14ac:dyDescent="0.55000000000000004">
      <c r="A858" t="s">
        <v>23</v>
      </c>
      <c r="B858">
        <v>1959</v>
      </c>
      <c r="C858">
        <v>8225</v>
      </c>
      <c r="D858" s="2">
        <v>0</v>
      </c>
      <c r="E858" s="3">
        <v>8225</v>
      </c>
      <c r="F858" t="s">
        <v>12</v>
      </c>
      <c r="G858" t="s">
        <v>12</v>
      </c>
      <c r="H858" s="1"/>
      <c r="I858" s="1">
        <v>39717</v>
      </c>
      <c r="J858" s="1">
        <v>463</v>
      </c>
      <c r="K858" s="1"/>
      <c r="L858" s="1"/>
      <c r="M858" s="1"/>
      <c r="N858" s="1"/>
      <c r="O858" s="1"/>
      <c r="P858" s="1"/>
      <c r="Q858" s="1"/>
      <c r="R858" s="1">
        <v>48405</v>
      </c>
      <c r="S858" t="s">
        <v>12</v>
      </c>
    </row>
    <row r="859" spans="1:19" x14ac:dyDescent="0.55000000000000004">
      <c r="A859" t="s">
        <v>23</v>
      </c>
      <c r="B859">
        <v>1958</v>
      </c>
      <c r="C859">
        <v>23619</v>
      </c>
      <c r="D859" s="2">
        <v>19</v>
      </c>
      <c r="E859" s="3">
        <v>23638</v>
      </c>
      <c r="F859" t="s">
        <v>12</v>
      </c>
      <c r="G859" t="s">
        <v>12</v>
      </c>
      <c r="H859" s="1"/>
      <c r="I859" s="1">
        <v>109671.719725584</v>
      </c>
      <c r="J859" s="1">
        <v>3195.94943343868</v>
      </c>
      <c r="K859" s="1"/>
      <c r="L859" s="1"/>
      <c r="M859" s="1"/>
      <c r="N859" s="1"/>
      <c r="O859" s="1"/>
      <c r="P859" s="1"/>
      <c r="Q859" s="1"/>
      <c r="R859" s="1">
        <v>136506</v>
      </c>
      <c r="S859" t="s">
        <v>12</v>
      </c>
    </row>
    <row r="860" spans="1:19" x14ac:dyDescent="0.55000000000000004">
      <c r="A860" t="s">
        <v>23</v>
      </c>
      <c r="B860">
        <v>1957</v>
      </c>
      <c r="C860">
        <v>531108</v>
      </c>
      <c r="D860" s="2">
        <v>22</v>
      </c>
      <c r="E860" s="3">
        <v>531130</v>
      </c>
      <c r="F860" t="s">
        <v>12</v>
      </c>
      <c r="G860" t="s">
        <v>12</v>
      </c>
      <c r="H860" s="1"/>
      <c r="I860" s="1">
        <v>828831</v>
      </c>
      <c r="J860" s="1">
        <v>22544</v>
      </c>
      <c r="K860" s="1"/>
      <c r="L860" s="1"/>
      <c r="M860" s="1"/>
      <c r="N860" s="1"/>
      <c r="O860" s="1"/>
      <c r="P860" s="1"/>
      <c r="Q860" s="1"/>
      <c r="R860" s="1">
        <v>1382505</v>
      </c>
      <c r="S860" t="s">
        <v>12</v>
      </c>
    </row>
    <row r="861" spans="1:19" x14ac:dyDescent="0.55000000000000004">
      <c r="A861" t="s">
        <v>23</v>
      </c>
      <c r="B861">
        <v>1956</v>
      </c>
      <c r="C861">
        <v>913</v>
      </c>
      <c r="D861" s="2">
        <v>541</v>
      </c>
      <c r="E861" s="3">
        <v>1454</v>
      </c>
      <c r="F861" t="s">
        <v>12</v>
      </c>
      <c r="G861" t="s">
        <v>12</v>
      </c>
      <c r="H861" s="1"/>
      <c r="I861" s="1">
        <v>9039.9999999999909</v>
      </c>
      <c r="J861" s="1">
        <v>1020</v>
      </c>
      <c r="K861" s="1"/>
      <c r="L861" s="1"/>
      <c r="M861" s="1"/>
      <c r="N861" s="1"/>
      <c r="O861" s="1"/>
      <c r="P861" s="1"/>
      <c r="Q861" s="1"/>
      <c r="R861" s="1">
        <v>11514</v>
      </c>
      <c r="S861" t="s">
        <v>12</v>
      </c>
    </row>
    <row r="862" spans="1:19" x14ac:dyDescent="0.55000000000000004">
      <c r="A862" t="s">
        <v>23</v>
      </c>
      <c r="B862">
        <v>1955</v>
      </c>
      <c r="C862">
        <v>7582</v>
      </c>
      <c r="D862" s="2">
        <v>36</v>
      </c>
      <c r="E862" s="3">
        <v>7618</v>
      </c>
      <c r="F862" t="s">
        <v>12</v>
      </c>
      <c r="G862" t="s">
        <v>12</v>
      </c>
      <c r="H862" s="1"/>
      <c r="I862" s="1">
        <v>45281</v>
      </c>
      <c r="J862" s="1">
        <v>2415</v>
      </c>
      <c r="K862" s="1"/>
      <c r="L862" s="1"/>
      <c r="M862" s="1"/>
      <c r="N862" s="1"/>
      <c r="O862" s="1"/>
      <c r="P862" s="1"/>
      <c r="Q862" s="1"/>
      <c r="R862" s="1">
        <v>55314</v>
      </c>
      <c r="S862" t="s">
        <v>11</v>
      </c>
    </row>
    <row r="863" spans="1:19" x14ac:dyDescent="0.55000000000000004">
      <c r="A863" t="s">
        <v>23</v>
      </c>
      <c r="B863">
        <v>1954</v>
      </c>
      <c r="C863">
        <v>5470</v>
      </c>
      <c r="D863" s="2">
        <v>0</v>
      </c>
      <c r="E863" s="3">
        <v>5470</v>
      </c>
      <c r="F863" t="s">
        <v>12</v>
      </c>
      <c r="G863" t="s">
        <v>12</v>
      </c>
      <c r="H863" s="1"/>
      <c r="I863" s="1">
        <v>30189.772924250301</v>
      </c>
      <c r="J863" s="1">
        <v>782.24128965158695</v>
      </c>
      <c r="K863" s="1"/>
      <c r="L863" s="1"/>
      <c r="M863" s="1"/>
      <c r="N863" s="1"/>
      <c r="O863" s="1"/>
      <c r="P863" s="1"/>
      <c r="Q863" s="1"/>
      <c r="R863" s="1">
        <v>36442</v>
      </c>
      <c r="S863" t="s">
        <v>12</v>
      </c>
    </row>
    <row r="864" spans="1:19" x14ac:dyDescent="0.55000000000000004">
      <c r="A864" t="s">
        <v>23</v>
      </c>
      <c r="B864">
        <v>1953</v>
      </c>
      <c r="C864">
        <v>368634</v>
      </c>
      <c r="D864" s="2">
        <v>389</v>
      </c>
      <c r="E864" s="3">
        <v>369023</v>
      </c>
      <c r="F864" t="s">
        <v>12</v>
      </c>
      <c r="G864" t="s">
        <v>12</v>
      </c>
      <c r="H864" s="1"/>
      <c r="I864" s="1">
        <v>1048400</v>
      </c>
      <c r="J864" s="1">
        <v>24207</v>
      </c>
      <c r="K864" s="1"/>
      <c r="L864" s="1"/>
      <c r="M864" s="1"/>
      <c r="N864" s="1"/>
      <c r="O864" s="1"/>
      <c r="P864" s="1"/>
      <c r="Q864" s="1"/>
      <c r="R864" s="1">
        <v>1441630</v>
      </c>
      <c r="S864" t="s">
        <v>12</v>
      </c>
    </row>
    <row r="865" spans="1:19" x14ac:dyDescent="0.55000000000000004">
      <c r="A865" t="s">
        <v>23</v>
      </c>
      <c r="B865">
        <v>1952</v>
      </c>
      <c r="C865">
        <v>35</v>
      </c>
      <c r="D865" s="2">
        <v>1940</v>
      </c>
      <c r="E865" s="3">
        <v>1975</v>
      </c>
      <c r="F865" t="s">
        <v>12</v>
      </c>
      <c r="G865" t="s">
        <v>12</v>
      </c>
      <c r="H865" s="1"/>
      <c r="I865" s="1">
        <v>1300</v>
      </c>
      <c r="J865" s="1">
        <v>31</v>
      </c>
      <c r="K865" s="1"/>
      <c r="L865" s="1"/>
      <c r="M865" s="1"/>
      <c r="N865" s="1"/>
      <c r="O865" s="1"/>
      <c r="P865" s="1"/>
      <c r="Q865" s="1"/>
      <c r="R865" s="1">
        <v>3306</v>
      </c>
      <c r="S865" t="s">
        <v>12</v>
      </c>
    </row>
    <row r="866" spans="1:19" x14ac:dyDescent="0.55000000000000004">
      <c r="A866" t="s">
        <v>24</v>
      </c>
      <c r="B866">
        <v>2023</v>
      </c>
      <c r="C866">
        <v>110875</v>
      </c>
      <c r="D866" s="2">
        <v>689</v>
      </c>
      <c r="E866" s="3">
        <v>111564</v>
      </c>
      <c r="F866" t="s">
        <v>12</v>
      </c>
      <c r="G866" t="s">
        <v>12</v>
      </c>
      <c r="H866" s="1">
        <v>61.673507846906098</v>
      </c>
      <c r="I866" s="1">
        <v>1906.7448886715099</v>
      </c>
      <c r="J866" s="1">
        <v>2078.8230229843098</v>
      </c>
      <c r="K866" s="1"/>
      <c r="L866" s="1">
        <v>74519</v>
      </c>
      <c r="M866" s="1"/>
      <c r="N866" s="1"/>
      <c r="O866" s="1">
        <v>459</v>
      </c>
      <c r="P866" s="1"/>
      <c r="Q866" s="1">
        <v>-35547.054641642702</v>
      </c>
      <c r="R866" s="1">
        <v>190589</v>
      </c>
      <c r="S866" t="s">
        <v>11</v>
      </c>
    </row>
    <row r="867" spans="1:19" x14ac:dyDescent="0.55000000000000004">
      <c r="A867" t="s">
        <v>24</v>
      </c>
      <c r="B867">
        <v>2022</v>
      </c>
      <c r="C867">
        <v>333428</v>
      </c>
      <c r="D867" s="2">
        <v>0</v>
      </c>
      <c r="E867" s="3">
        <v>333428</v>
      </c>
      <c r="F867" t="s">
        <v>12</v>
      </c>
      <c r="G867" t="s">
        <v>12</v>
      </c>
      <c r="H867" s="1">
        <v>1104.7885761667401</v>
      </c>
      <c r="I867" s="1">
        <v>13924.013730258001</v>
      </c>
      <c r="J867" s="1">
        <v>20685.643541267</v>
      </c>
      <c r="K867" s="1"/>
      <c r="L867" s="1">
        <v>142898</v>
      </c>
      <c r="M867" s="1"/>
      <c r="N867" s="1"/>
      <c r="O867" s="1"/>
      <c r="P867" s="1"/>
      <c r="Q867" s="1">
        <v>90391.244719965893</v>
      </c>
      <c r="R867" s="1">
        <v>512040</v>
      </c>
      <c r="S867" t="s">
        <v>11</v>
      </c>
    </row>
    <row r="868" spans="1:19" x14ac:dyDescent="0.55000000000000004">
      <c r="A868" t="s">
        <v>24</v>
      </c>
      <c r="B868">
        <v>2021</v>
      </c>
      <c r="C868">
        <v>12519</v>
      </c>
      <c r="D868" s="2">
        <v>376</v>
      </c>
      <c r="E868" s="3">
        <v>12895</v>
      </c>
      <c r="F868" t="s">
        <v>12</v>
      </c>
      <c r="G868" t="s">
        <v>12</v>
      </c>
      <c r="H868" s="1">
        <v>3.9704548079379598</v>
      </c>
      <c r="I868" s="1">
        <v>107.576374932913</v>
      </c>
      <c r="J868" s="1">
        <v>267.55667182187102</v>
      </c>
      <c r="K868" s="1"/>
      <c r="L868" s="1">
        <v>5365</v>
      </c>
      <c r="M868" s="1"/>
      <c r="N868" s="1"/>
      <c r="O868" s="1">
        <v>161</v>
      </c>
      <c r="P868" s="1"/>
      <c r="Q868" s="1">
        <v>4983.7125125609</v>
      </c>
      <c r="R868" s="1">
        <v>18800</v>
      </c>
      <c r="S868" t="s">
        <v>11</v>
      </c>
    </row>
    <row r="869" spans="1:19" x14ac:dyDescent="0.55000000000000004">
      <c r="A869" t="s">
        <v>24</v>
      </c>
      <c r="B869">
        <v>2020</v>
      </c>
      <c r="C869">
        <v>29345</v>
      </c>
      <c r="D869" s="2">
        <v>0</v>
      </c>
      <c r="E869" s="3">
        <v>29345</v>
      </c>
      <c r="F869" t="s">
        <v>12</v>
      </c>
      <c r="G869" t="s">
        <v>12</v>
      </c>
      <c r="H869" s="1">
        <v>40.746002906000001</v>
      </c>
      <c r="I869" s="1">
        <v>367.37712601440302</v>
      </c>
      <c r="J869" s="1">
        <v>258.74227628612698</v>
      </c>
      <c r="K869" s="1"/>
      <c r="L869" s="1">
        <v>12595</v>
      </c>
      <c r="M869" s="1"/>
      <c r="N869" s="1"/>
      <c r="O869" s="1"/>
      <c r="P869" s="1"/>
      <c r="Q869" s="1">
        <v>13119.122318370901</v>
      </c>
      <c r="R869" s="1">
        <v>42607</v>
      </c>
      <c r="S869" t="s">
        <v>11</v>
      </c>
    </row>
    <row r="870" spans="1:19" x14ac:dyDescent="0.55000000000000004">
      <c r="A870" t="s">
        <v>24</v>
      </c>
      <c r="B870">
        <v>2019</v>
      </c>
      <c r="C870">
        <v>23196</v>
      </c>
      <c r="D870" s="2">
        <v>45</v>
      </c>
      <c r="E870" s="3">
        <v>23241</v>
      </c>
      <c r="F870" t="s">
        <v>12</v>
      </c>
      <c r="G870" t="s">
        <v>12</v>
      </c>
      <c r="H870" s="1">
        <v>2823.5598725812001</v>
      </c>
      <c r="I870" s="1">
        <v>540.11039509929003</v>
      </c>
      <c r="J870" s="1">
        <v>1476.5560418026901</v>
      </c>
      <c r="K870" s="1"/>
      <c r="L870" s="1">
        <v>54124</v>
      </c>
      <c r="M870" s="1"/>
      <c r="N870" s="1"/>
      <c r="O870" s="1">
        <v>105</v>
      </c>
      <c r="P870" s="1"/>
      <c r="Q870" s="1">
        <v>-29053.174900188202</v>
      </c>
      <c r="R870" s="1">
        <v>82310</v>
      </c>
      <c r="S870" t="s">
        <v>11</v>
      </c>
    </row>
    <row r="871" spans="1:19" x14ac:dyDescent="0.55000000000000004">
      <c r="A871" t="s">
        <v>24</v>
      </c>
      <c r="B871">
        <v>2018</v>
      </c>
      <c r="C871">
        <v>177194</v>
      </c>
      <c r="D871" s="2">
        <v>0</v>
      </c>
      <c r="E871" s="3">
        <v>177194</v>
      </c>
      <c r="F871" t="s">
        <v>12</v>
      </c>
      <c r="G871" t="s">
        <v>12</v>
      </c>
      <c r="H871" s="1">
        <v>669.6135418824</v>
      </c>
      <c r="I871" s="1">
        <v>92823.210139559407</v>
      </c>
      <c r="J871" s="1">
        <v>45701.193588592803</v>
      </c>
      <c r="K871" s="1">
        <v>43</v>
      </c>
      <c r="L871" s="1">
        <v>95412</v>
      </c>
      <c r="M871" s="1"/>
      <c r="N871" s="1">
        <v>1393</v>
      </c>
      <c r="O871" s="1"/>
      <c r="P871" s="1"/>
      <c r="Q871" s="1">
        <v>-35341.968143783299</v>
      </c>
      <c r="R871" s="1">
        <v>413236</v>
      </c>
      <c r="S871" t="s">
        <v>11</v>
      </c>
    </row>
    <row r="872" spans="1:19" x14ac:dyDescent="0.55000000000000004">
      <c r="A872" t="s">
        <v>24</v>
      </c>
      <c r="B872">
        <v>2017</v>
      </c>
      <c r="C872">
        <v>4991</v>
      </c>
      <c r="D872" s="2">
        <v>331</v>
      </c>
      <c r="E872" s="3">
        <v>5322</v>
      </c>
      <c r="F872" t="s">
        <v>12</v>
      </c>
      <c r="G872" t="s">
        <v>12</v>
      </c>
      <c r="H872" s="1">
        <v>47.612771274869999</v>
      </c>
      <c r="I872" s="1">
        <v>57.254004080161003</v>
      </c>
      <c r="J872" s="1">
        <v>104.213581615978</v>
      </c>
      <c r="K872" s="1">
        <v>100</v>
      </c>
      <c r="L872" s="1">
        <v>995</v>
      </c>
      <c r="M872" s="1">
        <v>650</v>
      </c>
      <c r="N872" s="1">
        <v>231</v>
      </c>
      <c r="O872" s="1">
        <v>66</v>
      </c>
      <c r="P872" s="1">
        <v>43</v>
      </c>
      <c r="Q872" s="1">
        <v>2105.4751282740499</v>
      </c>
      <c r="R872" s="1">
        <v>7616</v>
      </c>
      <c r="S872" t="s">
        <v>11</v>
      </c>
    </row>
    <row r="873" spans="1:19" x14ac:dyDescent="0.55000000000000004">
      <c r="A873" t="s">
        <v>24</v>
      </c>
      <c r="B873">
        <v>2016</v>
      </c>
      <c r="C873">
        <v>26632</v>
      </c>
      <c r="D873" s="2">
        <v>0</v>
      </c>
      <c r="E873" s="3">
        <v>26632</v>
      </c>
      <c r="F873" t="s">
        <v>12</v>
      </c>
      <c r="G873" t="s">
        <v>12</v>
      </c>
      <c r="H873" s="1">
        <v>661.72597486799998</v>
      </c>
      <c r="I873" s="1">
        <v>1775.4910814300499</v>
      </c>
      <c r="J873" s="1">
        <v>7193.87747184401</v>
      </c>
      <c r="K873" s="1"/>
      <c r="L873" s="1">
        <v>6658</v>
      </c>
      <c r="M873" s="1"/>
      <c r="N873" s="1">
        <v>750</v>
      </c>
      <c r="O873" s="1"/>
      <c r="P873" s="1"/>
      <c r="Q873" s="1">
        <v>-1004.18416756599</v>
      </c>
      <c r="R873" s="1">
        <v>43671</v>
      </c>
      <c r="S873" t="s">
        <v>11</v>
      </c>
    </row>
    <row r="874" spans="1:19" x14ac:dyDescent="0.55000000000000004">
      <c r="A874" t="s">
        <v>24</v>
      </c>
      <c r="B874">
        <v>2015</v>
      </c>
      <c r="C874">
        <v>34418</v>
      </c>
      <c r="D874" s="2">
        <v>16</v>
      </c>
      <c r="E874" s="3">
        <v>34434</v>
      </c>
      <c r="F874" t="s">
        <v>12</v>
      </c>
      <c r="G874" t="s">
        <v>12</v>
      </c>
      <c r="H874" s="1">
        <v>135.58016999905001</v>
      </c>
      <c r="I874" s="1">
        <v>4625.0314252711596</v>
      </c>
      <c r="J874" s="1">
        <v>10669.9536609265</v>
      </c>
      <c r="K874" s="1">
        <v>630</v>
      </c>
      <c r="L874" s="1">
        <v>27471</v>
      </c>
      <c r="M874" s="1">
        <v>6789</v>
      </c>
      <c r="N874" s="1">
        <v>2065</v>
      </c>
      <c r="O874" s="1">
        <v>15</v>
      </c>
      <c r="P874" s="1">
        <v>7</v>
      </c>
      <c r="Q874" s="1">
        <v>-43243.432988219698</v>
      </c>
      <c r="R874" s="1">
        <v>86842</v>
      </c>
      <c r="S874" t="s">
        <v>11</v>
      </c>
    </row>
    <row r="875" spans="1:19" x14ac:dyDescent="0.55000000000000004">
      <c r="A875" t="s">
        <v>24</v>
      </c>
      <c r="B875">
        <v>2014</v>
      </c>
      <c r="C875">
        <v>61389</v>
      </c>
      <c r="D875" s="2">
        <v>0</v>
      </c>
      <c r="E875" s="3">
        <v>61389</v>
      </c>
      <c r="F875" t="s">
        <v>12</v>
      </c>
      <c r="G875" t="s">
        <v>12</v>
      </c>
      <c r="H875" s="1">
        <v>812.11087789999999</v>
      </c>
      <c r="I875" s="1">
        <v>11400.4103079872</v>
      </c>
      <c r="J875" s="1">
        <v>24367.673665700699</v>
      </c>
      <c r="K875" s="1"/>
      <c r="L875" s="1">
        <v>19840</v>
      </c>
      <c r="M875" s="1">
        <v>17972</v>
      </c>
      <c r="N875" s="1">
        <v>12559</v>
      </c>
      <c r="O875" s="1"/>
      <c r="P875" s="1"/>
      <c r="Q875" s="1">
        <v>-2727.4496848725798</v>
      </c>
      <c r="R875" s="1">
        <v>148340</v>
      </c>
      <c r="S875" t="s">
        <v>11</v>
      </c>
    </row>
    <row r="876" spans="1:19" x14ac:dyDescent="0.55000000000000004">
      <c r="A876" t="s">
        <v>24</v>
      </c>
      <c r="B876">
        <v>2013</v>
      </c>
      <c r="C876">
        <v>13220</v>
      </c>
      <c r="D876" s="2">
        <v>273</v>
      </c>
      <c r="E876" s="3">
        <v>13493</v>
      </c>
      <c r="F876" t="s">
        <v>12</v>
      </c>
      <c r="G876" t="s">
        <v>12</v>
      </c>
      <c r="H876" s="1">
        <v>15.1168716881</v>
      </c>
      <c r="I876" s="1">
        <v>564.41540859384304</v>
      </c>
      <c r="J876" s="1">
        <v>2056.6776663810901</v>
      </c>
      <c r="K876" s="1"/>
      <c r="L876" s="1">
        <v>5666</v>
      </c>
      <c r="M876" s="1"/>
      <c r="N876" s="1">
        <v>815</v>
      </c>
      <c r="O876" s="1">
        <v>117</v>
      </c>
      <c r="P876" s="1"/>
      <c r="Q876" s="1">
        <v>-1043.2543000870601</v>
      </c>
      <c r="R876" s="1">
        <v>22727</v>
      </c>
      <c r="S876" t="s">
        <v>11</v>
      </c>
    </row>
    <row r="877" spans="1:19" x14ac:dyDescent="0.55000000000000004">
      <c r="A877" t="s">
        <v>24</v>
      </c>
      <c r="B877">
        <v>2012</v>
      </c>
      <c r="C877">
        <v>30942</v>
      </c>
      <c r="D877" s="2">
        <v>0</v>
      </c>
      <c r="E877" s="3">
        <v>30942</v>
      </c>
      <c r="F877" t="s">
        <v>12</v>
      </c>
      <c r="G877" t="s">
        <v>12</v>
      </c>
      <c r="H877" s="1">
        <v>3.2813823474768</v>
      </c>
      <c r="I877" s="1">
        <v>1488.08291710448</v>
      </c>
      <c r="J877" s="1">
        <v>8032.4766169637996</v>
      </c>
      <c r="K877" s="1">
        <v>13022</v>
      </c>
      <c r="L877" s="1">
        <v>22406</v>
      </c>
      <c r="M877" s="1"/>
      <c r="N877" s="1">
        <v>3940</v>
      </c>
      <c r="O877" s="1"/>
      <c r="P877" s="1"/>
      <c r="Q877" s="1">
        <v>12899.916902363901</v>
      </c>
      <c r="R877" s="1">
        <v>79834</v>
      </c>
      <c r="S877" t="s">
        <v>11</v>
      </c>
    </row>
    <row r="878" spans="1:19" x14ac:dyDescent="0.55000000000000004">
      <c r="A878" t="s">
        <v>24</v>
      </c>
      <c r="B878">
        <v>2011</v>
      </c>
      <c r="C878">
        <v>10056</v>
      </c>
      <c r="D878" s="2">
        <v>4</v>
      </c>
      <c r="E878" s="3">
        <v>10060</v>
      </c>
      <c r="F878" t="s">
        <v>12</v>
      </c>
      <c r="G878" t="s">
        <v>12</v>
      </c>
      <c r="H878" s="1">
        <v>0.90529087354896398</v>
      </c>
      <c r="I878" s="1">
        <v>2638.9442799837502</v>
      </c>
      <c r="J878" s="1">
        <v>7607.5870252783898</v>
      </c>
      <c r="K878" s="1"/>
      <c r="L878" s="1">
        <v>5028</v>
      </c>
      <c r="M878" s="1"/>
      <c r="N878" s="1">
        <v>2745</v>
      </c>
      <c r="O878" s="1">
        <v>2</v>
      </c>
      <c r="P878" s="1"/>
      <c r="Q878" s="1">
        <v>-14794.854179727699</v>
      </c>
      <c r="R878" s="1">
        <v>28082</v>
      </c>
      <c r="S878" t="s">
        <v>11</v>
      </c>
    </row>
    <row r="879" spans="1:19" x14ac:dyDescent="0.55000000000000004">
      <c r="A879" t="s">
        <v>24</v>
      </c>
      <c r="B879">
        <v>2010</v>
      </c>
      <c r="C879">
        <v>26142</v>
      </c>
      <c r="D879" s="2">
        <v>0</v>
      </c>
      <c r="E879" s="3">
        <v>26142</v>
      </c>
      <c r="F879" t="s">
        <v>12</v>
      </c>
      <c r="G879" t="s">
        <v>12</v>
      </c>
      <c r="H879" s="1">
        <v>0</v>
      </c>
      <c r="I879" s="1">
        <v>1555.0725360159399</v>
      </c>
      <c r="J879" s="1"/>
      <c r="K879" s="1"/>
      <c r="L879" s="1">
        <v>5545</v>
      </c>
      <c r="M879" s="1"/>
      <c r="N879" s="1">
        <v>5911</v>
      </c>
      <c r="O879" s="1"/>
      <c r="P879" s="1"/>
      <c r="Q879" s="1">
        <v>7976.2699085125096</v>
      </c>
      <c r="R879" s="1">
        <v>39153</v>
      </c>
      <c r="S879" t="s">
        <v>11</v>
      </c>
    </row>
    <row r="880" spans="1:19" x14ac:dyDescent="0.55000000000000004">
      <c r="A880" t="s">
        <v>24</v>
      </c>
      <c r="B880">
        <v>2009</v>
      </c>
      <c r="C880">
        <v>11400</v>
      </c>
      <c r="D880" s="2">
        <v>2</v>
      </c>
      <c r="E880" s="3">
        <v>11402</v>
      </c>
      <c r="F880" t="s">
        <v>12</v>
      </c>
      <c r="G880" t="s">
        <v>12</v>
      </c>
      <c r="H880" s="1">
        <v>129.52924224928799</v>
      </c>
      <c r="I880" s="1">
        <v>1053.1444571719901</v>
      </c>
      <c r="J880" s="1">
        <v>4050.6603451588699</v>
      </c>
      <c r="K880" s="1"/>
      <c r="L880" s="1">
        <v>12712</v>
      </c>
      <c r="M880" s="1">
        <v>1312</v>
      </c>
      <c r="N880" s="1"/>
      <c r="O880" s="1">
        <v>2</v>
      </c>
      <c r="P880" s="1"/>
      <c r="Q880" s="1">
        <v>-6686.0810568475799</v>
      </c>
      <c r="R880" s="1">
        <v>30661</v>
      </c>
      <c r="S880" t="s">
        <v>11</v>
      </c>
    </row>
    <row r="881" spans="1:19" x14ac:dyDescent="0.55000000000000004">
      <c r="A881" t="s">
        <v>24</v>
      </c>
      <c r="B881">
        <v>2008</v>
      </c>
      <c r="C881">
        <v>65975</v>
      </c>
      <c r="D881" s="2">
        <v>0</v>
      </c>
      <c r="E881" s="3">
        <v>65975</v>
      </c>
      <c r="F881" t="s">
        <v>12</v>
      </c>
      <c r="G881" t="s">
        <v>12</v>
      </c>
      <c r="H881" s="1">
        <v>5.3825176989500002E-3</v>
      </c>
      <c r="I881" s="1">
        <v>8938.8951858449</v>
      </c>
      <c r="J881" s="1">
        <v>31161.4138720433</v>
      </c>
      <c r="K881" s="1"/>
      <c r="L881" s="1"/>
      <c r="M881" s="1"/>
      <c r="N881" s="1"/>
      <c r="O881" s="1"/>
      <c r="P881" s="1"/>
      <c r="Q881" s="1">
        <v>-11993.234605956701</v>
      </c>
      <c r="R881" s="1">
        <v>118069</v>
      </c>
      <c r="S881" t="s">
        <v>9</v>
      </c>
    </row>
    <row r="882" spans="1:19" x14ac:dyDescent="0.55000000000000004">
      <c r="A882" t="s">
        <v>24</v>
      </c>
      <c r="B882">
        <v>2007</v>
      </c>
      <c r="C882">
        <v>1741</v>
      </c>
      <c r="D882" s="2">
        <v>32</v>
      </c>
      <c r="E882" s="3">
        <v>1773</v>
      </c>
      <c r="F882" t="s">
        <v>12</v>
      </c>
      <c r="G882" t="s">
        <v>12</v>
      </c>
      <c r="H882" s="1">
        <v>0.60551979546599999</v>
      </c>
      <c r="I882" s="1">
        <v>52.964086844354199</v>
      </c>
      <c r="J882" s="1">
        <v>176.025308430519</v>
      </c>
      <c r="K882" s="1"/>
      <c r="L882" s="1"/>
      <c r="M882" s="1"/>
      <c r="N882" s="1"/>
      <c r="O882" s="1"/>
      <c r="P882" s="1"/>
      <c r="Q882" s="1">
        <v>1463.4418860282599</v>
      </c>
      <c r="R882" s="1">
        <v>2003</v>
      </c>
      <c r="S882" t="s">
        <v>9</v>
      </c>
    </row>
    <row r="883" spans="1:19" x14ac:dyDescent="0.55000000000000004">
      <c r="A883" t="s">
        <v>24</v>
      </c>
      <c r="B883">
        <v>2006</v>
      </c>
      <c r="C883">
        <v>8655</v>
      </c>
      <c r="D883" s="2">
        <v>0</v>
      </c>
      <c r="E883" s="3">
        <v>8655</v>
      </c>
      <c r="F883" t="s">
        <v>12</v>
      </c>
      <c r="G883" t="s">
        <v>12</v>
      </c>
      <c r="H883" s="1">
        <v>7.8108132117589397</v>
      </c>
      <c r="I883" s="1">
        <v>4278.13994335593</v>
      </c>
      <c r="J883" s="1">
        <v>6262.2875653337096</v>
      </c>
      <c r="K883" s="1"/>
      <c r="L883" s="1"/>
      <c r="M883" s="1"/>
      <c r="N883" s="1"/>
      <c r="O883" s="1"/>
      <c r="P883" s="1"/>
      <c r="Q883" s="1">
        <v>-9376.2851134382709</v>
      </c>
      <c r="R883" s="1">
        <v>28580</v>
      </c>
      <c r="S883" t="s">
        <v>9</v>
      </c>
    </row>
    <row r="884" spans="1:19" x14ac:dyDescent="0.55000000000000004">
      <c r="A884" t="s">
        <v>24</v>
      </c>
      <c r="B884">
        <v>2005</v>
      </c>
      <c r="C884">
        <v>21834</v>
      </c>
      <c r="D884" s="2">
        <v>0</v>
      </c>
      <c r="E884" s="3">
        <v>21834</v>
      </c>
      <c r="F884" t="s">
        <v>12</v>
      </c>
      <c r="G884" t="s">
        <v>12</v>
      </c>
      <c r="H884" s="1">
        <v>6172.7992863293402</v>
      </c>
      <c r="I884" s="1">
        <v>3843.0531282086599</v>
      </c>
      <c r="J884" s="1">
        <v>7727.0623666976899</v>
      </c>
      <c r="K884" s="1"/>
      <c r="L884" s="1"/>
      <c r="M884" s="1"/>
      <c r="N884" s="1"/>
      <c r="O884" s="1"/>
      <c r="P884" s="1"/>
      <c r="Q884" s="1">
        <v>-8235.0890412321296</v>
      </c>
      <c r="R884" s="1">
        <v>47812</v>
      </c>
      <c r="S884" t="s">
        <v>9</v>
      </c>
    </row>
    <row r="885" spans="1:19" x14ac:dyDescent="0.55000000000000004">
      <c r="A885" t="s">
        <v>24</v>
      </c>
      <c r="B885">
        <v>2004</v>
      </c>
      <c r="C885">
        <v>22603</v>
      </c>
      <c r="D885" s="2">
        <v>0</v>
      </c>
      <c r="E885" s="3">
        <v>22603</v>
      </c>
      <c r="F885" t="s">
        <v>12</v>
      </c>
      <c r="G885" t="s">
        <v>12</v>
      </c>
      <c r="H885" s="1">
        <v>349.005689515771</v>
      </c>
      <c r="I885" s="1">
        <v>39875.6129911178</v>
      </c>
      <c r="J885" s="1">
        <v>37428.420807155097</v>
      </c>
      <c r="K885" s="1"/>
      <c r="L885" s="1"/>
      <c r="M885" s="1"/>
      <c r="N885" s="1"/>
      <c r="O885" s="1"/>
      <c r="P885" s="1"/>
      <c r="Q885" s="1">
        <v>-74619.473107738697</v>
      </c>
      <c r="R885" s="1">
        <v>174876</v>
      </c>
      <c r="S885" t="s">
        <v>9</v>
      </c>
    </row>
    <row r="886" spans="1:19" x14ac:dyDescent="0.55000000000000004">
      <c r="A886" t="s">
        <v>24</v>
      </c>
      <c r="B886">
        <v>2003</v>
      </c>
      <c r="C886">
        <v>3163</v>
      </c>
      <c r="D886" s="2">
        <v>0</v>
      </c>
      <c r="E886" s="3">
        <v>3163</v>
      </c>
      <c r="F886" t="s">
        <v>12</v>
      </c>
      <c r="G886" t="s">
        <v>12</v>
      </c>
      <c r="H886" s="1">
        <v>68.507411173604794</v>
      </c>
      <c r="I886" s="1">
        <v>413.62720742290099</v>
      </c>
      <c r="J886" s="1">
        <v>945.87925780155297</v>
      </c>
      <c r="K886" s="1"/>
      <c r="L886" s="1"/>
      <c r="M886" s="1"/>
      <c r="N886" s="1"/>
      <c r="O886" s="1"/>
      <c r="P886" s="1"/>
      <c r="Q886" s="1">
        <v>-413.107176892204</v>
      </c>
      <c r="R886" s="1">
        <v>5004</v>
      </c>
      <c r="S886" t="s">
        <v>9</v>
      </c>
    </row>
    <row r="887" spans="1:19" x14ac:dyDescent="0.55000000000000004">
      <c r="A887" t="s">
        <v>24</v>
      </c>
      <c r="B887">
        <v>2002</v>
      </c>
      <c r="C887">
        <v>1925</v>
      </c>
      <c r="D887" s="2">
        <v>0</v>
      </c>
      <c r="E887" s="3">
        <v>1925</v>
      </c>
      <c r="F887" t="s">
        <v>12</v>
      </c>
      <c r="G887" t="s">
        <v>12</v>
      </c>
      <c r="H887" s="1">
        <v>0.217359665692858</v>
      </c>
      <c r="I887" s="1">
        <v>1216.5338065963999</v>
      </c>
      <c r="J887" s="1">
        <v>1129.9618776356201</v>
      </c>
      <c r="K887" s="1"/>
      <c r="L887" s="1"/>
      <c r="M887" s="1"/>
      <c r="N887" s="1"/>
      <c r="O887" s="1"/>
      <c r="P887" s="1"/>
      <c r="Q887" s="1">
        <v>-3648.6915364449001</v>
      </c>
      <c r="R887" s="1">
        <v>7920</v>
      </c>
      <c r="S887" t="s">
        <v>9</v>
      </c>
    </row>
    <row r="888" spans="1:19" x14ac:dyDescent="0.55000000000000004">
      <c r="A888" t="s">
        <v>24</v>
      </c>
      <c r="B888">
        <v>2001</v>
      </c>
      <c r="C888">
        <v>54855</v>
      </c>
      <c r="D888" s="2">
        <v>9</v>
      </c>
      <c r="E888" s="3">
        <v>54864</v>
      </c>
      <c r="F888" t="s">
        <v>12</v>
      </c>
      <c r="G888" t="s">
        <v>12</v>
      </c>
      <c r="H888" s="1">
        <v>43.118089765045703</v>
      </c>
      <c r="I888" s="1">
        <v>9366.5533465478202</v>
      </c>
      <c r="J888" s="1">
        <v>17519.926240398399</v>
      </c>
      <c r="K888" s="1"/>
      <c r="L888" s="1"/>
      <c r="M888" s="1"/>
      <c r="N888" s="1"/>
      <c r="O888" s="1"/>
      <c r="P888" s="1"/>
      <c r="Q888" s="1">
        <v>-9027.7717375627108</v>
      </c>
      <c r="R888" s="1">
        <v>90821</v>
      </c>
      <c r="S888" t="s">
        <v>9</v>
      </c>
    </row>
    <row r="889" spans="1:19" x14ac:dyDescent="0.55000000000000004">
      <c r="A889" t="s">
        <v>24</v>
      </c>
      <c r="B889">
        <v>2000</v>
      </c>
      <c r="C889">
        <v>199381</v>
      </c>
      <c r="D889" s="2">
        <v>0</v>
      </c>
      <c r="E889" s="3">
        <v>199381</v>
      </c>
      <c r="F889" t="s">
        <v>12</v>
      </c>
      <c r="G889" t="s">
        <v>12</v>
      </c>
      <c r="H889" s="1">
        <v>125.384829538015</v>
      </c>
      <c r="I889" s="1">
        <v>93940.114232644206</v>
      </c>
      <c r="J889" s="1">
        <v>66620.534418492301</v>
      </c>
      <c r="K889" s="1"/>
      <c r="L889" s="1"/>
      <c r="M889" s="1"/>
      <c r="N889" s="1"/>
      <c r="O889" s="1"/>
      <c r="P889" s="1"/>
      <c r="Q889" s="1">
        <v>47474.999199632199</v>
      </c>
      <c r="R889" s="1">
        <v>360067</v>
      </c>
      <c r="S889" t="s">
        <v>9</v>
      </c>
    </row>
    <row r="890" spans="1:19" x14ac:dyDescent="0.55000000000000004">
      <c r="A890" t="s">
        <v>24</v>
      </c>
      <c r="B890">
        <v>1999</v>
      </c>
      <c r="C890">
        <v>10338</v>
      </c>
      <c r="D890" s="2">
        <v>4</v>
      </c>
      <c r="E890" s="3">
        <v>10342</v>
      </c>
      <c r="F890" t="s">
        <v>12</v>
      </c>
      <c r="G890" t="s">
        <v>12</v>
      </c>
      <c r="H890" s="1">
        <v>4.3762809018642601</v>
      </c>
      <c r="I890" s="1">
        <v>7638.8786854003101</v>
      </c>
      <c r="J890" s="1">
        <v>16816.499593376899</v>
      </c>
      <c r="K890" s="1"/>
      <c r="L890" s="1"/>
      <c r="M890" s="1"/>
      <c r="N890" s="1"/>
      <c r="O890" s="1"/>
      <c r="P890" s="1"/>
      <c r="Q890" s="1">
        <v>-64058.1345210613</v>
      </c>
      <c r="R890" s="1">
        <v>98860</v>
      </c>
      <c r="S890" t="s">
        <v>9</v>
      </c>
    </row>
    <row r="891" spans="1:19" x14ac:dyDescent="0.55000000000000004">
      <c r="A891" t="s">
        <v>24</v>
      </c>
      <c r="B891">
        <v>1998</v>
      </c>
      <c r="C891">
        <v>3705</v>
      </c>
      <c r="D891" s="2">
        <v>19</v>
      </c>
      <c r="E891" s="3">
        <v>3724</v>
      </c>
      <c r="F891" t="s">
        <v>12</v>
      </c>
      <c r="G891" t="s">
        <v>12</v>
      </c>
      <c r="H891" s="1">
        <v>20.178741581461701</v>
      </c>
      <c r="I891" s="1">
        <v>2524.28785252736</v>
      </c>
      <c r="J891" s="1">
        <v>2523.4254920411199</v>
      </c>
      <c r="K891" s="1"/>
      <c r="L891" s="1"/>
      <c r="M891" s="1"/>
      <c r="N891" s="1"/>
      <c r="O891" s="1"/>
      <c r="P891" s="1"/>
      <c r="Q891" s="1">
        <v>-5438.7195521766498</v>
      </c>
      <c r="R891" s="1">
        <v>14231</v>
      </c>
      <c r="S891" t="s">
        <v>9</v>
      </c>
    </row>
    <row r="892" spans="1:19" x14ac:dyDescent="0.55000000000000004">
      <c r="A892" t="s">
        <v>24</v>
      </c>
      <c r="B892">
        <v>1997</v>
      </c>
      <c r="C892">
        <v>9499</v>
      </c>
      <c r="D892" s="2">
        <v>0</v>
      </c>
      <c r="E892" s="3">
        <v>9499</v>
      </c>
      <c r="F892" t="s">
        <v>12</v>
      </c>
      <c r="G892" t="s">
        <v>12</v>
      </c>
      <c r="H892" s="1">
        <v>1730.0654829458299</v>
      </c>
      <c r="I892" s="1">
        <v>43605.834147323498</v>
      </c>
      <c r="J892" s="1">
        <v>10753.8328923883</v>
      </c>
      <c r="K892" s="1"/>
      <c r="L892" s="1"/>
      <c r="M892" s="1"/>
      <c r="N892" s="1"/>
      <c r="O892" s="1"/>
      <c r="P892" s="1"/>
      <c r="Q892" s="1">
        <v>-29051.010049797002</v>
      </c>
      <c r="R892" s="1">
        <v>94640</v>
      </c>
      <c r="S892" t="s">
        <v>9</v>
      </c>
    </row>
    <row r="893" spans="1:19" x14ac:dyDescent="0.55000000000000004">
      <c r="A893" t="s">
        <v>24</v>
      </c>
      <c r="B893">
        <v>1996</v>
      </c>
      <c r="C893">
        <v>38654</v>
      </c>
      <c r="D893" s="2">
        <v>0</v>
      </c>
      <c r="E893" s="3">
        <v>38654</v>
      </c>
      <c r="F893" t="s">
        <v>12</v>
      </c>
      <c r="G893" t="s">
        <v>12</v>
      </c>
      <c r="H893" s="1">
        <v>2.0751619977134799</v>
      </c>
      <c r="I893" s="1">
        <v>12724.897334899</v>
      </c>
      <c r="J893" s="1">
        <v>19164.3005065588</v>
      </c>
      <c r="K893" s="1"/>
      <c r="L893" s="1"/>
      <c r="M893" s="1"/>
      <c r="N893" s="1"/>
      <c r="O893" s="1"/>
      <c r="P893" s="1"/>
      <c r="Q893" s="1">
        <v>-39654.227207362099</v>
      </c>
      <c r="R893" s="1">
        <v>110200</v>
      </c>
      <c r="S893" t="s">
        <v>9</v>
      </c>
    </row>
    <row r="894" spans="1:19" x14ac:dyDescent="0.55000000000000004">
      <c r="A894" t="s">
        <v>24</v>
      </c>
      <c r="B894">
        <v>1995</v>
      </c>
      <c r="C894">
        <v>23998</v>
      </c>
      <c r="D894" s="2">
        <v>8</v>
      </c>
      <c r="E894" s="3">
        <v>24006</v>
      </c>
      <c r="F894" t="s">
        <v>12</v>
      </c>
      <c r="G894" t="s">
        <v>12</v>
      </c>
      <c r="H894" s="1">
        <v>1.1829833143586899E-15</v>
      </c>
      <c r="I894" s="1">
        <v>14955.323558456999</v>
      </c>
      <c r="J894" s="1">
        <v>17506.908805220901</v>
      </c>
      <c r="K894" s="1"/>
      <c r="L894" s="1"/>
      <c r="M894" s="1"/>
      <c r="N894" s="1"/>
      <c r="O894" s="1"/>
      <c r="P894" s="1"/>
      <c r="Q894" s="1">
        <v>-25183.208901759499</v>
      </c>
      <c r="R894" s="1">
        <v>81651</v>
      </c>
      <c r="S894" t="s">
        <v>9</v>
      </c>
    </row>
    <row r="895" spans="1:19" x14ac:dyDescent="0.55000000000000004">
      <c r="A895" t="s">
        <v>24</v>
      </c>
      <c r="B895">
        <v>1994</v>
      </c>
      <c r="C895">
        <v>2008</v>
      </c>
      <c r="D895" s="2">
        <v>89</v>
      </c>
      <c r="E895" s="3">
        <v>2097</v>
      </c>
      <c r="F895" t="s">
        <v>12</v>
      </c>
      <c r="G895" t="s">
        <v>12</v>
      </c>
      <c r="H895" s="1">
        <v>6.9938796966367898</v>
      </c>
      <c r="I895" s="1">
        <v>3879.8010461191002</v>
      </c>
      <c r="J895" s="1">
        <v>8026.8520022144303</v>
      </c>
      <c r="K895" s="1"/>
      <c r="L895" s="1"/>
      <c r="M895" s="1"/>
      <c r="N895" s="1"/>
      <c r="O895" s="1"/>
      <c r="P895" s="1"/>
      <c r="Q895" s="1">
        <v>3982.0155220550701</v>
      </c>
      <c r="R895" s="1">
        <v>14011</v>
      </c>
      <c r="S895" t="s">
        <v>9</v>
      </c>
    </row>
    <row r="896" spans="1:19" x14ac:dyDescent="0.55000000000000004">
      <c r="A896" t="s">
        <v>24</v>
      </c>
      <c r="B896">
        <v>1993</v>
      </c>
      <c r="C896">
        <v>9595</v>
      </c>
      <c r="D896" s="2">
        <v>0</v>
      </c>
      <c r="E896" s="3">
        <v>9595</v>
      </c>
      <c r="F896" t="s">
        <v>12</v>
      </c>
      <c r="G896" t="s">
        <v>12</v>
      </c>
      <c r="H896" s="1">
        <v>32.842530125953097</v>
      </c>
      <c r="I896" s="1">
        <v>14887.1217490171</v>
      </c>
      <c r="J896" s="1">
        <v>2656.57026173449</v>
      </c>
      <c r="K896" s="1"/>
      <c r="L896" s="1"/>
      <c r="M896" s="1"/>
      <c r="N896" s="1"/>
      <c r="O896" s="1"/>
      <c r="P896" s="1"/>
      <c r="Q896" s="1">
        <v>-9617.1773230900108</v>
      </c>
      <c r="R896" s="1">
        <v>36789</v>
      </c>
      <c r="S896" t="s">
        <v>9</v>
      </c>
    </row>
    <row r="897" spans="1:19" x14ac:dyDescent="0.55000000000000004">
      <c r="A897" t="s">
        <v>24</v>
      </c>
      <c r="B897">
        <v>1992</v>
      </c>
      <c r="C897">
        <v>7728</v>
      </c>
      <c r="D897" s="2">
        <v>0</v>
      </c>
      <c r="E897" s="3">
        <v>7728</v>
      </c>
      <c r="F897" t="s">
        <v>12</v>
      </c>
      <c r="G897" t="s">
        <v>12</v>
      </c>
      <c r="H897" s="1">
        <v>173.993762596474</v>
      </c>
      <c r="I897" s="1">
        <v>43811.085147033198</v>
      </c>
      <c r="J897" s="1">
        <v>26490.7690820633</v>
      </c>
      <c r="K897" s="1"/>
      <c r="L897" s="1"/>
      <c r="M897" s="1"/>
      <c r="N897" s="1"/>
      <c r="O897" s="1"/>
      <c r="P897" s="1"/>
      <c r="Q897" s="1">
        <v>-23386.428694571699</v>
      </c>
      <c r="R897" s="1">
        <v>101590</v>
      </c>
      <c r="S897" t="s">
        <v>9</v>
      </c>
    </row>
    <row r="898" spans="1:19" x14ac:dyDescent="0.55000000000000004">
      <c r="A898" t="s">
        <v>24</v>
      </c>
      <c r="B898">
        <v>1991</v>
      </c>
      <c r="C898">
        <v>61074</v>
      </c>
      <c r="D898" s="2">
        <v>0</v>
      </c>
      <c r="E898" s="3">
        <v>61074</v>
      </c>
      <c r="F898" t="s">
        <v>12</v>
      </c>
      <c r="G898" t="s">
        <v>12</v>
      </c>
      <c r="H898" s="1">
        <v>0</v>
      </c>
      <c r="I898" s="1">
        <v>82518.761742879695</v>
      </c>
      <c r="J898" s="1">
        <v>31763.9909765587</v>
      </c>
      <c r="K898" s="1"/>
      <c r="L898" s="1"/>
      <c r="M898" s="1"/>
      <c r="N898" s="1"/>
      <c r="O898" s="1"/>
      <c r="P898" s="1"/>
      <c r="Q898" s="1">
        <v>-17760.6694674719</v>
      </c>
      <c r="R898" s="1">
        <v>193117</v>
      </c>
      <c r="S898" t="s">
        <v>9</v>
      </c>
    </row>
    <row r="899" spans="1:19" x14ac:dyDescent="0.55000000000000004">
      <c r="A899" t="s">
        <v>24</v>
      </c>
      <c r="B899">
        <v>1990</v>
      </c>
      <c r="C899">
        <v>6033</v>
      </c>
      <c r="D899" s="2">
        <v>14</v>
      </c>
      <c r="E899" s="3">
        <v>6047</v>
      </c>
      <c r="F899" t="s">
        <v>12</v>
      </c>
      <c r="G899" t="s">
        <v>12</v>
      </c>
      <c r="H899" s="1">
        <v>15.62720812379</v>
      </c>
      <c r="I899" s="1">
        <v>11095.342946435399</v>
      </c>
      <c r="J899" s="1">
        <v>5786</v>
      </c>
      <c r="K899" s="1"/>
      <c r="L899" s="1"/>
      <c r="M899" s="1"/>
      <c r="N899" s="1"/>
      <c r="O899" s="1"/>
      <c r="P899" s="1"/>
      <c r="Q899" s="1">
        <v>-17393.611326517101</v>
      </c>
      <c r="R899" s="1">
        <v>40338</v>
      </c>
      <c r="S899" t="s">
        <v>9</v>
      </c>
    </row>
    <row r="900" spans="1:19" x14ac:dyDescent="0.55000000000000004">
      <c r="A900" t="s">
        <v>24</v>
      </c>
      <c r="B900">
        <v>1989</v>
      </c>
      <c r="C900">
        <v>5008</v>
      </c>
      <c r="D900" s="2">
        <v>0</v>
      </c>
      <c r="E900" s="3">
        <v>5008</v>
      </c>
      <c r="F900" t="s">
        <v>12</v>
      </c>
      <c r="G900" t="s">
        <v>12</v>
      </c>
      <c r="H900" s="1">
        <v>97.478824749836207</v>
      </c>
      <c r="I900" s="1">
        <v>36736.319682442801</v>
      </c>
      <c r="J900" s="1">
        <v>4201</v>
      </c>
      <c r="K900" s="1"/>
      <c r="L900" s="1"/>
      <c r="M900" s="1"/>
      <c r="N900" s="1"/>
      <c r="O900" s="1"/>
      <c r="P900" s="1"/>
      <c r="Q900" s="1">
        <v>-7602.8875943097901</v>
      </c>
      <c r="R900" s="1">
        <v>53646</v>
      </c>
      <c r="S900" t="s">
        <v>9</v>
      </c>
    </row>
    <row r="901" spans="1:19" x14ac:dyDescent="0.55000000000000004">
      <c r="A901" t="s">
        <v>24</v>
      </c>
      <c r="B901">
        <v>1988</v>
      </c>
      <c r="C901">
        <v>9311</v>
      </c>
      <c r="D901" s="2">
        <v>0</v>
      </c>
      <c r="E901" s="3">
        <v>9311</v>
      </c>
      <c r="F901" t="s">
        <v>12</v>
      </c>
      <c r="G901" t="s">
        <v>12</v>
      </c>
      <c r="H901" s="1">
        <v>0</v>
      </c>
      <c r="I901" s="1">
        <v>15775.3498528817</v>
      </c>
      <c r="J901" s="1">
        <v>9287</v>
      </c>
      <c r="K901" s="1"/>
      <c r="L901" s="1"/>
      <c r="M901" s="1"/>
      <c r="N901" s="1"/>
      <c r="O901" s="1"/>
      <c r="P901" s="1"/>
      <c r="Q901" s="1">
        <v>-2899.2004728796101</v>
      </c>
      <c r="R901" s="1">
        <v>37273</v>
      </c>
      <c r="S901" t="s">
        <v>9</v>
      </c>
    </row>
    <row r="902" spans="1:19" x14ac:dyDescent="0.55000000000000004">
      <c r="A902" t="s">
        <v>24</v>
      </c>
      <c r="B902">
        <v>1987</v>
      </c>
      <c r="C902">
        <v>38515</v>
      </c>
      <c r="D902" s="2">
        <v>0</v>
      </c>
      <c r="E902" s="3">
        <v>38515</v>
      </c>
      <c r="F902" t="s">
        <v>12</v>
      </c>
      <c r="G902" t="s">
        <v>12</v>
      </c>
      <c r="H902" s="1">
        <v>0</v>
      </c>
      <c r="I902" s="1">
        <v>66341.098244635999</v>
      </c>
      <c r="J902" s="1">
        <v>25150.0074655194</v>
      </c>
      <c r="K902" s="1"/>
      <c r="L902" s="1"/>
      <c r="M902" s="1"/>
      <c r="N902" s="1"/>
      <c r="O902" s="1"/>
      <c r="P902" s="1"/>
      <c r="Q902" s="1">
        <v>-16848.8408059863</v>
      </c>
      <c r="R902" s="1">
        <v>146855</v>
      </c>
      <c r="S902" t="s">
        <v>9</v>
      </c>
    </row>
    <row r="903" spans="1:19" x14ac:dyDescent="0.55000000000000004">
      <c r="A903" t="s">
        <v>24</v>
      </c>
      <c r="B903">
        <v>1986</v>
      </c>
      <c r="C903">
        <v>3549</v>
      </c>
      <c r="D903" s="2">
        <v>26</v>
      </c>
      <c r="E903" s="3">
        <v>3575</v>
      </c>
      <c r="F903" t="s">
        <v>12</v>
      </c>
      <c r="G903" t="s">
        <v>12</v>
      </c>
      <c r="H903" s="1">
        <v>0</v>
      </c>
      <c r="I903" s="1">
        <v>1925.5530193930699</v>
      </c>
      <c r="J903" s="1">
        <v>3383.5183643906798</v>
      </c>
      <c r="K903" s="1"/>
      <c r="L903" s="1"/>
      <c r="M903" s="1"/>
      <c r="N903" s="1"/>
      <c r="O903" s="1"/>
      <c r="P903" s="1"/>
      <c r="Q903" s="1">
        <v>-2427.3848957689102</v>
      </c>
      <c r="R903" s="1">
        <v>11311</v>
      </c>
      <c r="S903" t="s">
        <v>9</v>
      </c>
    </row>
    <row r="904" spans="1:19" x14ac:dyDescent="0.55000000000000004">
      <c r="A904" t="s">
        <v>24</v>
      </c>
      <c r="B904">
        <v>1985</v>
      </c>
      <c r="C904">
        <v>13825</v>
      </c>
      <c r="D904" s="2">
        <v>0</v>
      </c>
      <c r="E904" s="3">
        <v>13825</v>
      </c>
      <c r="F904" t="s">
        <v>12</v>
      </c>
      <c r="G904" t="s">
        <v>12</v>
      </c>
      <c r="H904" s="1">
        <v>0</v>
      </c>
      <c r="I904" s="1">
        <v>36834.8496653166</v>
      </c>
      <c r="J904" s="1">
        <v>12234.354696075599</v>
      </c>
      <c r="K904" s="1"/>
      <c r="L904" s="1"/>
      <c r="M904" s="1"/>
      <c r="N904" s="1"/>
      <c r="O904" s="1"/>
      <c r="P904" s="1"/>
      <c r="Q904" s="1">
        <v>8631.4411888252398</v>
      </c>
      <c r="R904" s="1">
        <v>62894</v>
      </c>
      <c r="S904" t="s">
        <v>9</v>
      </c>
    </row>
    <row r="905" spans="1:19" x14ac:dyDescent="0.55000000000000004">
      <c r="A905" t="s">
        <v>24</v>
      </c>
      <c r="B905">
        <v>1984</v>
      </c>
      <c r="C905">
        <v>7876</v>
      </c>
      <c r="D905" s="2">
        <v>2</v>
      </c>
      <c r="E905" s="3">
        <v>7878</v>
      </c>
      <c r="F905" t="s">
        <v>12</v>
      </c>
      <c r="G905" t="s">
        <v>12</v>
      </c>
      <c r="H905" s="1">
        <v>0</v>
      </c>
      <c r="I905" s="1">
        <v>17156.5188944902</v>
      </c>
      <c r="J905" s="1">
        <v>2791.8074268610098</v>
      </c>
      <c r="K905" s="1"/>
      <c r="L905" s="1"/>
      <c r="M905" s="1"/>
      <c r="N905" s="1"/>
      <c r="O905" s="1"/>
      <c r="P905" s="1"/>
      <c r="Q905" s="1">
        <v>-18012.144544961298</v>
      </c>
      <c r="R905" s="1">
        <v>45838</v>
      </c>
      <c r="S905" t="s">
        <v>9</v>
      </c>
    </row>
    <row r="906" spans="1:19" x14ac:dyDescent="0.55000000000000004">
      <c r="A906" t="s">
        <v>24</v>
      </c>
      <c r="B906">
        <v>1983</v>
      </c>
      <c r="C906">
        <v>28213</v>
      </c>
      <c r="D906" s="2">
        <v>2</v>
      </c>
      <c r="E906" s="3">
        <v>28215</v>
      </c>
      <c r="F906" t="s">
        <v>12</v>
      </c>
      <c r="G906" t="s">
        <v>12</v>
      </c>
      <c r="H906" s="1">
        <v>11.158863263092901</v>
      </c>
      <c r="I906" s="1">
        <v>36057.106036321202</v>
      </c>
      <c r="J906" s="1">
        <v>16556.997238925502</v>
      </c>
      <c r="K906" s="1"/>
      <c r="L906" s="1"/>
      <c r="M906" s="1"/>
      <c r="N906" s="1"/>
      <c r="O906" s="1"/>
      <c r="P906" s="1"/>
      <c r="Q906" s="1">
        <v>16151.2439071929</v>
      </c>
      <c r="R906" s="1">
        <v>80840</v>
      </c>
      <c r="S906" t="s">
        <v>9</v>
      </c>
    </row>
    <row r="907" spans="1:19" x14ac:dyDescent="0.55000000000000004">
      <c r="A907" t="s">
        <v>24</v>
      </c>
      <c r="B907">
        <v>1982</v>
      </c>
      <c r="C907">
        <v>2349</v>
      </c>
      <c r="D907" s="2">
        <v>1</v>
      </c>
      <c r="E907" s="3">
        <v>2350</v>
      </c>
      <c r="F907" t="s">
        <v>12</v>
      </c>
      <c r="G907" t="s">
        <v>12</v>
      </c>
      <c r="H907" s="1"/>
      <c r="I907" s="1">
        <v>24380.463504866701</v>
      </c>
      <c r="J907" s="1">
        <v>5302.5198301628598</v>
      </c>
      <c r="K907" s="1"/>
      <c r="L907" s="1"/>
      <c r="M907" s="1"/>
      <c r="N907" s="1"/>
      <c r="O907" s="1"/>
      <c r="P907" s="1"/>
      <c r="Q907" s="1">
        <v>-4341.1535190495897</v>
      </c>
      <c r="R907" s="1">
        <v>36374</v>
      </c>
      <c r="S907" t="s">
        <v>9</v>
      </c>
    </row>
    <row r="908" spans="1:19" x14ac:dyDescent="0.55000000000000004">
      <c r="A908" t="s">
        <v>24</v>
      </c>
      <c r="B908">
        <v>1981</v>
      </c>
      <c r="C908">
        <v>19733</v>
      </c>
      <c r="D908" s="2">
        <v>4</v>
      </c>
      <c r="E908" s="3">
        <v>19737</v>
      </c>
      <c r="F908" t="s">
        <v>12</v>
      </c>
      <c r="G908" t="s">
        <v>12</v>
      </c>
      <c r="H908" s="1"/>
      <c r="I908" s="1">
        <v>86539.517184460899</v>
      </c>
      <c r="J908" s="1">
        <v>15457.3640155473</v>
      </c>
      <c r="K908" s="1"/>
      <c r="L908" s="1"/>
      <c r="M908" s="1"/>
      <c r="N908" s="1"/>
      <c r="O908" s="1"/>
      <c r="P908" s="1"/>
      <c r="Q908" s="1">
        <v>-1986.18188762827</v>
      </c>
      <c r="R908" s="1">
        <v>123720</v>
      </c>
      <c r="S908" t="s">
        <v>9</v>
      </c>
    </row>
    <row r="909" spans="1:19" x14ac:dyDescent="0.55000000000000004">
      <c r="A909" t="s">
        <v>24</v>
      </c>
      <c r="B909">
        <v>1980</v>
      </c>
      <c r="C909">
        <v>3222</v>
      </c>
      <c r="D909" s="2">
        <v>62</v>
      </c>
      <c r="E909" s="3">
        <v>3284</v>
      </c>
      <c r="F909" t="s">
        <v>12</v>
      </c>
      <c r="G909" t="s">
        <v>12</v>
      </c>
      <c r="H909" s="1"/>
      <c r="I909" s="1">
        <v>8639.4017405959294</v>
      </c>
      <c r="J909" s="1">
        <v>1044.64945855876</v>
      </c>
      <c r="K909" s="1"/>
      <c r="L909" s="1"/>
      <c r="M909" s="1"/>
      <c r="N909" s="1"/>
      <c r="O909" s="1"/>
      <c r="P909" s="1"/>
      <c r="Q909" s="1">
        <v>117.179472173417</v>
      </c>
      <c r="R909" s="1">
        <v>12968</v>
      </c>
      <c r="S909" t="s">
        <v>9</v>
      </c>
    </row>
    <row r="910" spans="1:19" x14ac:dyDescent="0.55000000000000004">
      <c r="A910" t="s">
        <v>24</v>
      </c>
      <c r="B910">
        <v>1979</v>
      </c>
      <c r="C910">
        <v>57490</v>
      </c>
      <c r="D910" s="2">
        <v>5</v>
      </c>
      <c r="E910" s="3">
        <v>57495</v>
      </c>
      <c r="F910" t="s">
        <v>12</v>
      </c>
      <c r="G910" t="s">
        <v>12</v>
      </c>
      <c r="H910" s="1"/>
      <c r="I910" s="1">
        <v>74567.737127967295</v>
      </c>
      <c r="J910" s="1">
        <v>27110.587147919901</v>
      </c>
      <c r="K910" s="1"/>
      <c r="L910" s="1"/>
      <c r="M910" s="1"/>
      <c r="N910" s="1"/>
      <c r="O910" s="1"/>
      <c r="P910" s="1"/>
      <c r="Q910" s="1">
        <v>29097.0913620752</v>
      </c>
      <c r="R910" s="1">
        <v>159173</v>
      </c>
      <c r="S910" t="s">
        <v>9</v>
      </c>
    </row>
    <row r="911" spans="1:19" x14ac:dyDescent="0.55000000000000004">
      <c r="A911" t="s">
        <v>24</v>
      </c>
      <c r="B911">
        <v>1978</v>
      </c>
      <c r="C911">
        <v>2584</v>
      </c>
      <c r="D911" s="2">
        <v>198</v>
      </c>
      <c r="E911" s="3">
        <v>2782</v>
      </c>
      <c r="F911" t="s">
        <v>12</v>
      </c>
      <c r="G911" t="s">
        <v>12</v>
      </c>
      <c r="H911" s="1"/>
      <c r="I911" s="1">
        <v>15898.322731030001</v>
      </c>
      <c r="J911" s="1">
        <v>2310.5096545783299</v>
      </c>
      <c r="K911" s="1"/>
      <c r="L911" s="1"/>
      <c r="M911" s="1"/>
      <c r="N911" s="1"/>
      <c r="O911" s="1"/>
      <c r="P911" s="1"/>
      <c r="Q911" s="1">
        <v>1343.1842995401801</v>
      </c>
      <c r="R911" s="1">
        <v>20991</v>
      </c>
      <c r="S911" t="s">
        <v>9</v>
      </c>
    </row>
    <row r="912" spans="1:19" x14ac:dyDescent="0.55000000000000004">
      <c r="A912" t="s">
        <v>24</v>
      </c>
      <c r="B912">
        <v>1977</v>
      </c>
      <c r="C912">
        <v>18311</v>
      </c>
      <c r="D912" s="2">
        <v>38</v>
      </c>
      <c r="E912" s="3">
        <v>18349</v>
      </c>
      <c r="F912" t="s">
        <v>12</v>
      </c>
      <c r="G912" t="s">
        <v>12</v>
      </c>
      <c r="H912" s="1"/>
      <c r="I912" s="1">
        <v>49297.925087331103</v>
      </c>
      <c r="J912" s="1">
        <v>4202.5128172640298</v>
      </c>
      <c r="K912" s="1"/>
      <c r="L912" s="1"/>
      <c r="M912" s="1"/>
      <c r="N912" s="1"/>
      <c r="O912" s="1"/>
      <c r="P912" s="1"/>
      <c r="Q912" s="1">
        <v>17317.326946400899</v>
      </c>
      <c r="R912" s="1">
        <v>71849</v>
      </c>
      <c r="S912" t="s">
        <v>9</v>
      </c>
    </row>
    <row r="913" spans="1:19" x14ac:dyDescent="0.55000000000000004">
      <c r="A913" t="s">
        <v>24</v>
      </c>
      <c r="B913">
        <v>1976</v>
      </c>
      <c r="C913">
        <v>1723</v>
      </c>
      <c r="D913" s="2">
        <v>51</v>
      </c>
      <c r="E913" s="3">
        <v>1774</v>
      </c>
      <c r="F913" t="s">
        <v>12</v>
      </c>
      <c r="G913" t="s">
        <v>12</v>
      </c>
      <c r="H913" s="1"/>
      <c r="I913" s="1">
        <v>13749.5319148936</v>
      </c>
      <c r="J913" s="1">
        <v>1530.6432748538</v>
      </c>
      <c r="K913" s="1"/>
      <c r="L913" s="1"/>
      <c r="M913" s="1"/>
      <c r="N913" s="1"/>
      <c r="O913" s="1"/>
      <c r="P913" s="1"/>
      <c r="Q913" s="1"/>
      <c r="R913" s="1">
        <v>17054</v>
      </c>
      <c r="S913" t="s">
        <v>12</v>
      </c>
    </row>
    <row r="914" spans="1:19" x14ac:dyDescent="0.55000000000000004">
      <c r="A914" t="s">
        <v>24</v>
      </c>
      <c r="B914">
        <v>1975</v>
      </c>
      <c r="C914">
        <v>15790</v>
      </c>
      <c r="D914" s="2">
        <v>10</v>
      </c>
      <c r="E914" s="3">
        <v>15800</v>
      </c>
      <c r="F914" t="s">
        <v>12</v>
      </c>
      <c r="G914" t="s">
        <v>12</v>
      </c>
      <c r="H914" s="1"/>
      <c r="I914" s="1">
        <v>48485</v>
      </c>
      <c r="J914" s="1">
        <v>7107</v>
      </c>
      <c r="K914" s="1"/>
      <c r="L914" s="1"/>
      <c r="M914" s="1"/>
      <c r="N914" s="1"/>
      <c r="O914" s="1"/>
      <c r="P914" s="1"/>
      <c r="Q914" s="1"/>
      <c r="R914" s="1">
        <v>71392</v>
      </c>
      <c r="S914" t="s">
        <v>11</v>
      </c>
    </row>
    <row r="915" spans="1:19" x14ac:dyDescent="0.55000000000000004">
      <c r="A915" t="s">
        <v>24</v>
      </c>
      <c r="B915">
        <v>1974</v>
      </c>
      <c r="C915">
        <v>3730</v>
      </c>
      <c r="D915" s="2">
        <v>95</v>
      </c>
      <c r="E915" s="3">
        <v>3825</v>
      </c>
      <c r="F915" t="s">
        <v>12</v>
      </c>
      <c r="G915" t="s">
        <v>12</v>
      </c>
      <c r="H915" s="1"/>
      <c r="I915" s="1">
        <v>17234.163716814201</v>
      </c>
      <c r="J915" s="1">
        <v>4414</v>
      </c>
      <c r="K915" s="1"/>
      <c r="L915" s="1"/>
      <c r="M915" s="1"/>
      <c r="N915" s="1"/>
      <c r="O915" s="1"/>
      <c r="P915" s="1"/>
      <c r="Q915" s="1"/>
      <c r="R915" s="1">
        <v>25473</v>
      </c>
      <c r="S915" t="s">
        <v>12</v>
      </c>
    </row>
    <row r="916" spans="1:19" x14ac:dyDescent="0.55000000000000004">
      <c r="A916" t="s">
        <v>24</v>
      </c>
      <c r="B916">
        <v>1973</v>
      </c>
      <c r="C916">
        <v>19425</v>
      </c>
      <c r="D916" s="2">
        <v>17</v>
      </c>
      <c r="E916" s="3">
        <v>19442</v>
      </c>
      <c r="F916" t="s">
        <v>12</v>
      </c>
      <c r="G916" t="s">
        <v>12</v>
      </c>
      <c r="H916" s="1"/>
      <c r="I916" s="1">
        <v>93897</v>
      </c>
      <c r="J916" s="1">
        <v>8353</v>
      </c>
      <c r="K916" s="1"/>
      <c r="L916" s="1"/>
      <c r="M916" s="1"/>
      <c r="N916" s="1"/>
      <c r="O916" s="1"/>
      <c r="P916" s="1"/>
      <c r="Q916" s="1"/>
      <c r="R916" s="1">
        <v>121692</v>
      </c>
      <c r="S916" t="s">
        <v>12</v>
      </c>
    </row>
    <row r="917" spans="1:19" x14ac:dyDescent="0.55000000000000004">
      <c r="A917" t="s">
        <v>24</v>
      </c>
      <c r="B917">
        <v>1972</v>
      </c>
      <c r="C917">
        <v>3368</v>
      </c>
      <c r="D917" s="2">
        <v>161</v>
      </c>
      <c r="E917" s="3">
        <v>3529</v>
      </c>
      <c r="F917" t="s">
        <v>12</v>
      </c>
      <c r="G917" t="s">
        <v>12</v>
      </c>
      <c r="H917" s="1"/>
      <c r="I917" s="1">
        <v>63022</v>
      </c>
      <c r="J917" s="1">
        <v>6062</v>
      </c>
      <c r="K917" s="1"/>
      <c r="L917" s="1"/>
      <c r="M917" s="1"/>
      <c r="N917" s="1"/>
      <c r="O917" s="1"/>
      <c r="P917" s="1"/>
      <c r="Q917" s="1"/>
      <c r="R917" s="1">
        <v>72613</v>
      </c>
      <c r="S917" t="s">
        <v>12</v>
      </c>
    </row>
    <row r="918" spans="1:19" x14ac:dyDescent="0.55000000000000004">
      <c r="A918" t="s">
        <v>24</v>
      </c>
      <c r="B918">
        <v>1971</v>
      </c>
      <c r="C918">
        <v>15703</v>
      </c>
      <c r="D918" s="2">
        <v>44</v>
      </c>
      <c r="E918" s="3">
        <v>15747</v>
      </c>
      <c r="F918" t="s">
        <v>12</v>
      </c>
      <c r="G918" t="s">
        <v>12</v>
      </c>
      <c r="H918" s="1"/>
      <c r="I918" s="1">
        <v>119099</v>
      </c>
      <c r="J918" s="1">
        <v>6365</v>
      </c>
      <c r="K918" s="1"/>
      <c r="L918" s="1"/>
      <c r="M918" s="1"/>
      <c r="N918" s="1"/>
      <c r="O918" s="1"/>
      <c r="P918" s="1"/>
      <c r="Q918" s="1"/>
      <c r="R918" s="1">
        <v>141211</v>
      </c>
      <c r="S918" t="s">
        <v>12</v>
      </c>
    </row>
    <row r="919" spans="1:19" x14ac:dyDescent="0.55000000000000004">
      <c r="A919" t="s">
        <v>24</v>
      </c>
      <c r="B919">
        <v>1970</v>
      </c>
      <c r="C919">
        <v>4007</v>
      </c>
      <c r="D919" s="2">
        <v>10</v>
      </c>
      <c r="E919" s="3">
        <v>4017</v>
      </c>
      <c r="F919" t="s">
        <v>12</v>
      </c>
      <c r="G919" t="s">
        <v>12</v>
      </c>
      <c r="H919" s="1"/>
      <c r="I919" s="1">
        <v>22073.204555040102</v>
      </c>
      <c r="J919" s="1">
        <v>4465</v>
      </c>
      <c r="K919" s="1"/>
      <c r="L919" s="1"/>
      <c r="M919" s="1"/>
      <c r="N919" s="1"/>
      <c r="O919" s="1"/>
      <c r="P919" s="1"/>
      <c r="Q919" s="1"/>
      <c r="R919" s="1">
        <v>30555</v>
      </c>
      <c r="S919" t="s">
        <v>12</v>
      </c>
    </row>
    <row r="920" spans="1:19" x14ac:dyDescent="0.55000000000000004">
      <c r="A920" t="s">
        <v>24</v>
      </c>
      <c r="B920">
        <v>1969</v>
      </c>
      <c r="C920">
        <v>36436</v>
      </c>
      <c r="D920" s="2">
        <v>3</v>
      </c>
      <c r="E920" s="3">
        <v>36439</v>
      </c>
      <c r="F920" t="s">
        <v>12</v>
      </c>
      <c r="G920" t="s">
        <v>12</v>
      </c>
      <c r="H920" s="1"/>
      <c r="I920" s="1">
        <v>85988.999999999898</v>
      </c>
      <c r="J920" s="1">
        <v>3847</v>
      </c>
      <c r="K920" s="1"/>
      <c r="L920" s="1"/>
      <c r="M920" s="1"/>
      <c r="N920" s="1"/>
      <c r="O920" s="1"/>
      <c r="P920" s="1"/>
      <c r="Q920" s="1"/>
      <c r="R920" s="1">
        <v>126275</v>
      </c>
      <c r="S920" t="s">
        <v>12</v>
      </c>
    </row>
    <row r="921" spans="1:19" x14ac:dyDescent="0.55000000000000004">
      <c r="A921" t="s">
        <v>24</v>
      </c>
      <c r="B921">
        <v>1968</v>
      </c>
      <c r="C921">
        <v>2151</v>
      </c>
      <c r="D921" s="2">
        <v>247</v>
      </c>
      <c r="E921" s="3">
        <v>2398</v>
      </c>
      <c r="F921" t="s">
        <v>12</v>
      </c>
      <c r="G921" t="s">
        <v>12</v>
      </c>
      <c r="H921" s="1"/>
      <c r="I921" s="1">
        <v>21971.704096626501</v>
      </c>
      <c r="J921" s="1">
        <v>1275</v>
      </c>
      <c r="K921" s="1"/>
      <c r="L921" s="1"/>
      <c r="M921" s="1"/>
      <c r="N921" s="1"/>
      <c r="O921" s="1"/>
      <c r="P921" s="1"/>
      <c r="Q921" s="1"/>
      <c r="R921" s="1">
        <v>25645</v>
      </c>
      <c r="S921" t="s">
        <v>12</v>
      </c>
    </row>
    <row r="922" spans="1:19" x14ac:dyDescent="0.55000000000000004">
      <c r="A922" t="s">
        <v>24</v>
      </c>
      <c r="B922">
        <v>1967</v>
      </c>
      <c r="C922">
        <v>9385</v>
      </c>
      <c r="D922" s="2">
        <v>0</v>
      </c>
      <c r="E922" s="3">
        <v>9385</v>
      </c>
      <c r="F922" t="s">
        <v>12</v>
      </c>
      <c r="G922" t="s">
        <v>12</v>
      </c>
      <c r="H922" s="1"/>
      <c r="I922" s="1">
        <v>55852.361692497601</v>
      </c>
      <c r="J922" s="1">
        <v>1942.65801886792</v>
      </c>
      <c r="K922" s="1"/>
      <c r="L922" s="1"/>
      <c r="M922" s="1"/>
      <c r="N922" s="1"/>
      <c r="O922" s="1"/>
      <c r="P922" s="1"/>
      <c r="Q922" s="1"/>
      <c r="R922" s="1">
        <v>67180</v>
      </c>
      <c r="S922" t="s">
        <v>12</v>
      </c>
    </row>
    <row r="923" spans="1:19" x14ac:dyDescent="0.55000000000000004">
      <c r="A923" t="s">
        <v>24</v>
      </c>
      <c r="B923">
        <v>1966</v>
      </c>
      <c r="C923">
        <v>1807</v>
      </c>
      <c r="D923" s="2">
        <v>60</v>
      </c>
      <c r="E923" s="3">
        <v>1867</v>
      </c>
      <c r="F923" t="s">
        <v>12</v>
      </c>
      <c r="G923" t="s">
        <v>12</v>
      </c>
      <c r="H923" s="1"/>
      <c r="I923" s="1">
        <v>9119.9357333867392</v>
      </c>
      <c r="J923" s="1">
        <v>306.14772727272702</v>
      </c>
      <c r="K923" s="1"/>
      <c r="L923" s="1"/>
      <c r="M923" s="1"/>
      <c r="N923" s="1"/>
      <c r="O923" s="1"/>
      <c r="P923" s="1"/>
      <c r="Q923" s="1"/>
      <c r="R923" s="1">
        <v>11293</v>
      </c>
      <c r="S923" t="s">
        <v>12</v>
      </c>
    </row>
    <row r="924" spans="1:19" x14ac:dyDescent="0.55000000000000004">
      <c r="A924" t="s">
        <v>24</v>
      </c>
      <c r="B924">
        <v>1965</v>
      </c>
      <c r="C924">
        <v>15177</v>
      </c>
      <c r="D924" s="2">
        <v>0</v>
      </c>
      <c r="E924" s="3">
        <v>15177</v>
      </c>
      <c r="F924" t="s">
        <v>12</v>
      </c>
      <c r="G924" t="s">
        <v>12</v>
      </c>
      <c r="H924" s="1"/>
      <c r="I924" s="1">
        <v>109735.058191599</v>
      </c>
      <c r="J924" s="1">
        <v>3294.5630468347899</v>
      </c>
      <c r="K924" s="1"/>
      <c r="L924" s="1"/>
      <c r="M924" s="1"/>
      <c r="N924" s="1"/>
      <c r="O924" s="1"/>
      <c r="P924" s="1"/>
      <c r="Q924" s="1"/>
      <c r="R924" s="1">
        <v>128207</v>
      </c>
      <c r="S924" t="s">
        <v>12</v>
      </c>
    </row>
    <row r="925" spans="1:19" x14ac:dyDescent="0.55000000000000004">
      <c r="A925" t="s">
        <v>24</v>
      </c>
      <c r="B925">
        <v>1964</v>
      </c>
      <c r="C925">
        <v>1604</v>
      </c>
      <c r="D925" s="2">
        <v>25</v>
      </c>
      <c r="E925" s="3">
        <v>1629</v>
      </c>
      <c r="F925" t="s">
        <v>12</v>
      </c>
      <c r="G925" t="s">
        <v>12</v>
      </c>
      <c r="H925" s="1"/>
      <c r="I925" s="1">
        <v>6989.0853251893996</v>
      </c>
      <c r="J925" s="1">
        <v>790.49002849002795</v>
      </c>
      <c r="K925" s="1"/>
      <c r="L925" s="1"/>
      <c r="M925" s="1"/>
      <c r="N925" s="1"/>
      <c r="O925" s="1"/>
      <c r="P925" s="1"/>
      <c r="Q925" s="1"/>
      <c r="R925" s="1">
        <v>9409</v>
      </c>
      <c r="S925" t="s">
        <v>11</v>
      </c>
    </row>
    <row r="926" spans="1:19" x14ac:dyDescent="0.55000000000000004">
      <c r="A926" t="s">
        <v>24</v>
      </c>
      <c r="B926">
        <v>1963</v>
      </c>
      <c r="C926">
        <v>8307</v>
      </c>
      <c r="D926" s="2">
        <v>16</v>
      </c>
      <c r="E926" s="3">
        <v>8323</v>
      </c>
      <c r="F926" t="s">
        <v>12</v>
      </c>
      <c r="G926" t="s">
        <v>12</v>
      </c>
      <c r="H926" s="1"/>
      <c r="I926" s="1">
        <v>10046.907966090001</v>
      </c>
      <c r="J926" s="1">
        <v>1351.98567013206</v>
      </c>
      <c r="K926" s="1"/>
      <c r="L926" s="1"/>
      <c r="M926" s="1"/>
      <c r="N926" s="1"/>
      <c r="O926" s="1"/>
      <c r="P926" s="1"/>
      <c r="Q926" s="1"/>
      <c r="R926" s="1">
        <v>19722</v>
      </c>
      <c r="S926" t="s">
        <v>12</v>
      </c>
    </row>
    <row r="927" spans="1:19" x14ac:dyDescent="0.55000000000000004">
      <c r="A927" t="s">
        <v>24</v>
      </c>
      <c r="B927">
        <v>1962</v>
      </c>
      <c r="C927">
        <v>2130</v>
      </c>
      <c r="D927" s="2">
        <v>3</v>
      </c>
      <c r="E927" s="3">
        <v>2133</v>
      </c>
      <c r="F927" t="s">
        <v>12</v>
      </c>
      <c r="G927" t="s">
        <v>12</v>
      </c>
      <c r="H927" s="1"/>
      <c r="I927" s="1">
        <v>3958.8912344086898</v>
      </c>
      <c r="J927" s="1">
        <v>330.78134110787198</v>
      </c>
      <c r="K927" s="1"/>
      <c r="L927" s="1"/>
      <c r="M927" s="1"/>
      <c r="N927" s="1"/>
      <c r="O927" s="1"/>
      <c r="P927" s="1"/>
      <c r="Q927" s="1"/>
      <c r="R927" s="1">
        <v>6423</v>
      </c>
      <c r="S927" t="s">
        <v>12</v>
      </c>
    </row>
    <row r="928" spans="1:19" x14ac:dyDescent="0.55000000000000004">
      <c r="A928" t="s">
        <v>24</v>
      </c>
      <c r="B928">
        <v>1961</v>
      </c>
      <c r="C928">
        <v>35972</v>
      </c>
      <c r="D928" s="2">
        <v>4</v>
      </c>
      <c r="E928" s="3">
        <v>35976</v>
      </c>
      <c r="F928" t="s">
        <v>12</v>
      </c>
      <c r="G928" t="s">
        <v>12</v>
      </c>
      <c r="H928" s="1"/>
      <c r="I928" s="1">
        <v>178684</v>
      </c>
      <c r="J928" s="1">
        <v>6229</v>
      </c>
      <c r="K928" s="1"/>
      <c r="L928" s="1"/>
      <c r="M928" s="1"/>
      <c r="N928" s="1"/>
      <c r="O928" s="1"/>
      <c r="P928" s="1"/>
      <c r="Q928" s="1"/>
      <c r="R928" s="1">
        <v>220889</v>
      </c>
      <c r="S928" t="s">
        <v>12</v>
      </c>
    </row>
    <row r="929" spans="1:19" x14ac:dyDescent="0.55000000000000004">
      <c r="A929" t="s">
        <v>24</v>
      </c>
      <c r="B929">
        <v>1960</v>
      </c>
      <c r="C929">
        <v>1550</v>
      </c>
      <c r="D929" s="2">
        <v>173</v>
      </c>
      <c r="E929" s="3">
        <v>1723</v>
      </c>
      <c r="F929" t="s">
        <v>12</v>
      </c>
      <c r="G929" t="s">
        <v>12</v>
      </c>
      <c r="H929" s="1"/>
      <c r="I929" s="1">
        <v>6407</v>
      </c>
      <c r="J929" s="1">
        <v>394</v>
      </c>
      <c r="K929" s="1"/>
      <c r="L929" s="1"/>
      <c r="M929" s="1"/>
      <c r="N929" s="1"/>
      <c r="O929" s="1"/>
      <c r="P929" s="1"/>
      <c r="Q929" s="1"/>
      <c r="R929" s="1">
        <v>8524</v>
      </c>
      <c r="S929" t="s">
        <v>11</v>
      </c>
    </row>
    <row r="930" spans="1:19" x14ac:dyDescent="0.55000000000000004">
      <c r="A930" t="s">
        <v>24</v>
      </c>
      <c r="B930">
        <v>1959</v>
      </c>
      <c r="C930">
        <v>1364</v>
      </c>
      <c r="D930" s="2">
        <v>0</v>
      </c>
      <c r="E930" s="3">
        <v>1364</v>
      </c>
      <c r="F930" t="s">
        <v>12</v>
      </c>
      <c r="G930" t="s">
        <v>12</v>
      </c>
      <c r="H930" s="1"/>
      <c r="I930" s="1">
        <v>4233.3696498054496</v>
      </c>
      <c r="J930" s="1">
        <v>135.09727626459099</v>
      </c>
      <c r="K930" s="1"/>
      <c r="L930" s="1"/>
      <c r="M930" s="1"/>
      <c r="N930" s="1"/>
      <c r="O930" s="1"/>
      <c r="P930" s="1"/>
      <c r="Q930" s="1"/>
      <c r="R930" s="1">
        <v>5732</v>
      </c>
      <c r="S930" t="s">
        <v>12</v>
      </c>
    </row>
    <row r="931" spans="1:19" x14ac:dyDescent="0.55000000000000004">
      <c r="A931" t="s">
        <v>24</v>
      </c>
      <c r="B931">
        <v>1958</v>
      </c>
      <c r="C931">
        <v>806</v>
      </c>
      <c r="D931" s="2">
        <v>0</v>
      </c>
      <c r="E931" s="3">
        <v>806</v>
      </c>
      <c r="F931" t="s">
        <v>12</v>
      </c>
      <c r="G931" t="s">
        <v>12</v>
      </c>
      <c r="H931" s="1"/>
      <c r="I931" s="1">
        <v>5386.6336633663304</v>
      </c>
      <c r="J931" s="1">
        <v>77.521923620933507</v>
      </c>
      <c r="K931" s="1"/>
      <c r="L931" s="1"/>
      <c r="M931" s="1"/>
      <c r="N931" s="1"/>
      <c r="O931" s="1"/>
      <c r="P931" s="1"/>
      <c r="Q931" s="1"/>
      <c r="R931" s="1">
        <v>6270</v>
      </c>
      <c r="S931" t="s">
        <v>12</v>
      </c>
    </row>
    <row r="932" spans="1:19" x14ac:dyDescent="0.55000000000000004">
      <c r="A932" t="s">
        <v>24</v>
      </c>
      <c r="B932">
        <v>1957</v>
      </c>
      <c r="C932">
        <v>59134</v>
      </c>
      <c r="D932" s="2">
        <v>10</v>
      </c>
      <c r="E932" s="3">
        <v>59144</v>
      </c>
      <c r="F932" t="s">
        <v>12</v>
      </c>
      <c r="G932" t="s">
        <v>12</v>
      </c>
      <c r="H932" s="1"/>
      <c r="I932" s="1">
        <v>220383.11661659999</v>
      </c>
      <c r="J932" s="1">
        <v>6843.27242042732</v>
      </c>
      <c r="K932" s="1"/>
      <c r="L932" s="1"/>
      <c r="M932" s="1"/>
      <c r="N932" s="1"/>
      <c r="O932" s="1"/>
      <c r="P932" s="1"/>
      <c r="Q932" s="1"/>
      <c r="R932" s="1">
        <v>286370</v>
      </c>
      <c r="S932" t="s">
        <v>12</v>
      </c>
    </row>
    <row r="933" spans="1:19" x14ac:dyDescent="0.55000000000000004">
      <c r="A933" t="s">
        <v>24</v>
      </c>
      <c r="B933">
        <v>1956</v>
      </c>
      <c r="C933">
        <v>1199</v>
      </c>
      <c r="D933" s="2">
        <v>112</v>
      </c>
      <c r="E933" s="3">
        <v>1311</v>
      </c>
      <c r="F933" t="s">
        <v>12</v>
      </c>
      <c r="G933" t="s">
        <v>12</v>
      </c>
      <c r="H933" s="1"/>
      <c r="I933" s="1">
        <v>5478.7765237020303</v>
      </c>
      <c r="J933" s="1">
        <v>284.09932279909702</v>
      </c>
      <c r="K933" s="1"/>
      <c r="L933" s="1"/>
      <c r="M933" s="1"/>
      <c r="N933" s="1"/>
      <c r="O933" s="1"/>
      <c r="P933" s="1"/>
      <c r="Q933" s="1"/>
      <c r="R933" s="1">
        <v>7074</v>
      </c>
      <c r="S933" t="s">
        <v>12</v>
      </c>
    </row>
    <row r="934" spans="1:19" x14ac:dyDescent="0.55000000000000004">
      <c r="A934" t="s">
        <v>24</v>
      </c>
      <c r="B934">
        <v>1955</v>
      </c>
      <c r="C934">
        <v>198</v>
      </c>
      <c r="D934" s="2">
        <v>4</v>
      </c>
      <c r="E934" s="3">
        <v>202</v>
      </c>
      <c r="F934" t="s">
        <v>12</v>
      </c>
      <c r="G934" t="s">
        <v>12</v>
      </c>
      <c r="H934" s="1"/>
      <c r="I934" s="1">
        <v>1603.31155778895</v>
      </c>
      <c r="J934" s="1">
        <v>57.097989949748801</v>
      </c>
      <c r="K934" s="1"/>
      <c r="L934" s="1"/>
      <c r="M934" s="1"/>
      <c r="N934" s="1"/>
      <c r="O934" s="1"/>
      <c r="P934" s="1"/>
      <c r="Q934" s="1"/>
      <c r="R934" s="1">
        <v>1862</v>
      </c>
      <c r="S934" t="s">
        <v>11</v>
      </c>
    </row>
    <row r="935" spans="1:19" x14ac:dyDescent="0.55000000000000004">
      <c r="A935" t="s">
        <v>24</v>
      </c>
      <c r="B935">
        <v>1954</v>
      </c>
      <c r="C935">
        <v>2219</v>
      </c>
      <c r="D935" s="2">
        <v>0</v>
      </c>
      <c r="E935" s="3">
        <v>2219</v>
      </c>
      <c r="F935" t="s">
        <v>12</v>
      </c>
      <c r="G935" t="s">
        <v>12</v>
      </c>
      <c r="H935" s="1"/>
      <c r="I935" s="1">
        <v>14339.2093639576</v>
      </c>
      <c r="J935" s="1">
        <v>338.14266784452298</v>
      </c>
      <c r="K935" s="1"/>
      <c r="L935" s="1"/>
      <c r="M935" s="1"/>
      <c r="N935" s="1"/>
      <c r="O935" s="1"/>
      <c r="P935" s="1"/>
      <c r="Q935" s="1"/>
      <c r="R935" s="1">
        <v>16896</v>
      </c>
      <c r="S935" t="s">
        <v>12</v>
      </c>
    </row>
    <row r="936" spans="1:19" x14ac:dyDescent="0.55000000000000004">
      <c r="A936" t="s">
        <v>24</v>
      </c>
      <c r="B936">
        <v>1953</v>
      </c>
      <c r="C936">
        <v>38563</v>
      </c>
      <c r="D936" s="2">
        <v>11</v>
      </c>
      <c r="E936" s="3">
        <v>38574</v>
      </c>
      <c r="F936" t="s">
        <v>12</v>
      </c>
      <c r="G936" t="s">
        <v>12</v>
      </c>
      <c r="H936" s="1"/>
      <c r="I936" s="1">
        <v>223067.380076061</v>
      </c>
      <c r="J936" s="1">
        <v>4538.8126292146299</v>
      </c>
      <c r="K936" s="1"/>
      <c r="L936" s="1"/>
      <c r="M936" s="1"/>
      <c r="N936" s="1"/>
      <c r="O936" s="1"/>
      <c r="P936" s="1"/>
      <c r="Q936" s="1"/>
      <c r="R936" s="1">
        <v>266180</v>
      </c>
      <c r="S936" t="s">
        <v>12</v>
      </c>
    </row>
    <row r="937" spans="1:19" x14ac:dyDescent="0.55000000000000004">
      <c r="A937" t="s">
        <v>24</v>
      </c>
      <c r="B937">
        <v>1952</v>
      </c>
      <c r="C937">
        <v>1042</v>
      </c>
      <c r="D937" s="2">
        <v>645</v>
      </c>
      <c r="E937" s="3">
        <v>1687</v>
      </c>
      <c r="F937" t="s">
        <v>12</v>
      </c>
      <c r="G937" t="s">
        <v>12</v>
      </c>
      <c r="H937" s="1"/>
      <c r="I937" s="1">
        <v>7551.4648117839597</v>
      </c>
      <c r="J937" s="1">
        <v>395.75013638843501</v>
      </c>
      <c r="K937" s="1"/>
      <c r="L937" s="1"/>
      <c r="M937" s="1"/>
      <c r="N937" s="1"/>
      <c r="O937" s="1"/>
      <c r="P937" s="1"/>
      <c r="Q937" s="1"/>
      <c r="R937" s="1">
        <v>9634</v>
      </c>
      <c r="S937" t="s">
        <v>12</v>
      </c>
    </row>
    <row r="938" spans="1:19" x14ac:dyDescent="0.55000000000000004">
      <c r="A938" t="s">
        <v>25</v>
      </c>
      <c r="B938">
        <v>2023</v>
      </c>
      <c r="C938">
        <v>5822</v>
      </c>
      <c r="D938" s="2">
        <v>0</v>
      </c>
      <c r="E938" s="3">
        <v>5822</v>
      </c>
      <c r="F938" t="s">
        <v>12</v>
      </c>
      <c r="G938" t="s">
        <v>12</v>
      </c>
      <c r="H938" s="1">
        <v>116.844840121147</v>
      </c>
      <c r="I938" s="1">
        <v>115.25880268775499</v>
      </c>
      <c r="J938" s="1">
        <v>44.452759771921599</v>
      </c>
      <c r="K938" s="1"/>
      <c r="L938" s="1">
        <v>2935</v>
      </c>
      <c r="M938" s="1">
        <v>1027</v>
      </c>
      <c r="N938" s="1"/>
      <c r="O938" s="1"/>
      <c r="P938" s="1"/>
      <c r="Q938" s="1">
        <v>-5197.55994205978</v>
      </c>
      <c r="R938" s="1">
        <v>10061</v>
      </c>
      <c r="S938" t="s">
        <v>11</v>
      </c>
    </row>
    <row r="939" spans="1:19" x14ac:dyDescent="0.55000000000000004">
      <c r="A939" t="s">
        <v>25</v>
      </c>
      <c r="B939">
        <v>2022</v>
      </c>
      <c r="C939">
        <v>5031</v>
      </c>
      <c r="D939" s="2">
        <v>0</v>
      </c>
      <c r="E939" s="3">
        <v>5031</v>
      </c>
      <c r="F939" t="s">
        <v>12</v>
      </c>
      <c r="G939" t="s">
        <v>12</v>
      </c>
      <c r="H939" s="1">
        <v>0</v>
      </c>
      <c r="I939" s="1">
        <v>405.97872447130999</v>
      </c>
      <c r="J939" s="1">
        <v>534.41157742672601</v>
      </c>
      <c r="K939" s="1"/>
      <c r="L939" s="1">
        <v>1097</v>
      </c>
      <c r="M939" s="1">
        <v>1183</v>
      </c>
      <c r="N939" s="1"/>
      <c r="O939" s="1"/>
      <c r="P939" s="1"/>
      <c r="Q939" s="1">
        <v>-3980.86963889149</v>
      </c>
      <c r="R939" s="1">
        <v>8251</v>
      </c>
      <c r="S939" t="s">
        <v>11</v>
      </c>
    </row>
    <row r="940" spans="1:19" x14ac:dyDescent="0.55000000000000004">
      <c r="A940" t="s">
        <v>25</v>
      </c>
      <c r="B940">
        <v>2021</v>
      </c>
      <c r="C940">
        <v>5997</v>
      </c>
      <c r="D940" s="2">
        <v>0</v>
      </c>
      <c r="E940" s="3">
        <v>5997</v>
      </c>
      <c r="F940" t="s">
        <v>12</v>
      </c>
      <c r="G940" t="s">
        <v>12</v>
      </c>
      <c r="H940" s="1">
        <v>0</v>
      </c>
      <c r="I940" s="1">
        <v>39.116575267645601</v>
      </c>
      <c r="J940" s="1">
        <v>27.557703305349801</v>
      </c>
      <c r="K940" s="1"/>
      <c r="L940" s="1">
        <v>1270</v>
      </c>
      <c r="M940" s="1">
        <v>1199</v>
      </c>
      <c r="N940" s="1"/>
      <c r="O940" s="1"/>
      <c r="P940" s="1"/>
      <c r="Q940" s="1">
        <v>3392.22628480413</v>
      </c>
      <c r="R940" s="1">
        <v>8533</v>
      </c>
      <c r="S940" t="s">
        <v>11</v>
      </c>
    </row>
    <row r="941" spans="1:19" x14ac:dyDescent="0.55000000000000004">
      <c r="A941" t="s">
        <v>25</v>
      </c>
      <c r="B941">
        <v>2020</v>
      </c>
      <c r="C941">
        <v>2096</v>
      </c>
      <c r="D941" s="2">
        <v>0</v>
      </c>
      <c r="E941" s="3">
        <v>2096</v>
      </c>
      <c r="F941" t="s">
        <v>12</v>
      </c>
      <c r="G941" t="s">
        <v>12</v>
      </c>
      <c r="H941" s="1">
        <v>0.1211620981896</v>
      </c>
      <c r="I941" s="1">
        <v>23.7337251223016</v>
      </c>
      <c r="J941" s="1">
        <v>4.6999671523748496</v>
      </c>
      <c r="K941" s="1"/>
      <c r="L941" s="1">
        <v>629</v>
      </c>
      <c r="M941" s="1">
        <v>419</v>
      </c>
      <c r="N941" s="1"/>
      <c r="O941" s="1"/>
      <c r="P941" s="1"/>
      <c r="Q941" s="1">
        <v>1416.5072374556401</v>
      </c>
      <c r="R941" s="1">
        <v>3173</v>
      </c>
      <c r="S941" t="s">
        <v>11</v>
      </c>
    </row>
    <row r="942" spans="1:19" x14ac:dyDescent="0.55000000000000004">
      <c r="A942" t="s">
        <v>25</v>
      </c>
      <c r="B942">
        <v>2019</v>
      </c>
      <c r="C942">
        <v>1288</v>
      </c>
      <c r="D942" s="2">
        <v>0</v>
      </c>
      <c r="E942" s="3">
        <v>1288</v>
      </c>
      <c r="F942" t="s">
        <v>12</v>
      </c>
      <c r="G942" t="s">
        <v>12</v>
      </c>
      <c r="H942" s="1">
        <v>1.3407005974099999</v>
      </c>
      <c r="I942" s="1">
        <v>26.9446233097818</v>
      </c>
      <c r="J942" s="1">
        <v>3.51717323830142</v>
      </c>
      <c r="K942" s="1"/>
      <c r="L942" s="1">
        <v>172</v>
      </c>
      <c r="M942" s="1">
        <v>258</v>
      </c>
      <c r="N942" s="1"/>
      <c r="O942" s="1"/>
      <c r="P942" s="1"/>
      <c r="Q942" s="1">
        <v>-649.20381107901096</v>
      </c>
      <c r="R942" s="1">
        <v>1750</v>
      </c>
      <c r="S942" t="s">
        <v>11</v>
      </c>
    </row>
    <row r="943" spans="1:19" x14ac:dyDescent="0.55000000000000004">
      <c r="A943" t="s">
        <v>25</v>
      </c>
      <c r="B943">
        <v>2018</v>
      </c>
      <c r="C943">
        <v>2534</v>
      </c>
      <c r="D943" s="2">
        <v>0</v>
      </c>
      <c r="E943" s="3">
        <v>2534</v>
      </c>
      <c r="F943" t="s">
        <v>12</v>
      </c>
      <c r="G943" t="s">
        <v>12</v>
      </c>
      <c r="H943" s="1">
        <v>0</v>
      </c>
      <c r="I943" s="1">
        <v>1799.39444311431</v>
      </c>
      <c r="J943" s="1">
        <v>200.60040156950001</v>
      </c>
      <c r="K943" s="1">
        <v>1</v>
      </c>
      <c r="L943" s="1">
        <v>760</v>
      </c>
      <c r="M943" s="1">
        <v>507</v>
      </c>
      <c r="N943" s="1">
        <v>1291</v>
      </c>
      <c r="O943" s="1"/>
      <c r="P943" s="1"/>
      <c r="Q943" s="1">
        <v>917.12276483477103</v>
      </c>
      <c r="R943" s="1">
        <v>7093</v>
      </c>
      <c r="S943" t="s">
        <v>11</v>
      </c>
    </row>
    <row r="944" spans="1:19" x14ac:dyDescent="0.55000000000000004">
      <c r="A944" t="s">
        <v>25</v>
      </c>
      <c r="B944">
        <v>2017</v>
      </c>
      <c r="C944">
        <v>1923</v>
      </c>
      <c r="D944" s="2">
        <v>5</v>
      </c>
      <c r="E944" s="3">
        <v>1928</v>
      </c>
      <c r="F944" t="s">
        <v>12</v>
      </c>
      <c r="G944" t="s">
        <v>12</v>
      </c>
      <c r="H944" s="1">
        <v>172.98410918309401</v>
      </c>
      <c r="I944" s="1">
        <v>37.934697506791998</v>
      </c>
      <c r="J944" s="1">
        <v>20.493440587586999</v>
      </c>
      <c r="K944" s="1"/>
      <c r="L944" s="1">
        <v>293</v>
      </c>
      <c r="M944" s="1">
        <v>713</v>
      </c>
      <c r="N944" s="1">
        <v>213</v>
      </c>
      <c r="O944" s="1">
        <v>1</v>
      </c>
      <c r="P944" s="1">
        <v>3</v>
      </c>
      <c r="Q944" s="1">
        <v>555.50334593489799</v>
      </c>
      <c r="R944" s="1">
        <v>3382</v>
      </c>
      <c r="S944" t="s">
        <v>11</v>
      </c>
    </row>
    <row r="945" spans="1:19" x14ac:dyDescent="0.55000000000000004">
      <c r="A945" t="s">
        <v>25</v>
      </c>
      <c r="B945">
        <v>2016</v>
      </c>
      <c r="C945">
        <v>1896</v>
      </c>
      <c r="D945" s="2">
        <v>0</v>
      </c>
      <c r="E945" s="3">
        <v>1896</v>
      </c>
      <c r="F945" t="s">
        <v>12</v>
      </c>
      <c r="G945" t="s">
        <v>12</v>
      </c>
      <c r="H945" s="1">
        <v>0</v>
      </c>
      <c r="I945" s="1">
        <v>162.85831588963799</v>
      </c>
      <c r="J945" s="1">
        <v>325.78753587741198</v>
      </c>
      <c r="K945" s="1"/>
      <c r="L945" s="1">
        <v>476</v>
      </c>
      <c r="M945" s="1">
        <v>799</v>
      </c>
      <c r="N945" s="1">
        <v>1122</v>
      </c>
      <c r="O945" s="1"/>
      <c r="P945" s="1"/>
      <c r="Q945" s="1">
        <v>-427.640368672779</v>
      </c>
      <c r="R945" s="1">
        <v>4782</v>
      </c>
      <c r="S945" t="s">
        <v>11</v>
      </c>
    </row>
    <row r="946" spans="1:19" x14ac:dyDescent="0.55000000000000004">
      <c r="A946" t="s">
        <v>25</v>
      </c>
      <c r="B946">
        <v>2015</v>
      </c>
      <c r="C946">
        <v>4414</v>
      </c>
      <c r="D946" s="2">
        <v>0</v>
      </c>
      <c r="E946" s="3">
        <v>4414</v>
      </c>
      <c r="F946" t="s">
        <v>12</v>
      </c>
      <c r="G946" t="s">
        <v>12</v>
      </c>
      <c r="H946" s="1">
        <v>1.2385290998430001</v>
      </c>
      <c r="I946" s="1">
        <v>1281.4125401668</v>
      </c>
      <c r="J946" s="1">
        <v>429.687997967559</v>
      </c>
      <c r="K946" s="1"/>
      <c r="L946" s="1">
        <v>1104</v>
      </c>
      <c r="M946" s="1"/>
      <c r="N946" s="1"/>
      <c r="O946" s="1"/>
      <c r="P946" s="1"/>
      <c r="Q946" s="1">
        <v>-6653.1319263964697</v>
      </c>
      <c r="R946" s="1">
        <v>7230</v>
      </c>
      <c r="S946" t="s">
        <v>11</v>
      </c>
    </row>
    <row r="947" spans="1:19" x14ac:dyDescent="0.55000000000000004">
      <c r="A947" t="s">
        <v>25</v>
      </c>
      <c r="B947">
        <v>2014</v>
      </c>
      <c r="C947">
        <v>3873</v>
      </c>
      <c r="D947" s="2">
        <v>0</v>
      </c>
      <c r="E947" s="3">
        <v>3873</v>
      </c>
      <c r="F947" t="s">
        <v>12</v>
      </c>
      <c r="G947" t="s">
        <v>12</v>
      </c>
      <c r="H947" s="1">
        <v>29.748624062920001</v>
      </c>
      <c r="I947" s="1">
        <v>9377.4127625200108</v>
      </c>
      <c r="J947" s="1">
        <v>1307.37483336899</v>
      </c>
      <c r="K947" s="1"/>
      <c r="L947" s="1">
        <v>948</v>
      </c>
      <c r="M947" s="1">
        <v>1497</v>
      </c>
      <c r="N947" s="1">
        <v>-4238</v>
      </c>
      <c r="O947" s="1"/>
      <c r="P947" s="1"/>
      <c r="Q947" s="1">
        <v>-4668.5965807399198</v>
      </c>
      <c r="R947" s="1">
        <v>12795</v>
      </c>
      <c r="S947" t="s">
        <v>11</v>
      </c>
    </row>
    <row r="948" spans="1:19" x14ac:dyDescent="0.55000000000000004">
      <c r="A948" t="s">
        <v>25</v>
      </c>
      <c r="B948">
        <v>2013</v>
      </c>
      <c r="C948">
        <v>2099</v>
      </c>
      <c r="D948" s="2">
        <v>16</v>
      </c>
      <c r="E948" s="3">
        <v>2115</v>
      </c>
      <c r="F948" t="s">
        <v>12</v>
      </c>
      <c r="G948" t="s">
        <v>12</v>
      </c>
      <c r="H948" s="1">
        <v>0</v>
      </c>
      <c r="I948" s="1">
        <v>620.48409645171296</v>
      </c>
      <c r="J948" s="1">
        <v>649.38199399485802</v>
      </c>
      <c r="K948" s="1"/>
      <c r="L948" s="1">
        <v>525</v>
      </c>
      <c r="M948" s="1"/>
      <c r="N948" s="1">
        <v>-728</v>
      </c>
      <c r="O948" s="1">
        <v>4</v>
      </c>
      <c r="P948" s="1"/>
      <c r="Q948" s="1">
        <v>-6137.1997015184097</v>
      </c>
      <c r="R948" s="1">
        <v>3186</v>
      </c>
      <c r="S948" t="s">
        <v>11</v>
      </c>
    </row>
    <row r="949" spans="1:19" x14ac:dyDescent="0.55000000000000004">
      <c r="A949" t="s">
        <v>25</v>
      </c>
      <c r="B949">
        <v>2012</v>
      </c>
      <c r="C949">
        <v>4065</v>
      </c>
      <c r="D949" s="2">
        <v>6</v>
      </c>
      <c r="E949" s="3">
        <v>4071</v>
      </c>
      <c r="F949" t="s">
        <v>12</v>
      </c>
      <c r="G949" t="s">
        <v>12</v>
      </c>
      <c r="H949" s="1">
        <v>19.006037814646401</v>
      </c>
      <c r="I949" s="1">
        <v>607.86839417395095</v>
      </c>
      <c r="J949" s="1">
        <v>1720.4395896031999</v>
      </c>
      <c r="K949" s="1">
        <v>207</v>
      </c>
      <c r="L949" s="1">
        <v>1147</v>
      </c>
      <c r="M949" s="1"/>
      <c r="N949" s="1"/>
      <c r="O949" s="1">
        <v>2</v>
      </c>
      <c r="P949" s="1"/>
      <c r="Q949" s="1">
        <v>-3113.78586361818</v>
      </c>
      <c r="R949" s="1">
        <v>7774</v>
      </c>
      <c r="S949" t="s">
        <v>11</v>
      </c>
    </row>
    <row r="950" spans="1:19" x14ac:dyDescent="0.55000000000000004">
      <c r="A950" t="s">
        <v>25</v>
      </c>
      <c r="B950">
        <v>2011</v>
      </c>
      <c r="C950">
        <v>6955</v>
      </c>
      <c r="D950" s="2">
        <v>14</v>
      </c>
      <c r="E950" s="3">
        <v>6969</v>
      </c>
      <c r="F950" t="s">
        <v>12</v>
      </c>
      <c r="G950" t="s">
        <v>12</v>
      </c>
      <c r="H950" s="1">
        <v>332.580507727895</v>
      </c>
      <c r="I950" s="1">
        <v>4063.7967487217302</v>
      </c>
      <c r="J950" s="1">
        <v>2794.7772894770901</v>
      </c>
      <c r="K950" s="1"/>
      <c r="L950" s="1">
        <v>3477</v>
      </c>
      <c r="M950" s="1"/>
      <c r="N950" s="1">
        <v>-2903</v>
      </c>
      <c r="O950" s="1">
        <v>7</v>
      </c>
      <c r="P950" s="1"/>
      <c r="Q950" s="1">
        <v>-3509.6829331550098</v>
      </c>
      <c r="R950" s="1">
        <v>14741</v>
      </c>
      <c r="S950" t="s">
        <v>11</v>
      </c>
    </row>
    <row r="951" spans="1:19" x14ac:dyDescent="0.55000000000000004">
      <c r="A951" t="s">
        <v>25</v>
      </c>
      <c r="B951">
        <v>2010</v>
      </c>
      <c r="C951">
        <v>5413</v>
      </c>
      <c r="D951" s="2">
        <v>7</v>
      </c>
      <c r="E951" s="3">
        <v>5420</v>
      </c>
      <c r="F951" t="s">
        <v>12</v>
      </c>
      <c r="G951" t="s">
        <v>12</v>
      </c>
      <c r="H951" s="1">
        <v>0</v>
      </c>
      <c r="I951" s="1">
        <v>1479.90478359094</v>
      </c>
      <c r="J951" s="1"/>
      <c r="K951" s="1"/>
      <c r="L951" s="1">
        <v>1148</v>
      </c>
      <c r="M951" s="1"/>
      <c r="N951" s="1">
        <v>1931</v>
      </c>
      <c r="O951" s="1">
        <v>1</v>
      </c>
      <c r="P951" s="1"/>
      <c r="Q951" s="1">
        <v>3659.5085931655699</v>
      </c>
      <c r="R951" s="1">
        <v>9980</v>
      </c>
      <c r="S951" t="s">
        <v>11</v>
      </c>
    </row>
    <row r="952" spans="1:19" x14ac:dyDescent="0.55000000000000004">
      <c r="A952" t="s">
        <v>25</v>
      </c>
      <c r="B952">
        <v>2009</v>
      </c>
      <c r="C952">
        <v>1439</v>
      </c>
      <c r="D952" s="2">
        <v>0</v>
      </c>
      <c r="E952" s="3">
        <v>1439</v>
      </c>
      <c r="F952" t="s">
        <v>12</v>
      </c>
      <c r="G952" t="s">
        <v>12</v>
      </c>
      <c r="H952" s="1">
        <v>0</v>
      </c>
      <c r="I952" s="1">
        <v>141.90652604001701</v>
      </c>
      <c r="J952" s="1">
        <v>76.668991200854606</v>
      </c>
      <c r="K952" s="1"/>
      <c r="L952" s="1">
        <v>1439</v>
      </c>
      <c r="M952" s="1"/>
      <c r="N952" s="1"/>
      <c r="O952" s="1"/>
      <c r="P952" s="1"/>
      <c r="Q952" s="1">
        <v>-3082.49374733791</v>
      </c>
      <c r="R952" s="1">
        <v>3097</v>
      </c>
      <c r="S952" t="s">
        <v>11</v>
      </c>
    </row>
    <row r="953" spans="1:19" x14ac:dyDescent="0.55000000000000004">
      <c r="A953" t="s">
        <v>25</v>
      </c>
      <c r="B953">
        <v>2008</v>
      </c>
      <c r="C953">
        <v>573</v>
      </c>
      <c r="D953" s="2">
        <v>0</v>
      </c>
      <c r="E953" s="3">
        <v>573</v>
      </c>
      <c r="F953" t="s">
        <v>12</v>
      </c>
      <c r="G953" t="s">
        <v>12</v>
      </c>
      <c r="H953" s="1">
        <v>0.82520000003000005</v>
      </c>
      <c r="I953" s="1">
        <v>273.91455122596699</v>
      </c>
      <c r="J953" s="1">
        <v>777.61036389245896</v>
      </c>
      <c r="K953" s="1"/>
      <c r="L953" s="1"/>
      <c r="M953" s="1"/>
      <c r="N953" s="1"/>
      <c r="O953" s="1"/>
      <c r="P953" s="1"/>
      <c r="Q953" s="1">
        <v>-1625.9929636837501</v>
      </c>
      <c r="R953" s="1">
        <v>3251</v>
      </c>
      <c r="S953" t="s">
        <v>9</v>
      </c>
    </row>
    <row r="954" spans="1:19" x14ac:dyDescent="0.55000000000000004">
      <c r="A954" t="s">
        <v>25</v>
      </c>
      <c r="B954">
        <v>2007</v>
      </c>
      <c r="C954">
        <v>3853</v>
      </c>
      <c r="D954" s="2">
        <v>0</v>
      </c>
      <c r="E954" s="3">
        <v>3853</v>
      </c>
      <c r="F954" t="s">
        <v>12</v>
      </c>
      <c r="G954" t="s">
        <v>12</v>
      </c>
      <c r="H954" s="1">
        <v>2398.0343102848001</v>
      </c>
      <c r="I954" s="1">
        <v>182.06645090736001</v>
      </c>
      <c r="J954" s="1">
        <v>96.306406531842597</v>
      </c>
      <c r="K954" s="1"/>
      <c r="L954" s="1"/>
      <c r="M954" s="1"/>
      <c r="N954" s="1"/>
      <c r="O954" s="1"/>
      <c r="P954" s="1"/>
      <c r="Q954" s="1">
        <v>2782.5470120892701</v>
      </c>
      <c r="R954" s="1">
        <v>6529</v>
      </c>
      <c r="S954" t="s">
        <v>9</v>
      </c>
    </row>
    <row r="955" spans="1:19" x14ac:dyDescent="0.55000000000000004">
      <c r="A955" t="s">
        <v>25</v>
      </c>
      <c r="B955">
        <v>2006</v>
      </c>
      <c r="C955">
        <v>1678</v>
      </c>
      <c r="D955" s="2">
        <v>0</v>
      </c>
      <c r="E955" s="3">
        <v>1678</v>
      </c>
      <c r="F955" t="s">
        <v>12</v>
      </c>
      <c r="G955" t="s">
        <v>12</v>
      </c>
      <c r="H955" s="1">
        <v>125.771782109309</v>
      </c>
      <c r="I955" s="1">
        <v>4461.0666493668195</v>
      </c>
      <c r="J955" s="1">
        <v>265.49789298417198</v>
      </c>
      <c r="K955" s="1"/>
      <c r="L955" s="1"/>
      <c r="M955" s="1"/>
      <c r="N955" s="1"/>
      <c r="O955" s="1"/>
      <c r="P955" s="1"/>
      <c r="Q955" s="1">
        <v>-1247.25711561138</v>
      </c>
      <c r="R955" s="1">
        <v>7778</v>
      </c>
      <c r="S955" t="s">
        <v>9</v>
      </c>
    </row>
    <row r="956" spans="1:19" x14ac:dyDescent="0.55000000000000004">
      <c r="A956" t="s">
        <v>25</v>
      </c>
      <c r="B956">
        <v>2005</v>
      </c>
      <c r="C956">
        <v>2168</v>
      </c>
      <c r="D956" s="2">
        <v>10</v>
      </c>
      <c r="E956" s="3">
        <v>2178</v>
      </c>
      <c r="F956" t="s">
        <v>12</v>
      </c>
      <c r="G956" t="s">
        <v>12</v>
      </c>
      <c r="H956" s="1">
        <v>1612.1878517808</v>
      </c>
      <c r="I956" s="1">
        <v>104.67129894738</v>
      </c>
      <c r="J956" s="1">
        <v>202.20452863297501</v>
      </c>
      <c r="K956" s="1"/>
      <c r="L956" s="1"/>
      <c r="M956" s="1"/>
      <c r="N956" s="1"/>
      <c r="O956" s="1"/>
      <c r="P956" s="1"/>
      <c r="Q956" s="1">
        <v>1136.7725928284499</v>
      </c>
      <c r="R956" s="1">
        <v>4097</v>
      </c>
      <c r="S956" t="s">
        <v>9</v>
      </c>
    </row>
    <row r="957" spans="1:19" x14ac:dyDescent="0.55000000000000004">
      <c r="A957" t="s">
        <v>25</v>
      </c>
      <c r="B957">
        <v>2004</v>
      </c>
      <c r="C957">
        <v>1097</v>
      </c>
      <c r="D957" s="2">
        <v>0</v>
      </c>
      <c r="E957" s="3">
        <v>1097</v>
      </c>
      <c r="F957" t="s">
        <v>12</v>
      </c>
      <c r="G957" t="s">
        <v>12</v>
      </c>
      <c r="H957" s="1">
        <v>224.52677775665501</v>
      </c>
      <c r="I957" s="1">
        <v>11980.9232862998</v>
      </c>
      <c r="J957" s="1">
        <v>4041.7194666294699</v>
      </c>
      <c r="K957" s="1"/>
      <c r="L957" s="1"/>
      <c r="M957" s="1"/>
      <c r="N957" s="1"/>
      <c r="O957" s="1"/>
      <c r="P957" s="1"/>
      <c r="Q957" s="1">
        <v>-12339.7553721327</v>
      </c>
      <c r="R957" s="1">
        <v>29684</v>
      </c>
      <c r="S957" t="s">
        <v>9</v>
      </c>
    </row>
    <row r="958" spans="1:19" x14ac:dyDescent="0.55000000000000004">
      <c r="A958" t="s">
        <v>25</v>
      </c>
      <c r="B958">
        <v>2003</v>
      </c>
      <c r="C958">
        <v>3070</v>
      </c>
      <c r="D958" s="2">
        <v>0</v>
      </c>
      <c r="E958" s="3">
        <v>3070</v>
      </c>
      <c r="F958" t="s">
        <v>12</v>
      </c>
      <c r="G958" t="s">
        <v>12</v>
      </c>
      <c r="H958" s="1">
        <v>138.15802389337</v>
      </c>
      <c r="I958" s="1">
        <v>3148.53646542668</v>
      </c>
      <c r="J958" s="1">
        <v>1689.1484358048599</v>
      </c>
      <c r="K958" s="1"/>
      <c r="L958" s="1"/>
      <c r="M958" s="1"/>
      <c r="N958" s="1"/>
      <c r="O958" s="1"/>
      <c r="P958" s="1"/>
      <c r="Q958" s="1">
        <v>-1831.46303692418</v>
      </c>
      <c r="R958" s="1">
        <v>9877</v>
      </c>
      <c r="S958" t="s">
        <v>9</v>
      </c>
    </row>
    <row r="959" spans="1:19" x14ac:dyDescent="0.55000000000000004">
      <c r="A959" t="s">
        <v>25</v>
      </c>
      <c r="B959">
        <v>2002</v>
      </c>
      <c r="C959">
        <v>7305</v>
      </c>
      <c r="D959" s="2">
        <v>15</v>
      </c>
      <c r="E959" s="3">
        <v>7320</v>
      </c>
      <c r="F959" t="s">
        <v>12</v>
      </c>
      <c r="G959" t="s">
        <v>12</v>
      </c>
      <c r="H959" s="1">
        <v>0.40226632937720302</v>
      </c>
      <c r="I959" s="1">
        <v>2888.7420941954201</v>
      </c>
      <c r="J959" s="1">
        <v>209.30661859988999</v>
      </c>
      <c r="K959" s="1"/>
      <c r="L959" s="1"/>
      <c r="M959" s="1"/>
      <c r="N959" s="1"/>
      <c r="O959" s="1"/>
      <c r="P959" s="1"/>
      <c r="Q959" s="1">
        <v>-3558.1304682692898</v>
      </c>
      <c r="R959" s="1">
        <v>13977</v>
      </c>
      <c r="S959" t="s">
        <v>9</v>
      </c>
    </row>
    <row r="960" spans="1:19" x14ac:dyDescent="0.55000000000000004">
      <c r="A960" t="s">
        <v>25</v>
      </c>
      <c r="B960">
        <v>2001</v>
      </c>
      <c r="C960">
        <v>5441</v>
      </c>
      <c r="D960" s="2">
        <v>0</v>
      </c>
      <c r="E960" s="3">
        <v>5441</v>
      </c>
      <c r="F960" t="s">
        <v>12</v>
      </c>
      <c r="G960" t="s">
        <v>12</v>
      </c>
      <c r="H960" s="1">
        <v>12.862584011413499</v>
      </c>
      <c r="I960" s="1">
        <v>602.94056645198896</v>
      </c>
      <c r="J960" s="1">
        <v>3502.3095689460301</v>
      </c>
      <c r="K960" s="1"/>
      <c r="L960" s="1"/>
      <c r="M960" s="1"/>
      <c r="N960" s="1"/>
      <c r="O960" s="1"/>
      <c r="P960" s="1"/>
      <c r="Q960" s="1">
        <v>-8387.1849662750992</v>
      </c>
      <c r="R960" s="1">
        <v>17946</v>
      </c>
      <c r="S960" t="s">
        <v>9</v>
      </c>
    </row>
    <row r="961" spans="1:19" x14ac:dyDescent="0.55000000000000004">
      <c r="A961" t="s">
        <v>25</v>
      </c>
      <c r="B961">
        <v>2000</v>
      </c>
      <c r="C961">
        <v>5165</v>
      </c>
      <c r="D961" s="2">
        <v>0</v>
      </c>
      <c r="E961" s="3">
        <v>5165</v>
      </c>
      <c r="F961" t="s">
        <v>12</v>
      </c>
      <c r="G961" t="s">
        <v>12</v>
      </c>
      <c r="H961" s="1">
        <v>3.8373521277232099</v>
      </c>
      <c r="I961" s="1">
        <v>2196.7343374504098</v>
      </c>
      <c r="J961" s="1">
        <v>891.20855943414199</v>
      </c>
      <c r="K961" s="1"/>
      <c r="L961" s="1"/>
      <c r="M961" s="1"/>
      <c r="N961" s="1"/>
      <c r="O961" s="1"/>
      <c r="P961" s="1"/>
      <c r="Q961" s="1">
        <v>1520.9840550827801</v>
      </c>
      <c r="R961" s="1">
        <v>8257</v>
      </c>
      <c r="S961" t="s">
        <v>9</v>
      </c>
    </row>
    <row r="962" spans="1:19" x14ac:dyDescent="0.55000000000000004">
      <c r="A962" t="s">
        <v>25</v>
      </c>
      <c r="B962">
        <v>1999</v>
      </c>
      <c r="C962">
        <v>2613</v>
      </c>
      <c r="D962" s="2">
        <v>0</v>
      </c>
      <c r="E962" s="3">
        <v>2613</v>
      </c>
      <c r="F962" t="s">
        <v>12</v>
      </c>
      <c r="G962" t="s">
        <v>12</v>
      </c>
      <c r="H962" s="1">
        <v>8.5731859637118393E-2</v>
      </c>
      <c r="I962" s="1">
        <v>667.54746814885004</v>
      </c>
      <c r="J962" s="1">
        <v>1761.76536198042</v>
      </c>
      <c r="K962" s="1"/>
      <c r="L962" s="1"/>
      <c r="M962" s="1"/>
      <c r="N962" s="1"/>
      <c r="O962" s="1"/>
      <c r="P962" s="1"/>
      <c r="Q962" s="1">
        <v>-4002.7095156524601</v>
      </c>
      <c r="R962" s="1">
        <v>9045</v>
      </c>
      <c r="S962" t="s">
        <v>9</v>
      </c>
    </row>
    <row r="963" spans="1:19" x14ac:dyDescent="0.55000000000000004">
      <c r="A963" t="s">
        <v>25</v>
      </c>
      <c r="B963">
        <v>1998</v>
      </c>
      <c r="C963">
        <v>7993</v>
      </c>
      <c r="D963" s="2">
        <v>0</v>
      </c>
      <c r="E963" s="3">
        <v>7993</v>
      </c>
      <c r="F963" t="s">
        <v>12</v>
      </c>
      <c r="G963" t="s">
        <v>12</v>
      </c>
      <c r="H963" s="1">
        <v>3.53576587895409</v>
      </c>
      <c r="I963" s="1">
        <v>1410.9561611566201</v>
      </c>
      <c r="J963" s="1">
        <v>1139.6238989128999</v>
      </c>
      <c r="K963" s="1"/>
      <c r="L963" s="1"/>
      <c r="M963" s="1"/>
      <c r="N963" s="1"/>
      <c r="O963" s="1"/>
      <c r="P963" s="1"/>
      <c r="Q963" s="1">
        <v>1378.7545522636799</v>
      </c>
      <c r="R963" s="1">
        <v>10547</v>
      </c>
      <c r="S963" t="s">
        <v>9</v>
      </c>
    </row>
    <row r="964" spans="1:19" x14ac:dyDescent="0.55000000000000004">
      <c r="A964" t="s">
        <v>25</v>
      </c>
      <c r="B964">
        <v>1997</v>
      </c>
      <c r="C964">
        <v>9959</v>
      </c>
      <c r="D964" s="2">
        <v>0</v>
      </c>
      <c r="E964" s="3">
        <v>9959</v>
      </c>
      <c r="F964" t="s">
        <v>12</v>
      </c>
      <c r="G964" t="s">
        <v>12</v>
      </c>
      <c r="H964" s="1">
        <v>895.57280281942997</v>
      </c>
      <c r="I964" s="1">
        <v>9017.2656922946207</v>
      </c>
      <c r="J964" s="1">
        <v>4719.44863002703</v>
      </c>
      <c r="K964" s="1"/>
      <c r="L964" s="1"/>
      <c r="M964" s="1"/>
      <c r="N964" s="1"/>
      <c r="O964" s="1"/>
      <c r="P964" s="1"/>
      <c r="Q964" s="1">
        <v>1204.4476406235999</v>
      </c>
      <c r="R964" s="1">
        <v>24591</v>
      </c>
      <c r="S964" t="s">
        <v>9</v>
      </c>
    </row>
    <row r="965" spans="1:19" x14ac:dyDescent="0.55000000000000004">
      <c r="A965" t="s">
        <v>25</v>
      </c>
      <c r="B965">
        <v>1996</v>
      </c>
      <c r="C965">
        <v>13537</v>
      </c>
      <c r="D965" s="2">
        <v>10</v>
      </c>
      <c r="E965" s="3">
        <v>13547</v>
      </c>
      <c r="F965" t="s">
        <v>12</v>
      </c>
      <c r="G965" t="s">
        <v>12</v>
      </c>
      <c r="H965" s="1">
        <v>0.49315389425674999</v>
      </c>
      <c r="I965" s="1">
        <v>1415.4979586730001</v>
      </c>
      <c r="J965" s="1">
        <v>1388.6508571443201</v>
      </c>
      <c r="K965" s="1"/>
      <c r="L965" s="1"/>
      <c r="M965" s="1"/>
      <c r="N965" s="1"/>
      <c r="O965" s="1"/>
      <c r="P965" s="1"/>
      <c r="Q965" s="1">
        <v>6742.1002269424698</v>
      </c>
      <c r="R965" s="1">
        <v>16352</v>
      </c>
      <c r="S965" t="s">
        <v>9</v>
      </c>
    </row>
    <row r="966" spans="1:19" x14ac:dyDescent="0.55000000000000004">
      <c r="A966" t="s">
        <v>25</v>
      </c>
      <c r="B966">
        <v>1995</v>
      </c>
      <c r="C966">
        <v>2297</v>
      </c>
      <c r="D966" s="2">
        <v>32</v>
      </c>
      <c r="E966" s="3">
        <v>2329</v>
      </c>
      <c r="F966" t="s">
        <v>12</v>
      </c>
      <c r="G966" t="s">
        <v>12</v>
      </c>
      <c r="H966" s="1">
        <v>2.8032694395383901E-16</v>
      </c>
      <c r="I966" s="1">
        <v>896.64670671875103</v>
      </c>
      <c r="J966" s="1">
        <v>692.96968366589397</v>
      </c>
      <c r="K966" s="1"/>
      <c r="L966" s="1"/>
      <c r="M966" s="1"/>
      <c r="N966" s="1"/>
      <c r="O966" s="1"/>
      <c r="P966" s="1"/>
      <c r="Q966" s="1">
        <v>1618.2219189006901</v>
      </c>
      <c r="R966" s="1">
        <v>3919</v>
      </c>
      <c r="S966" t="s">
        <v>9</v>
      </c>
    </row>
    <row r="967" spans="1:19" x14ac:dyDescent="0.55000000000000004">
      <c r="A967" t="s">
        <v>25</v>
      </c>
      <c r="B967">
        <v>1994</v>
      </c>
      <c r="C967">
        <v>6042</v>
      </c>
      <c r="D967" s="2">
        <v>0</v>
      </c>
      <c r="E967" s="3">
        <v>6042</v>
      </c>
      <c r="F967" t="s">
        <v>12</v>
      </c>
      <c r="G967" t="s">
        <v>12</v>
      </c>
      <c r="H967" s="1">
        <v>0.20822235108266701</v>
      </c>
      <c r="I967" s="1">
        <v>5923.18576667464</v>
      </c>
      <c r="J967" s="1">
        <v>2244.4575592588699</v>
      </c>
      <c r="K967" s="1"/>
      <c r="L967" s="1"/>
      <c r="M967" s="1"/>
      <c r="N967" s="1"/>
      <c r="O967" s="1"/>
      <c r="P967" s="1"/>
      <c r="Q967" s="1">
        <v>6053.9097560026203</v>
      </c>
      <c r="R967" s="1">
        <v>14210</v>
      </c>
      <c r="S967" t="s">
        <v>9</v>
      </c>
    </row>
    <row r="968" spans="1:19" x14ac:dyDescent="0.55000000000000004">
      <c r="A968" t="s">
        <v>25</v>
      </c>
      <c r="B968">
        <v>1993</v>
      </c>
      <c r="C968">
        <v>2078</v>
      </c>
      <c r="D968" s="2">
        <v>0</v>
      </c>
      <c r="E968" s="3">
        <v>2078</v>
      </c>
      <c r="F968" t="s">
        <v>12</v>
      </c>
      <c r="G968" t="s">
        <v>12</v>
      </c>
      <c r="H968" s="1">
        <v>22.9497613784525</v>
      </c>
      <c r="I968" s="1">
        <v>9034.7345943907494</v>
      </c>
      <c r="J968" s="1">
        <v>94.1917986252341</v>
      </c>
      <c r="K968" s="1"/>
      <c r="L968" s="1"/>
      <c r="M968" s="1"/>
      <c r="N968" s="1"/>
      <c r="O968" s="1"/>
      <c r="P968" s="1"/>
      <c r="Q968" s="1">
        <v>-1523.48574783052</v>
      </c>
      <c r="R968" s="1">
        <v>12753</v>
      </c>
      <c r="S968" t="s">
        <v>9</v>
      </c>
    </row>
    <row r="969" spans="1:19" x14ac:dyDescent="0.55000000000000004">
      <c r="A969" t="s">
        <v>25</v>
      </c>
      <c r="B969">
        <v>1992</v>
      </c>
      <c r="C969">
        <v>4120</v>
      </c>
      <c r="D969" s="2">
        <v>10</v>
      </c>
      <c r="E969" s="3">
        <v>4130</v>
      </c>
      <c r="F969" t="s">
        <v>12</v>
      </c>
      <c r="G969" t="s">
        <v>12</v>
      </c>
      <c r="H969" s="1">
        <v>27.683664745633301</v>
      </c>
      <c r="I969" s="1">
        <v>39500.0911441766</v>
      </c>
      <c r="J969" s="1">
        <v>9971.9541171176206</v>
      </c>
      <c r="K969" s="1"/>
      <c r="L969" s="1"/>
      <c r="M969" s="1"/>
      <c r="N969" s="1"/>
      <c r="O969" s="1"/>
      <c r="P969" s="1"/>
      <c r="Q969" s="1">
        <v>-3559.3585816362101</v>
      </c>
      <c r="R969" s="1">
        <v>57189</v>
      </c>
      <c r="S969" t="s">
        <v>9</v>
      </c>
    </row>
    <row r="970" spans="1:19" x14ac:dyDescent="0.55000000000000004">
      <c r="A970" t="s">
        <v>25</v>
      </c>
      <c r="B970">
        <v>1991</v>
      </c>
      <c r="C970">
        <v>2755</v>
      </c>
      <c r="D970" s="2">
        <v>0</v>
      </c>
      <c r="E970" s="3">
        <v>2755</v>
      </c>
      <c r="F970" t="s">
        <v>12</v>
      </c>
      <c r="G970" t="s">
        <v>12</v>
      </c>
      <c r="H970" s="1">
        <v>0</v>
      </c>
      <c r="I970" s="1">
        <v>4567.0298110393296</v>
      </c>
      <c r="J970" s="1">
        <v>1183.0612526811001</v>
      </c>
      <c r="K970" s="1"/>
      <c r="L970" s="1"/>
      <c r="M970" s="1"/>
      <c r="N970" s="1"/>
      <c r="O970" s="1"/>
      <c r="P970" s="1"/>
      <c r="Q970" s="1">
        <v>-4924.4301447560101</v>
      </c>
      <c r="R970" s="1">
        <v>13430</v>
      </c>
      <c r="S970" t="s">
        <v>9</v>
      </c>
    </row>
    <row r="971" spans="1:19" x14ac:dyDescent="0.55000000000000004">
      <c r="A971" t="s">
        <v>25</v>
      </c>
      <c r="B971">
        <v>1990</v>
      </c>
      <c r="C971">
        <v>7044</v>
      </c>
      <c r="D971" s="2">
        <v>0</v>
      </c>
      <c r="E971" s="3">
        <v>7044</v>
      </c>
      <c r="F971" t="s">
        <v>12</v>
      </c>
      <c r="G971" t="s">
        <v>12</v>
      </c>
      <c r="H971" s="1">
        <v>22.303156031428902</v>
      </c>
      <c r="I971" s="1">
        <v>7968.5089044595697</v>
      </c>
      <c r="J971" s="1">
        <v>4930.5204854902404</v>
      </c>
      <c r="K971" s="1"/>
      <c r="L971" s="1"/>
      <c r="M971" s="1"/>
      <c r="N971" s="1"/>
      <c r="O971" s="1"/>
      <c r="P971" s="1"/>
      <c r="Q971" s="1">
        <v>-1248.2289057009</v>
      </c>
      <c r="R971" s="1">
        <v>21214</v>
      </c>
      <c r="S971" t="s">
        <v>9</v>
      </c>
    </row>
    <row r="972" spans="1:19" x14ac:dyDescent="0.55000000000000004">
      <c r="A972" t="s">
        <v>25</v>
      </c>
      <c r="B972">
        <v>1989</v>
      </c>
      <c r="C972">
        <v>3628</v>
      </c>
      <c r="D972" s="2">
        <v>3</v>
      </c>
      <c r="E972" s="3">
        <v>3631</v>
      </c>
      <c r="F972" t="s">
        <v>12</v>
      </c>
      <c r="G972" t="s">
        <v>12</v>
      </c>
      <c r="H972" s="1">
        <v>19.985347699065599</v>
      </c>
      <c r="I972" s="1">
        <v>10405.089640137299</v>
      </c>
      <c r="J972" s="1">
        <v>336.29890232904</v>
      </c>
      <c r="K972" s="1"/>
      <c r="L972" s="1"/>
      <c r="M972" s="1"/>
      <c r="N972" s="1"/>
      <c r="O972" s="1"/>
      <c r="P972" s="1"/>
      <c r="Q972" s="1">
        <v>1531.84018100404</v>
      </c>
      <c r="R972" s="1">
        <v>14392</v>
      </c>
      <c r="S972" t="s">
        <v>9</v>
      </c>
    </row>
    <row r="973" spans="1:19" x14ac:dyDescent="0.55000000000000004">
      <c r="A973" t="s">
        <v>25</v>
      </c>
      <c r="B973">
        <v>1988</v>
      </c>
      <c r="C973">
        <v>16446</v>
      </c>
      <c r="D973" s="2">
        <v>161</v>
      </c>
      <c r="E973" s="3">
        <v>16607</v>
      </c>
      <c r="F973" t="s">
        <v>12</v>
      </c>
      <c r="G973" t="s">
        <v>12</v>
      </c>
      <c r="H973" s="1">
        <v>0</v>
      </c>
      <c r="I973" s="1">
        <v>12440.293855464301</v>
      </c>
      <c r="J973" s="1">
        <v>2466.3453756007102</v>
      </c>
      <c r="K973" s="1"/>
      <c r="L973" s="1"/>
      <c r="M973" s="1"/>
      <c r="N973" s="1"/>
      <c r="O973" s="1"/>
      <c r="P973" s="1"/>
      <c r="Q973" s="1">
        <v>2650.09419305643</v>
      </c>
      <c r="R973" s="1">
        <v>31514</v>
      </c>
      <c r="S973" t="s">
        <v>9</v>
      </c>
    </row>
    <row r="974" spans="1:19" x14ac:dyDescent="0.55000000000000004">
      <c r="A974" t="s">
        <v>25</v>
      </c>
      <c r="B974">
        <v>1987</v>
      </c>
      <c r="C974">
        <v>13501</v>
      </c>
      <c r="D974" s="2">
        <v>286</v>
      </c>
      <c r="E974" s="3">
        <v>13787</v>
      </c>
      <c r="F974" t="s">
        <v>12</v>
      </c>
      <c r="G974" t="s">
        <v>12</v>
      </c>
      <c r="H974" s="1">
        <v>0</v>
      </c>
      <c r="I974" s="1">
        <v>21455.0126911925</v>
      </c>
      <c r="J974" s="1">
        <v>12346.207661492799</v>
      </c>
      <c r="K974" s="1"/>
      <c r="L974" s="1"/>
      <c r="M974" s="1"/>
      <c r="N974" s="1"/>
      <c r="O974" s="1"/>
      <c r="P974" s="1"/>
      <c r="Q974" s="1">
        <v>-462.76544668047097</v>
      </c>
      <c r="R974" s="1">
        <v>48051</v>
      </c>
      <c r="S974" t="s">
        <v>9</v>
      </c>
    </row>
    <row r="975" spans="1:19" x14ac:dyDescent="0.55000000000000004">
      <c r="A975" t="s">
        <v>25</v>
      </c>
      <c r="B975">
        <v>1986</v>
      </c>
      <c r="C975">
        <v>8996</v>
      </c>
      <c r="D975" s="2">
        <v>93</v>
      </c>
      <c r="E975" s="3">
        <v>9089</v>
      </c>
      <c r="F975" t="s">
        <v>12</v>
      </c>
      <c r="G975" t="s">
        <v>12</v>
      </c>
      <c r="H975" s="1">
        <v>0</v>
      </c>
      <c r="I975" s="1">
        <v>29365.2045839657</v>
      </c>
      <c r="J975" s="1">
        <v>2095.4036659489102</v>
      </c>
      <c r="K975" s="1"/>
      <c r="L975" s="1"/>
      <c r="M975" s="1"/>
      <c r="N975" s="1"/>
      <c r="O975" s="1"/>
      <c r="P975" s="1"/>
      <c r="Q975" s="1">
        <v>-1657.34497804736</v>
      </c>
      <c r="R975" s="1">
        <v>42207</v>
      </c>
      <c r="S975" t="s">
        <v>9</v>
      </c>
    </row>
    <row r="976" spans="1:19" x14ac:dyDescent="0.55000000000000004">
      <c r="A976" t="s">
        <v>25</v>
      </c>
      <c r="B976">
        <v>1985</v>
      </c>
      <c r="C976">
        <v>1257</v>
      </c>
      <c r="D976" s="2">
        <v>38</v>
      </c>
      <c r="E976" s="3">
        <v>1295</v>
      </c>
      <c r="F976" t="s">
        <v>12</v>
      </c>
      <c r="G976" t="s">
        <v>12</v>
      </c>
      <c r="H976" s="1">
        <v>0</v>
      </c>
      <c r="I976" s="1">
        <v>9302.5681405634805</v>
      </c>
      <c r="J976" s="1">
        <v>272.87301823031697</v>
      </c>
      <c r="K976" s="1"/>
      <c r="L976" s="1"/>
      <c r="M976" s="1"/>
      <c r="N976" s="1"/>
      <c r="O976" s="1"/>
      <c r="P976" s="1"/>
      <c r="Q976" s="1">
        <v>-184.743410941181</v>
      </c>
      <c r="R976" s="1">
        <v>11055</v>
      </c>
      <c r="S976" t="s">
        <v>9</v>
      </c>
    </row>
    <row r="977" spans="1:19" x14ac:dyDescent="0.55000000000000004">
      <c r="A977" t="s">
        <v>25</v>
      </c>
      <c r="B977">
        <v>1984</v>
      </c>
      <c r="C977">
        <v>1513</v>
      </c>
      <c r="D977" s="2">
        <v>0</v>
      </c>
      <c r="E977" s="3">
        <v>1513</v>
      </c>
      <c r="F977" t="s">
        <v>12</v>
      </c>
      <c r="G977" t="s">
        <v>12</v>
      </c>
      <c r="H977" s="1">
        <v>0</v>
      </c>
      <c r="I977" s="1">
        <v>5145.6779189587496</v>
      </c>
      <c r="J977" s="1">
        <v>624.17125744488499</v>
      </c>
      <c r="K977" s="1"/>
      <c r="L977" s="1"/>
      <c r="M977" s="1"/>
      <c r="N977" s="1"/>
      <c r="O977" s="1"/>
      <c r="P977" s="1"/>
      <c r="Q977" s="1">
        <v>-24.1448139056629</v>
      </c>
      <c r="R977" s="1">
        <v>7307</v>
      </c>
      <c r="S977" t="s">
        <v>9</v>
      </c>
    </row>
    <row r="978" spans="1:19" x14ac:dyDescent="0.55000000000000004">
      <c r="A978" t="s">
        <v>25</v>
      </c>
      <c r="B978">
        <v>1983</v>
      </c>
      <c r="C978">
        <v>2186</v>
      </c>
      <c r="D978" s="2">
        <v>0</v>
      </c>
      <c r="E978" s="3">
        <v>2186</v>
      </c>
      <c r="F978" t="s">
        <v>12</v>
      </c>
      <c r="G978" t="s">
        <v>12</v>
      </c>
      <c r="H978" s="1">
        <v>49.354293942034097</v>
      </c>
      <c r="I978" s="1">
        <v>3983.2143999039699</v>
      </c>
      <c r="J978" s="1">
        <v>571.04861782713601</v>
      </c>
      <c r="K978" s="1"/>
      <c r="L978" s="1"/>
      <c r="M978" s="1"/>
      <c r="N978" s="1"/>
      <c r="O978" s="1"/>
      <c r="P978" s="1"/>
      <c r="Q978" s="1">
        <v>46.099036318846501</v>
      </c>
      <c r="R978" s="1">
        <v>6790</v>
      </c>
      <c r="S978" t="s">
        <v>9</v>
      </c>
    </row>
    <row r="979" spans="1:19" x14ac:dyDescent="0.55000000000000004">
      <c r="A979" t="s">
        <v>25</v>
      </c>
      <c r="B979">
        <v>1982</v>
      </c>
      <c r="C979">
        <v>2734</v>
      </c>
      <c r="D979" s="2">
        <v>0</v>
      </c>
      <c r="E979" s="3">
        <v>2734</v>
      </c>
      <c r="F979" t="s">
        <v>12</v>
      </c>
      <c r="G979" t="s">
        <v>12</v>
      </c>
      <c r="H979" s="1"/>
      <c r="I979" s="1">
        <v>15048.1790736324</v>
      </c>
      <c r="J979" s="1">
        <v>861.92812191309702</v>
      </c>
      <c r="K979" s="1"/>
      <c r="L979" s="1"/>
      <c r="M979" s="1"/>
      <c r="N979" s="1"/>
      <c r="O979" s="1"/>
      <c r="P979" s="1"/>
      <c r="Q979" s="1">
        <v>-489.22689971818301</v>
      </c>
      <c r="R979" s="1">
        <v>19133</v>
      </c>
      <c r="S979" t="s">
        <v>9</v>
      </c>
    </row>
    <row r="980" spans="1:19" x14ac:dyDescent="0.55000000000000004">
      <c r="A980" t="s">
        <v>25</v>
      </c>
      <c r="B980">
        <v>1981</v>
      </c>
      <c r="C980">
        <v>786</v>
      </c>
      <c r="D980" s="2">
        <v>39</v>
      </c>
      <c r="E980" s="3">
        <v>825</v>
      </c>
      <c r="F980" t="s">
        <v>12</v>
      </c>
      <c r="G980" t="s">
        <v>12</v>
      </c>
      <c r="H980" s="1"/>
      <c r="I980" s="1">
        <v>4569.8850902733602</v>
      </c>
      <c r="J980" s="1">
        <v>86.601237895105697</v>
      </c>
      <c r="K980" s="1"/>
      <c r="L980" s="1"/>
      <c r="M980" s="1"/>
      <c r="N980" s="1"/>
      <c r="O980" s="1"/>
      <c r="P980" s="1"/>
      <c r="Q980" s="1">
        <v>-2106.5443201959401</v>
      </c>
      <c r="R980" s="1">
        <v>7588</v>
      </c>
      <c r="S980" t="s">
        <v>9</v>
      </c>
    </row>
    <row r="981" spans="1:19" x14ac:dyDescent="0.55000000000000004">
      <c r="A981" t="s">
        <v>25</v>
      </c>
      <c r="B981">
        <v>1980</v>
      </c>
      <c r="C981">
        <v>1323</v>
      </c>
      <c r="D981" s="2">
        <v>0</v>
      </c>
      <c r="E981" s="3">
        <v>1323</v>
      </c>
      <c r="F981" t="s">
        <v>12</v>
      </c>
      <c r="G981" t="s">
        <v>12</v>
      </c>
      <c r="H981" s="1"/>
      <c r="I981" s="1">
        <v>2695.76476074334</v>
      </c>
      <c r="J981" s="1">
        <v>265.41516541645098</v>
      </c>
      <c r="K981" s="1"/>
      <c r="L981" s="1"/>
      <c r="M981" s="1"/>
      <c r="N981" s="1"/>
      <c r="O981" s="1"/>
      <c r="P981" s="1"/>
      <c r="Q981" s="1">
        <v>-1249.4029677372801</v>
      </c>
      <c r="R981" s="1">
        <v>5534</v>
      </c>
      <c r="S981" t="s">
        <v>9</v>
      </c>
    </row>
    <row r="982" spans="1:19" x14ac:dyDescent="0.55000000000000004">
      <c r="A982" t="s">
        <v>25</v>
      </c>
      <c r="B982">
        <v>1979</v>
      </c>
      <c r="C982">
        <v>2648</v>
      </c>
      <c r="D982" s="2">
        <v>0</v>
      </c>
      <c r="E982" s="3">
        <v>2648</v>
      </c>
      <c r="F982" t="s">
        <v>12</v>
      </c>
      <c r="G982" t="s">
        <v>12</v>
      </c>
      <c r="H982" s="1"/>
      <c r="I982" s="1">
        <v>7682.7766963884196</v>
      </c>
      <c r="J982" s="1">
        <v>485.46065668123703</v>
      </c>
      <c r="K982" s="1"/>
      <c r="L982" s="1"/>
      <c r="M982" s="1"/>
      <c r="N982" s="1"/>
      <c r="O982" s="1"/>
      <c r="P982" s="1"/>
      <c r="Q982" s="1">
        <v>-1156.1749279464</v>
      </c>
      <c r="R982" s="1">
        <v>11972</v>
      </c>
      <c r="S982" t="s">
        <v>9</v>
      </c>
    </row>
    <row r="983" spans="1:19" x14ac:dyDescent="0.55000000000000004">
      <c r="A983" t="s">
        <v>25</v>
      </c>
      <c r="B983">
        <v>1978</v>
      </c>
      <c r="C983">
        <v>600</v>
      </c>
      <c r="D983" s="2">
        <v>0</v>
      </c>
      <c r="E983" s="3">
        <v>600</v>
      </c>
      <c r="F983" t="s">
        <v>12</v>
      </c>
      <c r="G983" t="s">
        <v>12</v>
      </c>
      <c r="H983" s="1"/>
      <c r="I983" s="1">
        <v>1318.31117261298</v>
      </c>
      <c r="J983" s="1">
        <v>105.400937909321</v>
      </c>
      <c r="K983" s="1"/>
      <c r="L983" s="1"/>
      <c r="M983" s="1"/>
      <c r="N983" s="1"/>
      <c r="O983" s="1"/>
      <c r="P983" s="1"/>
      <c r="Q983" s="1">
        <v>-1098.80041275812</v>
      </c>
      <c r="R983" s="1">
        <v>3123</v>
      </c>
      <c r="S983" t="s">
        <v>9</v>
      </c>
    </row>
    <row r="984" spans="1:19" x14ac:dyDescent="0.55000000000000004">
      <c r="A984" t="s">
        <v>25</v>
      </c>
      <c r="B984">
        <v>1977</v>
      </c>
      <c r="C984">
        <v>628</v>
      </c>
      <c r="D984" s="2">
        <v>22</v>
      </c>
      <c r="E984" s="3">
        <v>650</v>
      </c>
      <c r="F984" t="s">
        <v>12</v>
      </c>
      <c r="G984" t="s">
        <v>12</v>
      </c>
      <c r="H984" s="1"/>
      <c r="I984" s="1">
        <v>5961.3179745714397</v>
      </c>
      <c r="J984" s="1">
        <v>78.783800733572704</v>
      </c>
      <c r="K984" s="1"/>
      <c r="L984" s="1"/>
      <c r="M984" s="1"/>
      <c r="N984" s="1"/>
      <c r="O984" s="1"/>
      <c r="P984" s="1"/>
      <c r="Q984" s="1">
        <v>-1276.4659431462201</v>
      </c>
      <c r="R984" s="1">
        <v>7967</v>
      </c>
      <c r="S984" t="s">
        <v>9</v>
      </c>
    </row>
    <row r="985" spans="1:19" x14ac:dyDescent="0.55000000000000004">
      <c r="A985" t="s">
        <v>25</v>
      </c>
      <c r="B985">
        <v>1976</v>
      </c>
      <c r="C985">
        <v>1737</v>
      </c>
      <c r="D985" s="2">
        <v>0</v>
      </c>
      <c r="E985" s="3">
        <v>1737</v>
      </c>
      <c r="F985" t="s">
        <v>12</v>
      </c>
      <c r="G985" t="s">
        <v>12</v>
      </c>
      <c r="H985" s="1"/>
      <c r="I985" s="1">
        <v>11402</v>
      </c>
      <c r="J985" s="1">
        <v>163</v>
      </c>
      <c r="K985" s="1"/>
      <c r="L985" s="1"/>
      <c r="M985" s="1"/>
      <c r="N985" s="1"/>
      <c r="O985" s="1"/>
      <c r="P985" s="1"/>
      <c r="Q985" s="1"/>
      <c r="R985" s="1">
        <v>13302</v>
      </c>
      <c r="S985" t="s">
        <v>12</v>
      </c>
    </row>
    <row r="986" spans="1:19" x14ac:dyDescent="0.55000000000000004">
      <c r="A986" t="s">
        <v>25</v>
      </c>
      <c r="B986">
        <v>1975</v>
      </c>
      <c r="C986">
        <v>2909</v>
      </c>
      <c r="D986" s="2">
        <v>0</v>
      </c>
      <c r="E986" s="3">
        <v>2909</v>
      </c>
      <c r="F986" t="s">
        <v>12</v>
      </c>
      <c r="G986" t="s">
        <v>12</v>
      </c>
      <c r="H986" s="1"/>
      <c r="I986" s="1">
        <v>4459</v>
      </c>
      <c r="J986" s="1">
        <v>434</v>
      </c>
      <c r="K986" s="1"/>
      <c r="L986" s="1"/>
      <c r="M986" s="1"/>
      <c r="N986" s="1"/>
      <c r="O986" s="1"/>
      <c r="P986" s="1"/>
      <c r="Q986" s="1"/>
      <c r="R986" s="1">
        <v>7802</v>
      </c>
      <c r="S986" t="s">
        <v>11</v>
      </c>
    </row>
    <row r="987" spans="1:19" x14ac:dyDescent="0.55000000000000004">
      <c r="A987" t="s">
        <v>25</v>
      </c>
      <c r="B987">
        <v>1974</v>
      </c>
      <c r="C987">
        <v>0</v>
      </c>
      <c r="D987" s="2">
        <v>0</v>
      </c>
      <c r="E987" s="3">
        <v>0</v>
      </c>
      <c r="F987" t="s">
        <v>12</v>
      </c>
      <c r="G987" t="s">
        <v>12</v>
      </c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>
        <v>0</v>
      </c>
      <c r="S987" t="s">
        <v>12</v>
      </c>
    </row>
    <row r="988" spans="1:19" x14ac:dyDescent="0.55000000000000004">
      <c r="A988" t="s">
        <v>25</v>
      </c>
      <c r="B988">
        <v>1973</v>
      </c>
      <c r="C988">
        <v>0</v>
      </c>
      <c r="D988" s="2">
        <v>0</v>
      </c>
      <c r="E988" s="3">
        <v>0</v>
      </c>
      <c r="F988" t="s">
        <v>12</v>
      </c>
      <c r="G988" t="s">
        <v>12</v>
      </c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>
        <v>0</v>
      </c>
      <c r="S988" t="s">
        <v>12</v>
      </c>
    </row>
    <row r="989" spans="1:19" x14ac:dyDescent="0.55000000000000004">
      <c r="A989" t="s">
        <v>25</v>
      </c>
      <c r="B989">
        <v>1972</v>
      </c>
      <c r="C989">
        <v>0</v>
      </c>
      <c r="D989" s="2">
        <v>0</v>
      </c>
      <c r="E989" s="3">
        <v>0</v>
      </c>
      <c r="F989" t="s">
        <v>12</v>
      </c>
      <c r="G989" t="s">
        <v>12</v>
      </c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>
        <v>0</v>
      </c>
      <c r="S989" t="s">
        <v>12</v>
      </c>
    </row>
    <row r="990" spans="1:19" x14ac:dyDescent="0.55000000000000004">
      <c r="A990" t="s">
        <v>25</v>
      </c>
      <c r="B990">
        <v>1971</v>
      </c>
      <c r="C990">
        <v>0</v>
      </c>
      <c r="D990" s="2">
        <v>0</v>
      </c>
      <c r="E990" s="3">
        <v>0</v>
      </c>
      <c r="F990" t="s">
        <v>12</v>
      </c>
      <c r="G990" t="s">
        <v>12</v>
      </c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>
        <v>0</v>
      </c>
      <c r="S990" t="s">
        <v>12</v>
      </c>
    </row>
    <row r="991" spans="1:19" x14ac:dyDescent="0.55000000000000004">
      <c r="A991" t="s">
        <v>25</v>
      </c>
      <c r="B991">
        <v>1970</v>
      </c>
      <c r="C991">
        <v>0</v>
      </c>
      <c r="D991" s="2">
        <v>0</v>
      </c>
      <c r="E991" s="3">
        <v>0</v>
      </c>
      <c r="F991" t="s">
        <v>12</v>
      </c>
      <c r="G991" t="s">
        <v>12</v>
      </c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>
        <v>0</v>
      </c>
      <c r="S991" t="s">
        <v>12</v>
      </c>
    </row>
    <row r="992" spans="1:19" x14ac:dyDescent="0.55000000000000004">
      <c r="A992" t="s">
        <v>25</v>
      </c>
      <c r="B992">
        <v>1969</v>
      </c>
      <c r="C992">
        <v>0</v>
      </c>
      <c r="D992" s="2">
        <v>0</v>
      </c>
      <c r="E992" s="3">
        <v>0</v>
      </c>
      <c r="F992" t="s">
        <v>12</v>
      </c>
      <c r="G992" t="s">
        <v>12</v>
      </c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>
        <v>0</v>
      </c>
      <c r="S992" t="s">
        <v>12</v>
      </c>
    </row>
    <row r="993" spans="1:19" x14ac:dyDescent="0.55000000000000004">
      <c r="A993" t="s">
        <v>25</v>
      </c>
      <c r="B993">
        <v>1968</v>
      </c>
      <c r="C993">
        <v>0</v>
      </c>
      <c r="D993" s="2">
        <v>0</v>
      </c>
      <c r="E993" s="3">
        <v>0</v>
      </c>
      <c r="F993" t="s">
        <v>12</v>
      </c>
      <c r="G993" t="s">
        <v>12</v>
      </c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>
        <v>0</v>
      </c>
      <c r="S993" t="s">
        <v>12</v>
      </c>
    </row>
    <row r="994" spans="1:19" x14ac:dyDescent="0.55000000000000004">
      <c r="A994" t="s">
        <v>25</v>
      </c>
      <c r="B994">
        <v>1967</v>
      </c>
      <c r="C994">
        <v>0</v>
      </c>
      <c r="D994" s="2">
        <v>0</v>
      </c>
      <c r="E994" s="3">
        <v>0</v>
      </c>
      <c r="F994" t="s">
        <v>12</v>
      </c>
      <c r="G994" t="s">
        <v>12</v>
      </c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>
        <v>0</v>
      </c>
      <c r="S994" t="s">
        <v>12</v>
      </c>
    </row>
    <row r="995" spans="1:19" x14ac:dyDescent="0.55000000000000004">
      <c r="A995" t="s">
        <v>25</v>
      </c>
      <c r="B995">
        <v>1966</v>
      </c>
      <c r="C995">
        <v>0</v>
      </c>
      <c r="D995" s="2">
        <v>0</v>
      </c>
      <c r="E995" s="3">
        <v>0</v>
      </c>
      <c r="F995" t="s">
        <v>12</v>
      </c>
      <c r="G995" t="s">
        <v>12</v>
      </c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>
        <v>0</v>
      </c>
      <c r="S995" t="s">
        <v>12</v>
      </c>
    </row>
    <row r="996" spans="1:19" x14ac:dyDescent="0.55000000000000004">
      <c r="A996" t="s">
        <v>25</v>
      </c>
      <c r="B996">
        <v>1965</v>
      </c>
      <c r="C996">
        <v>0</v>
      </c>
      <c r="D996" s="2">
        <v>0</v>
      </c>
      <c r="E996" s="3">
        <v>0</v>
      </c>
      <c r="F996" t="s">
        <v>12</v>
      </c>
      <c r="G996" t="s">
        <v>12</v>
      </c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>
        <v>0</v>
      </c>
      <c r="S996" t="s">
        <v>12</v>
      </c>
    </row>
    <row r="997" spans="1:19" x14ac:dyDescent="0.55000000000000004">
      <c r="A997" t="s">
        <v>25</v>
      </c>
      <c r="B997">
        <v>1964</v>
      </c>
      <c r="C997">
        <v>0</v>
      </c>
      <c r="D997" s="2">
        <v>0</v>
      </c>
      <c r="E997" s="3">
        <v>0</v>
      </c>
      <c r="F997" t="s">
        <v>12</v>
      </c>
      <c r="G997" t="s">
        <v>12</v>
      </c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>
        <v>0</v>
      </c>
      <c r="S997" t="s">
        <v>11</v>
      </c>
    </row>
    <row r="998" spans="1:19" x14ac:dyDescent="0.55000000000000004">
      <c r="A998" t="s">
        <v>25</v>
      </c>
      <c r="B998">
        <v>1963</v>
      </c>
      <c r="C998">
        <v>0</v>
      </c>
      <c r="D998" s="2">
        <v>0</v>
      </c>
      <c r="E998" s="3">
        <v>0</v>
      </c>
      <c r="F998" t="s">
        <v>12</v>
      </c>
      <c r="G998" t="s">
        <v>12</v>
      </c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>
        <v>0</v>
      </c>
      <c r="S998" t="s">
        <v>12</v>
      </c>
    </row>
    <row r="999" spans="1:19" x14ac:dyDescent="0.55000000000000004">
      <c r="A999" t="s">
        <v>25</v>
      </c>
      <c r="B999">
        <v>1962</v>
      </c>
      <c r="C999">
        <v>0</v>
      </c>
      <c r="D999" s="2">
        <v>0</v>
      </c>
      <c r="E999" s="3">
        <v>0</v>
      </c>
      <c r="F999" t="s">
        <v>12</v>
      </c>
      <c r="G999" t="s">
        <v>12</v>
      </c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>
        <v>0</v>
      </c>
      <c r="S999" t="s">
        <v>12</v>
      </c>
    </row>
    <row r="1000" spans="1:19" x14ac:dyDescent="0.55000000000000004">
      <c r="A1000" t="s">
        <v>25</v>
      </c>
      <c r="B1000">
        <v>1961</v>
      </c>
      <c r="C1000">
        <v>0</v>
      </c>
      <c r="D1000" s="2">
        <v>0</v>
      </c>
      <c r="E1000" s="3">
        <v>0</v>
      </c>
      <c r="F1000" t="s">
        <v>12</v>
      </c>
      <c r="G1000" t="s">
        <v>12</v>
      </c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>
        <v>0</v>
      </c>
      <c r="S1000" t="s">
        <v>12</v>
      </c>
    </row>
    <row r="1001" spans="1:19" x14ac:dyDescent="0.55000000000000004">
      <c r="A1001" t="s">
        <v>25</v>
      </c>
      <c r="B1001">
        <v>1960</v>
      </c>
      <c r="C1001">
        <v>0</v>
      </c>
      <c r="D1001" s="2">
        <v>0</v>
      </c>
      <c r="E1001" s="3">
        <v>0</v>
      </c>
      <c r="F1001" t="s">
        <v>12</v>
      </c>
      <c r="G1001" t="s">
        <v>12</v>
      </c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>
        <v>0</v>
      </c>
      <c r="S1001" t="s">
        <v>11</v>
      </c>
    </row>
    <row r="1002" spans="1:19" x14ac:dyDescent="0.55000000000000004">
      <c r="A1002" t="s">
        <v>25</v>
      </c>
      <c r="B1002">
        <v>1959</v>
      </c>
      <c r="C1002">
        <v>0</v>
      </c>
      <c r="D1002" s="2">
        <v>0</v>
      </c>
      <c r="E1002" s="3">
        <v>0</v>
      </c>
      <c r="F1002" t="s">
        <v>12</v>
      </c>
      <c r="G1002" t="s">
        <v>12</v>
      </c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>
        <v>0</v>
      </c>
      <c r="S1002" t="s">
        <v>12</v>
      </c>
    </row>
    <row r="1003" spans="1:19" x14ac:dyDescent="0.55000000000000004">
      <c r="A1003" t="s">
        <v>25</v>
      </c>
      <c r="B1003">
        <v>1958</v>
      </c>
      <c r="C1003">
        <v>0</v>
      </c>
      <c r="D1003" s="2">
        <v>0</v>
      </c>
      <c r="E1003" s="3">
        <v>0</v>
      </c>
      <c r="F1003" t="s">
        <v>12</v>
      </c>
      <c r="G1003" t="s">
        <v>12</v>
      </c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>
        <v>0</v>
      </c>
      <c r="S1003" t="s">
        <v>12</v>
      </c>
    </row>
    <row r="1004" spans="1:19" x14ac:dyDescent="0.55000000000000004">
      <c r="A1004" t="s">
        <v>25</v>
      </c>
      <c r="B1004">
        <v>1957</v>
      </c>
      <c r="C1004">
        <v>0</v>
      </c>
      <c r="D1004" s="2">
        <v>0</v>
      </c>
      <c r="E1004" s="3">
        <v>0</v>
      </c>
      <c r="F1004" t="s">
        <v>12</v>
      </c>
      <c r="G1004" t="s">
        <v>12</v>
      </c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>
        <v>0</v>
      </c>
      <c r="S1004" t="s">
        <v>12</v>
      </c>
    </row>
    <row r="1005" spans="1:19" x14ac:dyDescent="0.55000000000000004">
      <c r="A1005" t="s">
        <v>25</v>
      </c>
      <c r="B1005">
        <v>1952</v>
      </c>
      <c r="C1005">
        <v>0</v>
      </c>
      <c r="D1005" s="2">
        <v>0</v>
      </c>
      <c r="E1005" s="3">
        <v>0</v>
      </c>
      <c r="F1005" t="s">
        <v>12</v>
      </c>
      <c r="G1005" t="s">
        <v>12</v>
      </c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>
        <v>0</v>
      </c>
      <c r="S1005" t="s">
        <v>12</v>
      </c>
    </row>
    <row r="1006" spans="1:19" x14ac:dyDescent="0.55000000000000004">
      <c r="A1006" t="s">
        <v>26</v>
      </c>
      <c r="B1006">
        <v>2023</v>
      </c>
      <c r="C1006">
        <v>7738</v>
      </c>
      <c r="D1006" s="2">
        <v>0</v>
      </c>
      <c r="E1006" s="3">
        <v>7738</v>
      </c>
      <c r="F1006" t="s">
        <v>12</v>
      </c>
      <c r="G1006" t="s">
        <v>12</v>
      </c>
      <c r="H1006" s="1">
        <v>0.16990059047780501</v>
      </c>
      <c r="I1006" s="1">
        <v>134.32175467759299</v>
      </c>
      <c r="J1006" s="1">
        <v>47.189940610676999</v>
      </c>
      <c r="K1006" s="1"/>
      <c r="L1006" s="1">
        <v>8333</v>
      </c>
      <c r="M1006" s="1">
        <v>7738</v>
      </c>
      <c r="N1006" s="1"/>
      <c r="O1006" s="1"/>
      <c r="P1006" s="1"/>
      <c r="Q1006" s="1">
        <v>-7276.4202652088097</v>
      </c>
      <c r="R1006" s="1">
        <v>23991</v>
      </c>
      <c r="S1006" t="s">
        <v>11</v>
      </c>
    </row>
    <row r="1007" spans="1:19" x14ac:dyDescent="0.55000000000000004">
      <c r="A1007" t="s">
        <v>26</v>
      </c>
      <c r="B1007">
        <v>2022</v>
      </c>
      <c r="C1007">
        <v>5573</v>
      </c>
      <c r="D1007" s="2">
        <v>0</v>
      </c>
      <c r="E1007" s="3">
        <v>5573</v>
      </c>
      <c r="F1007" t="s">
        <v>12</v>
      </c>
      <c r="G1007" t="s">
        <v>12</v>
      </c>
      <c r="H1007" s="1">
        <v>0</v>
      </c>
      <c r="I1007" s="1">
        <v>2838.5133791381299</v>
      </c>
      <c r="J1007" s="1">
        <v>2693.1427912186</v>
      </c>
      <c r="K1007" s="1"/>
      <c r="L1007" s="1">
        <v>2090</v>
      </c>
      <c r="M1007" s="1">
        <v>2787</v>
      </c>
      <c r="N1007" s="1"/>
      <c r="O1007" s="1"/>
      <c r="P1007" s="1"/>
      <c r="Q1007" s="1">
        <v>-46545.882904481303</v>
      </c>
      <c r="R1007" s="1">
        <v>15982</v>
      </c>
      <c r="S1007" t="s">
        <v>11</v>
      </c>
    </row>
    <row r="1008" spans="1:19" x14ac:dyDescent="0.55000000000000004">
      <c r="A1008" t="s">
        <v>26</v>
      </c>
      <c r="B1008">
        <v>2021</v>
      </c>
      <c r="C1008">
        <v>698</v>
      </c>
      <c r="D1008" s="2">
        <v>0</v>
      </c>
      <c r="E1008" s="3">
        <v>698</v>
      </c>
      <c r="F1008" t="s">
        <v>12</v>
      </c>
      <c r="G1008" t="s">
        <v>12</v>
      </c>
      <c r="H1008" s="1">
        <v>3127.92711491911</v>
      </c>
      <c r="I1008" s="1">
        <v>155.15176500989</v>
      </c>
      <c r="J1008" s="1">
        <v>186.63997482103201</v>
      </c>
      <c r="K1008" s="1"/>
      <c r="L1008" s="1">
        <v>155</v>
      </c>
      <c r="M1008" s="1">
        <v>698</v>
      </c>
      <c r="N1008" s="1"/>
      <c r="O1008" s="1"/>
      <c r="P1008" s="1"/>
      <c r="Q1008" s="1">
        <v>-51453.965176124497</v>
      </c>
      <c r="R1008" s="1">
        <v>5021</v>
      </c>
      <c r="S1008" t="s">
        <v>11</v>
      </c>
    </row>
    <row r="1009" spans="1:19" x14ac:dyDescent="0.55000000000000004">
      <c r="A1009" t="s">
        <v>26</v>
      </c>
      <c r="B1009">
        <v>2020</v>
      </c>
      <c r="C1009">
        <v>223</v>
      </c>
      <c r="D1009" s="2">
        <v>0</v>
      </c>
      <c r="E1009" s="3">
        <v>223</v>
      </c>
      <c r="F1009" t="s">
        <v>12</v>
      </c>
      <c r="G1009" t="s">
        <v>12</v>
      </c>
      <c r="H1009" s="1">
        <v>27.3715191938769</v>
      </c>
      <c r="I1009" s="1">
        <v>33.312484043730997</v>
      </c>
      <c r="J1009" s="1">
        <v>10.612390759601601</v>
      </c>
      <c r="K1009" s="1"/>
      <c r="L1009" s="1">
        <v>50</v>
      </c>
      <c r="M1009" s="1">
        <v>223</v>
      </c>
      <c r="N1009" s="1"/>
      <c r="O1009" s="1"/>
      <c r="P1009" s="1"/>
      <c r="Q1009" s="1">
        <v>-658.810110508555</v>
      </c>
      <c r="R1009" s="1">
        <v>567</v>
      </c>
      <c r="S1009" t="s">
        <v>11</v>
      </c>
    </row>
    <row r="1010" spans="1:19" x14ac:dyDescent="0.55000000000000004">
      <c r="A1010" t="s">
        <v>26</v>
      </c>
      <c r="B1010">
        <v>2019</v>
      </c>
      <c r="C1010">
        <v>227</v>
      </c>
      <c r="D1010" s="2">
        <v>0</v>
      </c>
      <c r="E1010" s="3">
        <v>227</v>
      </c>
      <c r="F1010" t="s">
        <v>12</v>
      </c>
      <c r="G1010" t="s">
        <v>12</v>
      </c>
      <c r="H1010" s="1">
        <v>1674.6014052</v>
      </c>
      <c r="I1010" s="1">
        <v>26.1350733004899</v>
      </c>
      <c r="J1010" s="1">
        <v>5.1199082213176403</v>
      </c>
      <c r="K1010" s="1"/>
      <c r="L1010" s="1">
        <v>285</v>
      </c>
      <c r="M1010" s="1">
        <v>914</v>
      </c>
      <c r="N1010" s="1"/>
      <c r="O1010" s="1"/>
      <c r="P1010" s="1"/>
      <c r="Q1010" s="1">
        <v>-1350.92531926787</v>
      </c>
      <c r="R1010" s="1">
        <v>3132</v>
      </c>
      <c r="S1010" t="s">
        <v>11</v>
      </c>
    </row>
    <row r="1011" spans="1:19" x14ac:dyDescent="0.55000000000000004">
      <c r="A1011" t="s">
        <v>26</v>
      </c>
      <c r="B1011">
        <v>2018</v>
      </c>
      <c r="C1011">
        <v>3330</v>
      </c>
      <c r="D1011" s="2">
        <v>0</v>
      </c>
      <c r="E1011" s="3">
        <v>3330</v>
      </c>
      <c r="F1011" t="s">
        <v>12</v>
      </c>
      <c r="G1011" t="s">
        <v>12</v>
      </c>
      <c r="H1011" s="1">
        <v>12.480110663</v>
      </c>
      <c r="I1011" s="1">
        <v>12848.491199947101</v>
      </c>
      <c r="J1011" s="1">
        <v>1648.5090099096799</v>
      </c>
      <c r="K1011" s="1"/>
      <c r="L1011" s="1">
        <v>1249</v>
      </c>
      <c r="M1011" s="1">
        <v>1665</v>
      </c>
      <c r="N1011" s="1">
        <v>-4678</v>
      </c>
      <c r="O1011" s="1"/>
      <c r="P1011" s="1"/>
      <c r="Q1011" s="1">
        <v>-6215.6414379596499</v>
      </c>
      <c r="R1011" s="1">
        <v>16075</v>
      </c>
      <c r="S1011" t="s">
        <v>11</v>
      </c>
    </row>
    <row r="1012" spans="1:19" x14ac:dyDescent="0.55000000000000004">
      <c r="A1012" t="s">
        <v>26</v>
      </c>
      <c r="B1012">
        <v>2017</v>
      </c>
      <c r="C1012">
        <v>5697</v>
      </c>
      <c r="D1012" s="2">
        <v>0</v>
      </c>
      <c r="E1012" s="3">
        <v>5697</v>
      </c>
      <c r="F1012" t="s">
        <v>12</v>
      </c>
      <c r="G1012" t="s">
        <v>12</v>
      </c>
      <c r="H1012" s="1">
        <v>711.03013324599999</v>
      </c>
      <c r="I1012" s="1">
        <v>407.80387190358999</v>
      </c>
      <c r="J1012" s="1">
        <v>940.94179684440905</v>
      </c>
      <c r="K1012" s="1"/>
      <c r="L1012" s="1">
        <v>2067</v>
      </c>
      <c r="M1012" s="1">
        <v>6014</v>
      </c>
      <c r="N1012" s="1">
        <v>-347</v>
      </c>
      <c r="O1012" s="1"/>
      <c r="P1012" s="1"/>
      <c r="Q1012" s="1">
        <v>-31998.8072874422</v>
      </c>
      <c r="R1012" s="1">
        <v>15491</v>
      </c>
      <c r="S1012" t="s">
        <v>11</v>
      </c>
    </row>
    <row r="1013" spans="1:19" x14ac:dyDescent="0.55000000000000004">
      <c r="A1013" t="s">
        <v>26</v>
      </c>
      <c r="B1013">
        <v>2016</v>
      </c>
      <c r="C1013">
        <v>5926</v>
      </c>
      <c r="D1013" s="2">
        <v>0</v>
      </c>
      <c r="E1013" s="3">
        <v>5926</v>
      </c>
      <c r="F1013" t="s">
        <v>12</v>
      </c>
      <c r="G1013" t="s">
        <v>12</v>
      </c>
      <c r="H1013" s="1">
        <v>3141.1230905676998</v>
      </c>
      <c r="I1013" s="1">
        <v>2898.3332208574102</v>
      </c>
      <c r="J1013" s="1">
        <v>2502.5485089406402</v>
      </c>
      <c r="K1013" s="1"/>
      <c r="L1013" s="1">
        <v>5333</v>
      </c>
      <c r="M1013" s="1">
        <v>6518</v>
      </c>
      <c r="N1013" s="1">
        <v>-1191</v>
      </c>
      <c r="O1013" s="1"/>
      <c r="P1013" s="1"/>
      <c r="Q1013" s="1">
        <v>-18774.801290009898</v>
      </c>
      <c r="R1013" s="1">
        <v>25128</v>
      </c>
      <c r="S1013" t="s">
        <v>11</v>
      </c>
    </row>
    <row r="1014" spans="1:19" x14ac:dyDescent="0.55000000000000004">
      <c r="A1014" t="s">
        <v>26</v>
      </c>
      <c r="B1014">
        <v>2015</v>
      </c>
      <c r="C1014">
        <v>23072</v>
      </c>
      <c r="D1014" s="2">
        <v>0</v>
      </c>
      <c r="E1014" s="3">
        <v>23072</v>
      </c>
      <c r="F1014" t="s">
        <v>12</v>
      </c>
      <c r="G1014" t="s">
        <v>12</v>
      </c>
      <c r="H1014" s="1">
        <v>8386.98644504</v>
      </c>
      <c r="I1014" s="1">
        <v>2474.3541087986</v>
      </c>
      <c r="J1014" s="1">
        <v>2200.5758700963902</v>
      </c>
      <c r="K1014" s="1"/>
      <c r="L1014" s="1">
        <v>14662</v>
      </c>
      <c r="M1014" s="1">
        <v>35575</v>
      </c>
      <c r="N1014" s="1">
        <v>511</v>
      </c>
      <c r="O1014" s="1"/>
      <c r="P1014" s="1"/>
      <c r="Q1014" s="1">
        <v>-52918.4406194002</v>
      </c>
      <c r="R1014" s="1">
        <v>86882</v>
      </c>
      <c r="S1014" t="s">
        <v>11</v>
      </c>
    </row>
    <row r="1015" spans="1:19" x14ac:dyDescent="0.55000000000000004">
      <c r="A1015" t="s">
        <v>26</v>
      </c>
      <c r="B1015">
        <v>2014</v>
      </c>
      <c r="C1015">
        <v>21572</v>
      </c>
      <c r="D1015" s="2">
        <v>30</v>
      </c>
      <c r="E1015" s="3">
        <v>21602</v>
      </c>
      <c r="F1015" t="s">
        <v>12</v>
      </c>
      <c r="G1015" t="s">
        <v>12</v>
      </c>
      <c r="H1015" s="1">
        <v>1736.5693737833001</v>
      </c>
      <c r="I1015" s="1">
        <v>54871.3416392496</v>
      </c>
      <c r="J1015" s="1">
        <v>3493.5774606392301</v>
      </c>
      <c r="K1015" s="1"/>
      <c r="L1015" s="1">
        <v>11325</v>
      </c>
      <c r="M1015" s="1">
        <v>23729</v>
      </c>
      <c r="N1015" s="1">
        <v>-6955</v>
      </c>
      <c r="O1015" s="1">
        <v>16</v>
      </c>
      <c r="P1015" s="1">
        <v>33</v>
      </c>
      <c r="Q1015" s="1">
        <v>-3772.9751473710999</v>
      </c>
      <c r="R1015" s="1">
        <v>109851</v>
      </c>
      <c r="S1015" t="s">
        <v>11</v>
      </c>
    </row>
    <row r="1016" spans="1:19" x14ac:dyDescent="0.55000000000000004">
      <c r="A1016" t="s">
        <v>26</v>
      </c>
      <c r="B1016">
        <v>2013</v>
      </c>
      <c r="C1016">
        <v>18978</v>
      </c>
      <c r="D1016" s="2">
        <v>46</v>
      </c>
      <c r="E1016" s="3">
        <v>19024</v>
      </c>
      <c r="F1016" t="s">
        <v>12</v>
      </c>
      <c r="G1016" t="s">
        <v>12</v>
      </c>
      <c r="H1016" s="1">
        <v>533.55190835351402</v>
      </c>
      <c r="I1016" s="1">
        <v>4743.8826443297603</v>
      </c>
      <c r="J1016" s="1">
        <v>2003.8001515795199</v>
      </c>
      <c r="K1016" s="1"/>
      <c r="L1016" s="1">
        <v>7312</v>
      </c>
      <c r="M1016" s="1">
        <v>22458</v>
      </c>
      <c r="N1016" s="1">
        <v>1097</v>
      </c>
      <c r="O1016" s="1">
        <v>18</v>
      </c>
      <c r="P1016" s="1">
        <v>54</v>
      </c>
      <c r="Q1016" s="1">
        <v>-75930.603579311704</v>
      </c>
      <c r="R1016" s="1">
        <v>57244</v>
      </c>
      <c r="S1016" t="s">
        <v>11</v>
      </c>
    </row>
    <row r="1017" spans="1:19" x14ac:dyDescent="0.55000000000000004">
      <c r="A1017" t="s">
        <v>26</v>
      </c>
      <c r="B1017">
        <v>2012</v>
      </c>
      <c r="C1017">
        <v>185</v>
      </c>
      <c r="D1017" s="2">
        <v>0</v>
      </c>
      <c r="E1017" s="3">
        <v>185</v>
      </c>
      <c r="F1017" t="s">
        <v>12</v>
      </c>
      <c r="G1017" t="s">
        <v>12</v>
      </c>
      <c r="H1017" s="1">
        <v>518.16884497420006</v>
      </c>
      <c r="I1017" s="1">
        <v>8118.8968195015696</v>
      </c>
      <c r="J1017" s="1">
        <v>8355.4556163575508</v>
      </c>
      <c r="K1017" s="1">
        <v>8521</v>
      </c>
      <c r="L1017" s="1">
        <v>5225</v>
      </c>
      <c r="M1017" s="1">
        <v>29422</v>
      </c>
      <c r="N1017" s="1"/>
      <c r="O1017" s="1"/>
      <c r="P1017" s="1"/>
      <c r="Q1017" s="1">
        <v>-26808.804432224399</v>
      </c>
      <c r="R1017" s="1">
        <v>60346</v>
      </c>
      <c r="S1017" t="s">
        <v>11</v>
      </c>
    </row>
    <row r="1018" spans="1:19" x14ac:dyDescent="0.55000000000000004">
      <c r="A1018" t="s">
        <v>26</v>
      </c>
      <c r="B1018">
        <v>2011</v>
      </c>
      <c r="C1018">
        <v>4205</v>
      </c>
      <c r="D1018" s="2">
        <v>0</v>
      </c>
      <c r="E1018" s="3">
        <v>4205</v>
      </c>
      <c r="F1018" t="s">
        <v>12</v>
      </c>
      <c r="G1018" t="s">
        <v>12</v>
      </c>
      <c r="H1018" s="1">
        <v>478.63969835050801</v>
      </c>
      <c r="I1018" s="1">
        <v>22842.825424724899</v>
      </c>
      <c r="J1018" s="1">
        <v>13903.9039841225</v>
      </c>
      <c r="K1018" s="1"/>
      <c r="L1018" s="1">
        <v>8389</v>
      </c>
      <c r="M1018" s="1">
        <v>71296</v>
      </c>
      <c r="N1018" s="1">
        <v>4545</v>
      </c>
      <c r="O1018" s="1"/>
      <c r="P1018" s="1"/>
      <c r="Q1018" s="1">
        <v>-72171.377703989303</v>
      </c>
      <c r="R1018" s="1">
        <v>125660</v>
      </c>
      <c r="S1018" t="s">
        <v>11</v>
      </c>
    </row>
    <row r="1019" spans="1:19" x14ac:dyDescent="0.55000000000000004">
      <c r="A1019" t="s">
        <v>26</v>
      </c>
      <c r="B1019">
        <v>2010</v>
      </c>
      <c r="C1019">
        <v>6957</v>
      </c>
      <c r="D1019" s="2">
        <v>0</v>
      </c>
      <c r="E1019" s="3">
        <v>6957</v>
      </c>
      <c r="F1019" t="s">
        <v>12</v>
      </c>
      <c r="G1019" t="s">
        <v>12</v>
      </c>
      <c r="H1019" s="1">
        <v>0</v>
      </c>
      <c r="I1019" s="1">
        <v>18854.6968631089</v>
      </c>
      <c r="J1019" s="1"/>
      <c r="K1019" s="1"/>
      <c r="L1019" s="1">
        <v>3955</v>
      </c>
      <c r="M1019" s="1">
        <v>28641</v>
      </c>
      <c r="N1019" s="1">
        <v>4933</v>
      </c>
      <c r="O1019" s="1"/>
      <c r="P1019" s="1"/>
      <c r="Q1019" s="1">
        <v>-43957.0318794505</v>
      </c>
      <c r="R1019" s="1">
        <v>63341</v>
      </c>
      <c r="S1019" t="s">
        <v>11</v>
      </c>
    </row>
    <row r="1020" spans="1:19" x14ac:dyDescent="0.55000000000000004">
      <c r="A1020" t="s">
        <v>26</v>
      </c>
      <c r="B1020">
        <v>2009</v>
      </c>
      <c r="C1020">
        <v>3186</v>
      </c>
      <c r="D1020" s="2">
        <v>0</v>
      </c>
      <c r="E1020" s="3">
        <v>3186</v>
      </c>
      <c r="F1020" t="s">
        <v>12</v>
      </c>
      <c r="G1020" t="s">
        <v>12</v>
      </c>
      <c r="H1020" s="1">
        <v>725.44800627894494</v>
      </c>
      <c r="I1020" s="1">
        <v>1451.2311827219501</v>
      </c>
      <c r="J1020" s="1">
        <v>787.89767491108898</v>
      </c>
      <c r="K1020" s="1"/>
      <c r="L1020" s="1">
        <v>6931.6486825596003</v>
      </c>
      <c r="M1020" s="1">
        <v>24540.594730238401</v>
      </c>
      <c r="N1020" s="1">
        <v>-151.90464240903401</v>
      </c>
      <c r="O1020" s="1"/>
      <c r="P1020" s="1"/>
      <c r="Q1020" s="1">
        <v>-34066.042844006202</v>
      </c>
      <c r="R1020" s="1">
        <v>37471</v>
      </c>
      <c r="S1020" t="s">
        <v>11</v>
      </c>
    </row>
    <row r="1021" spans="1:19" x14ac:dyDescent="0.55000000000000004">
      <c r="A1021" t="s">
        <v>26</v>
      </c>
      <c r="B1021">
        <v>2008</v>
      </c>
      <c r="C1021">
        <v>3226</v>
      </c>
      <c r="D1021" s="2">
        <v>0</v>
      </c>
      <c r="E1021" s="3">
        <v>3226</v>
      </c>
      <c r="F1021" t="s">
        <v>12</v>
      </c>
      <c r="G1021" t="s">
        <v>12</v>
      </c>
      <c r="H1021" s="1">
        <v>12.362530126869499</v>
      </c>
      <c r="I1021" s="1">
        <v>3183.5511532519799</v>
      </c>
      <c r="J1021" s="1">
        <v>4963.04167048005</v>
      </c>
      <c r="K1021" s="1"/>
      <c r="L1021" s="1"/>
      <c r="M1021" s="1"/>
      <c r="N1021" s="1"/>
      <c r="O1021" s="1"/>
      <c r="P1021" s="1"/>
      <c r="Q1021" s="1">
        <v>-13593.599583056301</v>
      </c>
      <c r="R1021" s="1">
        <v>24979</v>
      </c>
      <c r="S1021" t="s">
        <v>9</v>
      </c>
    </row>
    <row r="1022" spans="1:19" x14ac:dyDescent="0.55000000000000004">
      <c r="A1022" t="s">
        <v>26</v>
      </c>
      <c r="B1022">
        <v>2007</v>
      </c>
      <c r="C1022">
        <v>16940</v>
      </c>
      <c r="D1022" s="2">
        <v>0</v>
      </c>
      <c r="E1022" s="3">
        <v>16940</v>
      </c>
      <c r="F1022" t="s">
        <v>12</v>
      </c>
      <c r="G1022" t="s">
        <v>12</v>
      </c>
      <c r="H1022" s="1">
        <v>4071.9611914020002</v>
      </c>
      <c r="I1022" s="1">
        <v>3409.1949736039301</v>
      </c>
      <c r="J1022" s="1">
        <v>2601.50732827192</v>
      </c>
      <c r="K1022" s="1"/>
      <c r="L1022" s="1"/>
      <c r="M1022" s="1"/>
      <c r="N1022" s="1"/>
      <c r="O1022" s="1"/>
      <c r="P1022" s="1"/>
      <c r="Q1022" s="1">
        <v>-13411.759138089399</v>
      </c>
      <c r="R1022" s="1">
        <v>40434</v>
      </c>
      <c r="S1022" t="s">
        <v>9</v>
      </c>
    </row>
    <row r="1023" spans="1:19" x14ac:dyDescent="0.55000000000000004">
      <c r="A1023" t="s">
        <v>26</v>
      </c>
      <c r="B1023">
        <v>2006</v>
      </c>
      <c r="C1023">
        <v>21692</v>
      </c>
      <c r="D1023" s="2">
        <v>0</v>
      </c>
      <c r="E1023" s="3">
        <v>21692</v>
      </c>
      <c r="F1023" t="s">
        <v>12</v>
      </c>
      <c r="G1023" t="s">
        <v>12</v>
      </c>
      <c r="H1023" s="1">
        <v>259.03402775683998</v>
      </c>
      <c r="I1023" s="1">
        <v>30205.122664724498</v>
      </c>
      <c r="J1023" s="1">
        <v>3371.8019926972602</v>
      </c>
      <c r="K1023" s="1"/>
      <c r="L1023" s="1"/>
      <c r="M1023" s="1"/>
      <c r="N1023" s="1"/>
      <c r="O1023" s="1"/>
      <c r="P1023" s="1"/>
      <c r="Q1023" s="1">
        <v>-33467.370470043803</v>
      </c>
      <c r="R1023" s="1">
        <v>88995</v>
      </c>
      <c r="S1023" t="s">
        <v>9</v>
      </c>
    </row>
    <row r="1024" spans="1:19" x14ac:dyDescent="0.55000000000000004">
      <c r="A1024" t="s">
        <v>26</v>
      </c>
      <c r="B1024">
        <v>2005</v>
      </c>
      <c r="C1024">
        <v>74416</v>
      </c>
      <c r="D1024" s="2">
        <v>127</v>
      </c>
      <c r="E1024" s="3">
        <v>74543</v>
      </c>
      <c r="F1024" t="s">
        <v>12</v>
      </c>
      <c r="G1024" t="s">
        <v>12</v>
      </c>
      <c r="H1024" s="1">
        <v>153.75568496712</v>
      </c>
      <c r="I1024" s="1">
        <v>14857.3468753212</v>
      </c>
      <c r="J1024" s="1">
        <v>14110.851774041799</v>
      </c>
      <c r="K1024" s="1"/>
      <c r="L1024" s="1"/>
      <c r="M1024" s="1"/>
      <c r="N1024" s="1"/>
      <c r="O1024" s="1"/>
      <c r="P1024" s="1"/>
      <c r="Q1024" s="1">
        <v>-135454.29485844501</v>
      </c>
      <c r="R1024" s="1">
        <v>239119</v>
      </c>
      <c r="S1024" t="s">
        <v>9</v>
      </c>
    </row>
    <row r="1025" spans="1:19" x14ac:dyDescent="0.55000000000000004">
      <c r="A1025" t="s">
        <v>26</v>
      </c>
      <c r="B1025">
        <v>2004</v>
      </c>
      <c r="C1025">
        <v>851</v>
      </c>
      <c r="D1025" s="2">
        <v>0</v>
      </c>
      <c r="E1025" s="3">
        <v>851</v>
      </c>
      <c r="F1025" t="s">
        <v>12</v>
      </c>
      <c r="G1025" t="s">
        <v>12</v>
      </c>
      <c r="H1025" s="1">
        <v>750.42055435695795</v>
      </c>
      <c r="I1025" s="1">
        <v>13952.520736344601</v>
      </c>
      <c r="J1025" s="1">
        <v>3414.88228489428</v>
      </c>
      <c r="K1025" s="1"/>
      <c r="L1025" s="1"/>
      <c r="M1025" s="1"/>
      <c r="N1025" s="1"/>
      <c r="O1025" s="1"/>
      <c r="P1025" s="1"/>
      <c r="Q1025" s="1">
        <v>-20615.0213306107</v>
      </c>
      <c r="R1025" s="1">
        <v>39584</v>
      </c>
      <c r="S1025" t="s">
        <v>9</v>
      </c>
    </row>
    <row r="1026" spans="1:19" x14ac:dyDescent="0.55000000000000004">
      <c r="A1026" t="s">
        <v>26</v>
      </c>
      <c r="B1026">
        <v>2003</v>
      </c>
      <c r="C1026">
        <v>23877</v>
      </c>
      <c r="D1026" s="2">
        <v>47</v>
      </c>
      <c r="E1026" s="3">
        <v>23924</v>
      </c>
      <c r="F1026" t="s">
        <v>12</v>
      </c>
      <c r="G1026" t="s">
        <v>12</v>
      </c>
      <c r="H1026" s="1">
        <v>678.79637415803995</v>
      </c>
      <c r="I1026" s="1">
        <v>13852.230107441799</v>
      </c>
      <c r="J1026" s="1">
        <v>3457.9148340197398</v>
      </c>
      <c r="K1026" s="1"/>
      <c r="L1026" s="1"/>
      <c r="M1026" s="1"/>
      <c r="N1026" s="1"/>
      <c r="O1026" s="1"/>
      <c r="P1026" s="1"/>
      <c r="Q1026" s="1">
        <v>-7669.72279423085</v>
      </c>
      <c r="R1026" s="1">
        <v>49583</v>
      </c>
      <c r="S1026" t="s">
        <v>9</v>
      </c>
    </row>
    <row r="1027" spans="1:19" x14ac:dyDescent="0.55000000000000004">
      <c r="A1027" t="s">
        <v>26</v>
      </c>
      <c r="B1027">
        <v>2002</v>
      </c>
      <c r="C1027">
        <v>4862</v>
      </c>
      <c r="D1027" s="2">
        <v>0</v>
      </c>
      <c r="E1027" s="3">
        <v>4862</v>
      </c>
      <c r="F1027" t="s">
        <v>12</v>
      </c>
      <c r="G1027" t="s">
        <v>12</v>
      </c>
      <c r="H1027" s="1">
        <v>0.31613571010907598</v>
      </c>
      <c r="I1027" s="1">
        <v>1782.9121670208899</v>
      </c>
      <c r="J1027" s="1">
        <v>1887.8941192367799</v>
      </c>
      <c r="K1027" s="1"/>
      <c r="L1027" s="1"/>
      <c r="M1027" s="1"/>
      <c r="N1027" s="1"/>
      <c r="O1027" s="1"/>
      <c r="P1027" s="1"/>
      <c r="Q1027" s="1">
        <v>-10816.9301372381</v>
      </c>
      <c r="R1027" s="1">
        <v>19350</v>
      </c>
      <c r="S1027" t="s">
        <v>9</v>
      </c>
    </row>
    <row r="1028" spans="1:19" x14ac:dyDescent="0.55000000000000004">
      <c r="A1028" t="s">
        <v>26</v>
      </c>
      <c r="B1028">
        <v>2001</v>
      </c>
      <c r="C1028">
        <v>7535</v>
      </c>
      <c r="D1028" s="2">
        <v>0</v>
      </c>
      <c r="E1028" s="3">
        <v>7535</v>
      </c>
      <c r="F1028" t="s">
        <v>12</v>
      </c>
      <c r="G1028" t="s">
        <v>12</v>
      </c>
      <c r="H1028" s="1">
        <v>19.5312094516451</v>
      </c>
      <c r="I1028" s="1">
        <v>1487.36100109424</v>
      </c>
      <c r="J1028" s="1">
        <v>1135.56305196219</v>
      </c>
      <c r="K1028" s="1"/>
      <c r="L1028" s="1"/>
      <c r="M1028" s="1"/>
      <c r="N1028" s="1"/>
      <c r="O1028" s="1"/>
      <c r="P1028" s="1"/>
      <c r="Q1028" s="1">
        <v>-5433.5610873756405</v>
      </c>
      <c r="R1028" s="1">
        <v>15611</v>
      </c>
      <c r="S1028" t="s">
        <v>9</v>
      </c>
    </row>
    <row r="1029" spans="1:19" x14ac:dyDescent="0.55000000000000004">
      <c r="A1029" t="s">
        <v>26</v>
      </c>
      <c r="B1029">
        <v>2000</v>
      </c>
      <c r="C1029">
        <v>7429</v>
      </c>
      <c r="D1029" s="2">
        <v>0</v>
      </c>
      <c r="E1029" s="3">
        <v>7429</v>
      </c>
      <c r="F1029" t="s">
        <v>12</v>
      </c>
      <c r="G1029" t="s">
        <v>12</v>
      </c>
      <c r="H1029" s="1">
        <v>8.3578210713890293</v>
      </c>
      <c r="I1029" s="1">
        <v>4656.9842664316102</v>
      </c>
      <c r="J1029" s="1">
        <v>1779.05990562633</v>
      </c>
      <c r="K1029" s="1"/>
      <c r="L1029" s="1"/>
      <c r="M1029" s="1"/>
      <c r="N1029" s="1"/>
      <c r="O1029" s="1"/>
      <c r="P1029" s="1"/>
      <c r="Q1029" s="1">
        <v>-3.0459850652168798</v>
      </c>
      <c r="R1029" s="1">
        <v>13876</v>
      </c>
      <c r="S1029" t="s">
        <v>9</v>
      </c>
    </row>
    <row r="1030" spans="1:19" x14ac:dyDescent="0.55000000000000004">
      <c r="A1030" t="s">
        <v>26</v>
      </c>
      <c r="B1030">
        <v>1999</v>
      </c>
      <c r="C1030">
        <v>2</v>
      </c>
      <c r="D1030" s="2">
        <v>0</v>
      </c>
      <c r="E1030" s="3">
        <v>2</v>
      </c>
      <c r="F1030" t="s">
        <v>12</v>
      </c>
      <c r="G1030" t="s">
        <v>12</v>
      </c>
      <c r="H1030" s="1">
        <v>7.0780295007686603E-4</v>
      </c>
      <c r="I1030" s="1">
        <v>1.3165199297204699</v>
      </c>
      <c r="J1030" s="1">
        <v>2.74664302546946</v>
      </c>
      <c r="K1030" s="1"/>
      <c r="L1030" s="1"/>
      <c r="M1030" s="1"/>
      <c r="N1030" s="1"/>
      <c r="O1030" s="1"/>
      <c r="P1030" s="1"/>
      <c r="Q1030" s="1">
        <v>-11.4032352572085</v>
      </c>
      <c r="R1030" s="1">
        <v>17</v>
      </c>
      <c r="S1030" t="s">
        <v>9</v>
      </c>
    </row>
    <row r="1031" spans="1:19" x14ac:dyDescent="0.55000000000000004">
      <c r="A1031" t="s">
        <v>26</v>
      </c>
      <c r="B1031">
        <v>1997</v>
      </c>
      <c r="C1031">
        <v>0</v>
      </c>
      <c r="D1031" s="2">
        <v>0</v>
      </c>
      <c r="E1031" s="3">
        <v>0</v>
      </c>
      <c r="F1031" t="s">
        <v>12</v>
      </c>
      <c r="G1031" t="s">
        <v>12</v>
      </c>
      <c r="H1031" s="1"/>
      <c r="I1031" s="1"/>
      <c r="J1031" s="1"/>
      <c r="K1031" s="1"/>
      <c r="L1031" s="1"/>
      <c r="M1031" s="1"/>
      <c r="N1031" s="1"/>
      <c r="O1031" s="1"/>
      <c r="P1031" s="1"/>
      <c r="Q1031" s="1">
        <v>0</v>
      </c>
      <c r="R1031" s="1">
        <v>0</v>
      </c>
      <c r="S1031" t="s">
        <v>9</v>
      </c>
    </row>
    <row r="1032" spans="1:19" x14ac:dyDescent="0.55000000000000004">
      <c r="A1032" t="s">
        <v>26</v>
      </c>
      <c r="B1032">
        <v>1996</v>
      </c>
      <c r="C1032">
        <v>157</v>
      </c>
      <c r="D1032" s="2">
        <v>0</v>
      </c>
      <c r="E1032" s="3">
        <v>157</v>
      </c>
      <c r="F1032" t="s">
        <v>12</v>
      </c>
      <c r="G1032" t="s">
        <v>12</v>
      </c>
      <c r="H1032" s="1">
        <v>8.1567816546468906E-3</v>
      </c>
      <c r="I1032" s="1">
        <v>50.484552493343401</v>
      </c>
      <c r="J1032" s="1">
        <v>57.322169228490701</v>
      </c>
      <c r="K1032" s="1"/>
      <c r="L1032" s="1"/>
      <c r="M1032" s="1"/>
      <c r="N1032" s="1"/>
      <c r="O1032" s="1"/>
      <c r="P1032" s="1"/>
      <c r="Q1032" s="1">
        <v>-115.35892078981399</v>
      </c>
      <c r="R1032" s="1">
        <v>380</v>
      </c>
      <c r="S1032" t="s">
        <v>9</v>
      </c>
    </row>
    <row r="1033" spans="1:19" x14ac:dyDescent="0.55000000000000004">
      <c r="A1033" t="s">
        <v>26</v>
      </c>
      <c r="B1033">
        <v>1995</v>
      </c>
      <c r="C1033">
        <v>4</v>
      </c>
      <c r="D1033" s="2">
        <v>0</v>
      </c>
      <c r="E1033" s="3">
        <v>4</v>
      </c>
      <c r="F1033" t="s">
        <v>12</v>
      </c>
      <c r="G1033" t="s">
        <v>12</v>
      </c>
      <c r="H1033" s="1">
        <v>4.3184903570337203E-18</v>
      </c>
      <c r="I1033" s="1">
        <v>1.1377254808757999</v>
      </c>
      <c r="J1033" s="1">
        <v>1.2067386742113999</v>
      </c>
      <c r="K1033" s="1"/>
      <c r="L1033" s="1"/>
      <c r="M1033" s="1"/>
      <c r="N1033" s="1"/>
      <c r="O1033" s="1"/>
      <c r="P1033" s="1"/>
      <c r="Q1033" s="1">
        <v>-4.1107753286422497</v>
      </c>
      <c r="R1033" s="1">
        <v>10</v>
      </c>
      <c r="S1033" t="s">
        <v>9</v>
      </c>
    </row>
    <row r="1034" spans="1:19" x14ac:dyDescent="0.55000000000000004">
      <c r="A1034" t="s">
        <v>26</v>
      </c>
      <c r="B1034">
        <v>1994</v>
      </c>
      <c r="C1034">
        <v>0</v>
      </c>
      <c r="D1034" s="2">
        <v>0</v>
      </c>
      <c r="E1034" s="3">
        <v>0</v>
      </c>
      <c r="F1034" t="s">
        <v>12</v>
      </c>
      <c r="G1034" t="s">
        <v>12</v>
      </c>
      <c r="H1034" s="1"/>
      <c r="I1034" s="1"/>
      <c r="J1034" s="1"/>
      <c r="K1034" s="1"/>
      <c r="L1034" s="1"/>
      <c r="M1034" s="1"/>
      <c r="N1034" s="1"/>
      <c r="O1034" s="1"/>
      <c r="P1034" s="1"/>
      <c r="Q1034" s="1">
        <v>0</v>
      </c>
      <c r="R1034" s="1">
        <v>0</v>
      </c>
      <c r="S1034" t="s">
        <v>9</v>
      </c>
    </row>
    <row r="1035" spans="1:19" x14ac:dyDescent="0.55000000000000004">
      <c r="A1035" t="s">
        <v>26</v>
      </c>
      <c r="B1035">
        <v>1993</v>
      </c>
      <c r="C1035">
        <v>337</v>
      </c>
      <c r="D1035" s="2">
        <v>0</v>
      </c>
      <c r="E1035" s="3">
        <v>337</v>
      </c>
      <c r="F1035" t="s">
        <v>12</v>
      </c>
      <c r="G1035" t="s">
        <v>12</v>
      </c>
      <c r="H1035" s="1">
        <v>5.5886368861509803</v>
      </c>
      <c r="I1035" s="1">
        <v>784.40981570907798</v>
      </c>
      <c r="J1035" s="1">
        <v>26.131664982443901</v>
      </c>
      <c r="K1035" s="1"/>
      <c r="L1035" s="1"/>
      <c r="M1035" s="1"/>
      <c r="N1035" s="1"/>
      <c r="O1035" s="1"/>
      <c r="P1035" s="1"/>
      <c r="Q1035" s="1">
        <v>-299.88879960839802</v>
      </c>
      <c r="R1035" s="1">
        <v>1453</v>
      </c>
      <c r="S1035" t="s">
        <v>9</v>
      </c>
    </row>
    <row r="1036" spans="1:19" x14ac:dyDescent="0.55000000000000004">
      <c r="A1036" t="s">
        <v>26</v>
      </c>
      <c r="B1036">
        <v>1992</v>
      </c>
      <c r="C1036">
        <v>171</v>
      </c>
      <c r="D1036" s="2">
        <v>0</v>
      </c>
      <c r="E1036" s="3">
        <v>171</v>
      </c>
      <c r="F1036" t="s">
        <v>12</v>
      </c>
      <c r="G1036" t="s">
        <v>12</v>
      </c>
      <c r="H1036" s="1">
        <v>0.193082471793668</v>
      </c>
      <c r="I1036" s="1">
        <v>242.03709442167599</v>
      </c>
      <c r="J1036" s="1">
        <v>401.93219592500901</v>
      </c>
      <c r="K1036" s="1"/>
      <c r="L1036" s="1"/>
      <c r="M1036" s="1"/>
      <c r="N1036" s="1"/>
      <c r="O1036" s="1"/>
      <c r="P1036" s="1"/>
      <c r="Q1036" s="1">
        <v>51.5352537010303</v>
      </c>
      <c r="R1036" s="1">
        <v>815</v>
      </c>
      <c r="S1036" t="s">
        <v>9</v>
      </c>
    </row>
    <row r="1037" spans="1:19" x14ac:dyDescent="0.55000000000000004">
      <c r="A1037" t="s">
        <v>26</v>
      </c>
      <c r="B1037">
        <v>1990</v>
      </c>
      <c r="C1037">
        <v>0</v>
      </c>
      <c r="D1037" s="2">
        <v>0</v>
      </c>
      <c r="E1037" s="3">
        <v>0</v>
      </c>
      <c r="F1037" t="s">
        <v>12</v>
      </c>
      <c r="G1037" t="s">
        <v>12</v>
      </c>
      <c r="H1037" s="1"/>
      <c r="I1037" s="1"/>
      <c r="J1037" s="1"/>
      <c r="K1037" s="1"/>
      <c r="L1037" s="1"/>
      <c r="M1037" s="1"/>
      <c r="N1037" s="1"/>
      <c r="O1037" s="1"/>
      <c r="P1037" s="1"/>
      <c r="Q1037" s="1">
        <v>0</v>
      </c>
      <c r="R1037" s="1">
        <v>0</v>
      </c>
      <c r="S1037" t="s">
        <v>9</v>
      </c>
    </row>
    <row r="1038" spans="1:19" x14ac:dyDescent="0.55000000000000004">
      <c r="A1038" t="s">
        <v>26</v>
      </c>
      <c r="B1038">
        <v>1989</v>
      </c>
      <c r="C1038">
        <v>180</v>
      </c>
      <c r="D1038" s="2">
        <v>0</v>
      </c>
      <c r="E1038" s="3">
        <v>180</v>
      </c>
      <c r="F1038" t="s">
        <v>12</v>
      </c>
      <c r="G1038" t="s">
        <v>12</v>
      </c>
      <c r="H1038" s="1">
        <v>2.5763071794973702</v>
      </c>
      <c r="I1038" s="1">
        <v>1266.8137753339099</v>
      </c>
      <c r="J1038" s="1">
        <v>100.075666380052</v>
      </c>
      <c r="K1038" s="1"/>
      <c r="L1038" s="1"/>
      <c r="M1038" s="1"/>
      <c r="N1038" s="1"/>
      <c r="O1038" s="1"/>
      <c r="P1038" s="1"/>
      <c r="Q1038" s="1">
        <v>-37.473073783409902</v>
      </c>
      <c r="R1038" s="1">
        <v>1587</v>
      </c>
      <c r="S1038" t="s">
        <v>9</v>
      </c>
    </row>
    <row r="1039" spans="1:19" x14ac:dyDescent="0.55000000000000004">
      <c r="A1039" t="s">
        <v>26</v>
      </c>
      <c r="B1039">
        <v>1988</v>
      </c>
      <c r="C1039">
        <v>550</v>
      </c>
      <c r="D1039" s="2">
        <v>0</v>
      </c>
      <c r="E1039" s="3">
        <v>550</v>
      </c>
      <c r="F1039" t="s">
        <v>12</v>
      </c>
      <c r="G1039" t="s">
        <v>12</v>
      </c>
      <c r="H1039" s="1">
        <v>0</v>
      </c>
      <c r="I1039" s="1">
        <v>463.72804509665099</v>
      </c>
      <c r="J1039" s="1">
        <v>56.910841356215997</v>
      </c>
      <c r="K1039" s="1"/>
      <c r="L1039" s="1"/>
      <c r="M1039" s="1"/>
      <c r="N1039" s="1"/>
      <c r="O1039" s="1"/>
      <c r="P1039" s="1"/>
      <c r="Q1039" s="1">
        <v>83.187861133023802</v>
      </c>
      <c r="R1039" s="1">
        <v>1071</v>
      </c>
      <c r="S1039" t="s">
        <v>9</v>
      </c>
    </row>
    <row r="1040" spans="1:19" x14ac:dyDescent="0.55000000000000004">
      <c r="A1040" t="s">
        <v>26</v>
      </c>
      <c r="B1040">
        <v>1986</v>
      </c>
      <c r="C1040">
        <v>71</v>
      </c>
      <c r="D1040" s="2">
        <v>1</v>
      </c>
      <c r="E1040" s="3">
        <v>72</v>
      </c>
      <c r="F1040" t="s">
        <v>12</v>
      </c>
      <c r="G1040" t="s">
        <v>12</v>
      </c>
      <c r="H1040" s="1">
        <v>0</v>
      </c>
      <c r="I1040" s="1">
        <v>28.803375896486099</v>
      </c>
      <c r="J1040" s="1">
        <v>26.2853049865499</v>
      </c>
      <c r="K1040" s="1"/>
      <c r="L1040" s="1"/>
      <c r="M1040" s="1"/>
      <c r="N1040" s="1"/>
      <c r="O1040" s="1"/>
      <c r="P1040" s="1"/>
      <c r="Q1040" s="1">
        <v>7.7215354827717997</v>
      </c>
      <c r="R1040" s="1">
        <v>127</v>
      </c>
      <c r="S1040" t="s">
        <v>9</v>
      </c>
    </row>
    <row r="1041" spans="1:19" x14ac:dyDescent="0.55000000000000004">
      <c r="A1041" t="s">
        <v>26</v>
      </c>
      <c r="B1041">
        <v>1985</v>
      </c>
      <c r="C1041">
        <v>1883</v>
      </c>
      <c r="D1041" s="2">
        <v>0</v>
      </c>
      <c r="E1041" s="3">
        <v>1883</v>
      </c>
      <c r="F1041" t="s">
        <v>12</v>
      </c>
      <c r="G1041" t="s">
        <v>12</v>
      </c>
      <c r="H1041" s="1">
        <v>0</v>
      </c>
      <c r="I1041" s="1">
        <v>8279.5463596206901</v>
      </c>
      <c r="J1041" s="1">
        <v>408.76682046753098</v>
      </c>
      <c r="K1041" s="1"/>
      <c r="L1041" s="1"/>
      <c r="M1041" s="1"/>
      <c r="N1041" s="1"/>
      <c r="O1041" s="1"/>
      <c r="P1041" s="1"/>
      <c r="Q1041" s="1">
        <v>713.29768052899601</v>
      </c>
      <c r="R1041" s="1">
        <v>10571</v>
      </c>
      <c r="S1041" t="s">
        <v>9</v>
      </c>
    </row>
    <row r="1042" spans="1:19" x14ac:dyDescent="0.55000000000000004">
      <c r="A1042" t="s">
        <v>26</v>
      </c>
      <c r="B1042">
        <v>1984</v>
      </c>
      <c r="C1042">
        <v>31</v>
      </c>
      <c r="D1042" s="2">
        <v>0</v>
      </c>
      <c r="E1042" s="3">
        <v>31</v>
      </c>
      <c r="F1042" t="s">
        <v>12</v>
      </c>
      <c r="G1042" t="s">
        <v>12</v>
      </c>
      <c r="H1042" s="1">
        <v>0</v>
      </c>
      <c r="I1042" s="1">
        <v>67.162202939510905</v>
      </c>
      <c r="J1042" s="1">
        <v>7.7773504093452104</v>
      </c>
      <c r="K1042" s="1"/>
      <c r="L1042" s="1"/>
      <c r="M1042" s="1"/>
      <c r="N1042" s="1"/>
      <c r="O1042" s="1"/>
      <c r="P1042" s="1"/>
      <c r="Q1042" s="1">
        <v>-80.2885156611773</v>
      </c>
      <c r="R1042" s="1">
        <v>186</v>
      </c>
      <c r="S1042" t="s">
        <v>9</v>
      </c>
    </row>
    <row r="1043" spans="1:19" x14ac:dyDescent="0.55000000000000004">
      <c r="A1043" t="s">
        <v>26</v>
      </c>
      <c r="B1043">
        <v>1983</v>
      </c>
      <c r="C1043">
        <v>750</v>
      </c>
      <c r="D1043" s="2">
        <v>0</v>
      </c>
      <c r="E1043" s="3">
        <v>750</v>
      </c>
      <c r="F1043" t="s">
        <v>12</v>
      </c>
      <c r="G1043" t="s">
        <v>12</v>
      </c>
      <c r="H1043" s="1">
        <v>0</v>
      </c>
      <c r="I1043" s="1">
        <v>509.101304801862</v>
      </c>
      <c r="J1043" s="1">
        <v>195.92244435972199</v>
      </c>
      <c r="K1043" s="1"/>
      <c r="L1043" s="1"/>
      <c r="M1043" s="1"/>
      <c r="N1043" s="1"/>
      <c r="O1043" s="1"/>
      <c r="P1043" s="1"/>
      <c r="Q1043" s="1">
        <v>-1013.23756263794</v>
      </c>
      <c r="R1043" s="1">
        <v>2468</v>
      </c>
      <c r="S1043" t="s">
        <v>9</v>
      </c>
    </row>
    <row r="1044" spans="1:19" x14ac:dyDescent="0.55000000000000004">
      <c r="A1044" t="s">
        <v>26</v>
      </c>
      <c r="B1044">
        <v>1981</v>
      </c>
      <c r="C1044">
        <v>0</v>
      </c>
      <c r="D1044" s="2">
        <v>0</v>
      </c>
      <c r="E1044" s="3">
        <v>0</v>
      </c>
      <c r="F1044" t="s">
        <v>12</v>
      </c>
      <c r="G1044" t="s">
        <v>12</v>
      </c>
      <c r="H1044" s="1"/>
      <c r="I1044" s="1"/>
      <c r="J1044" s="1"/>
      <c r="K1044" s="1"/>
      <c r="L1044" s="1"/>
      <c r="M1044" s="1"/>
      <c r="N1044" s="1"/>
      <c r="O1044" s="1"/>
      <c r="P1044" s="1"/>
      <c r="Q1044" s="1">
        <v>0</v>
      </c>
      <c r="R1044" s="1">
        <v>0</v>
      </c>
      <c r="S1044" t="s">
        <v>9</v>
      </c>
    </row>
    <row r="1045" spans="1:19" x14ac:dyDescent="0.55000000000000004">
      <c r="A1045" t="s">
        <v>26</v>
      </c>
      <c r="B1045">
        <v>1980</v>
      </c>
      <c r="C1045">
        <v>36</v>
      </c>
      <c r="D1045" s="2">
        <v>0</v>
      </c>
      <c r="E1045" s="3">
        <v>36</v>
      </c>
      <c r="F1045" t="s">
        <v>12</v>
      </c>
      <c r="G1045" t="s">
        <v>12</v>
      </c>
      <c r="H1045" s="1"/>
      <c r="I1045" s="1">
        <v>66.7134672074516</v>
      </c>
      <c r="J1045" s="1">
        <v>7.2221813718762098</v>
      </c>
      <c r="K1045" s="1"/>
      <c r="L1045" s="1"/>
      <c r="M1045" s="1"/>
      <c r="N1045" s="1"/>
      <c r="O1045" s="1"/>
      <c r="P1045" s="1"/>
      <c r="Q1045" s="1">
        <v>0.19771300413099599</v>
      </c>
      <c r="R1045" s="1">
        <v>110</v>
      </c>
      <c r="S1045" t="s">
        <v>9</v>
      </c>
    </row>
    <row r="1046" spans="1:19" x14ac:dyDescent="0.55000000000000004">
      <c r="A1046" t="s">
        <v>26</v>
      </c>
      <c r="B1046">
        <v>1979</v>
      </c>
      <c r="C1046">
        <v>1009</v>
      </c>
      <c r="D1046" s="2">
        <v>0</v>
      </c>
      <c r="E1046" s="3">
        <v>1009</v>
      </c>
      <c r="F1046" t="s">
        <v>12</v>
      </c>
      <c r="G1046" t="s">
        <v>12</v>
      </c>
      <c r="H1046" s="1"/>
      <c r="I1046" s="1">
        <v>2327.8742811792899</v>
      </c>
      <c r="J1046" s="1">
        <v>184.98104327468599</v>
      </c>
      <c r="K1046" s="1"/>
      <c r="L1046" s="1"/>
      <c r="M1046" s="1"/>
      <c r="N1046" s="1"/>
      <c r="O1046" s="1"/>
      <c r="P1046" s="1"/>
      <c r="Q1046" s="1">
        <v>-460.104277707672</v>
      </c>
      <c r="R1046" s="1">
        <v>3982</v>
      </c>
      <c r="S1046" t="s">
        <v>9</v>
      </c>
    </row>
    <row r="1047" spans="1:19" x14ac:dyDescent="0.55000000000000004">
      <c r="A1047" t="s">
        <v>26</v>
      </c>
      <c r="B1047">
        <v>1978</v>
      </c>
      <c r="C1047">
        <v>0</v>
      </c>
      <c r="D1047" s="2">
        <v>0</v>
      </c>
      <c r="E1047" s="3">
        <v>0</v>
      </c>
      <c r="F1047" t="s">
        <v>12</v>
      </c>
      <c r="G1047" t="s">
        <v>12</v>
      </c>
      <c r="H1047" s="1"/>
      <c r="I1047" s="1"/>
      <c r="J1047" s="1"/>
      <c r="K1047" s="1"/>
      <c r="L1047" s="1"/>
      <c r="M1047" s="1"/>
      <c r="N1047" s="1"/>
      <c r="O1047" s="1"/>
      <c r="P1047" s="1"/>
      <c r="Q1047" s="1">
        <v>0</v>
      </c>
      <c r="R1047" s="1">
        <v>0</v>
      </c>
      <c r="S1047" t="s">
        <v>9</v>
      </c>
    </row>
    <row r="1048" spans="1:19" x14ac:dyDescent="0.55000000000000004">
      <c r="A1048" t="s">
        <v>26</v>
      </c>
      <c r="B1048">
        <v>1977</v>
      </c>
      <c r="C1048">
        <v>1098</v>
      </c>
      <c r="D1048" s="2">
        <v>274</v>
      </c>
      <c r="E1048" s="3">
        <v>1372</v>
      </c>
      <c r="F1048" t="s">
        <v>12</v>
      </c>
      <c r="G1048" t="s">
        <v>12</v>
      </c>
      <c r="H1048" s="1"/>
      <c r="I1048" s="1">
        <v>3014.00080306056</v>
      </c>
      <c r="J1048" s="1">
        <v>137.74619937175601</v>
      </c>
      <c r="K1048" s="1"/>
      <c r="L1048" s="1"/>
      <c r="M1048" s="1"/>
      <c r="N1048" s="1"/>
      <c r="O1048" s="1"/>
      <c r="P1048" s="1"/>
      <c r="Q1048" s="1">
        <v>1033.5620881094101</v>
      </c>
      <c r="R1048" s="1">
        <v>4524</v>
      </c>
      <c r="S1048" t="s">
        <v>9</v>
      </c>
    </row>
    <row r="1049" spans="1:19" x14ac:dyDescent="0.55000000000000004">
      <c r="A1049" t="s">
        <v>26</v>
      </c>
      <c r="B1049">
        <v>1976</v>
      </c>
      <c r="C1049">
        <v>500</v>
      </c>
      <c r="D1049" s="2">
        <v>0</v>
      </c>
      <c r="E1049" s="3">
        <v>500</v>
      </c>
      <c r="F1049" t="s">
        <v>12</v>
      </c>
      <c r="G1049" t="s">
        <v>12</v>
      </c>
      <c r="H1049" s="1"/>
      <c r="I1049" s="1">
        <v>2618.5672672348701</v>
      </c>
      <c r="J1049" s="1">
        <v>106.376092350847</v>
      </c>
      <c r="K1049" s="1"/>
      <c r="L1049" s="1"/>
      <c r="M1049" s="1"/>
      <c r="N1049" s="1"/>
      <c r="O1049" s="1"/>
      <c r="P1049" s="1"/>
      <c r="Q1049" s="1"/>
      <c r="R1049" s="1">
        <v>3225</v>
      </c>
      <c r="S1049" t="s">
        <v>12</v>
      </c>
    </row>
    <row r="1050" spans="1:19" x14ac:dyDescent="0.55000000000000004">
      <c r="A1050" t="s">
        <v>26</v>
      </c>
      <c r="B1050">
        <v>1975</v>
      </c>
      <c r="C1050">
        <v>120</v>
      </c>
      <c r="D1050" s="2">
        <v>3</v>
      </c>
      <c r="E1050" s="3">
        <v>123</v>
      </c>
      <c r="F1050" t="s">
        <v>12</v>
      </c>
      <c r="G1050" t="s">
        <v>12</v>
      </c>
      <c r="H1050" s="1"/>
      <c r="I1050" s="1">
        <v>314</v>
      </c>
      <c r="J1050" s="1">
        <v>28</v>
      </c>
      <c r="K1050" s="1"/>
      <c r="L1050" s="1"/>
      <c r="M1050" s="1"/>
      <c r="N1050" s="1"/>
      <c r="O1050" s="1"/>
      <c r="P1050" s="1"/>
      <c r="Q1050" s="1"/>
      <c r="R1050" s="1">
        <v>465</v>
      </c>
      <c r="S1050" t="s">
        <v>11</v>
      </c>
    </row>
    <row r="1051" spans="1:19" x14ac:dyDescent="0.55000000000000004">
      <c r="A1051" t="s">
        <v>26</v>
      </c>
      <c r="B1051">
        <v>1974</v>
      </c>
      <c r="C1051">
        <v>341</v>
      </c>
      <c r="D1051" s="2">
        <v>2</v>
      </c>
      <c r="E1051" s="3">
        <v>343</v>
      </c>
      <c r="F1051" t="s">
        <v>12</v>
      </c>
      <c r="G1051" t="s">
        <v>12</v>
      </c>
      <c r="H1051" s="1"/>
      <c r="I1051" s="1">
        <v>1257</v>
      </c>
      <c r="J1051" s="1">
        <v>107</v>
      </c>
      <c r="K1051" s="1"/>
      <c r="L1051" s="1"/>
      <c r="M1051" s="1"/>
      <c r="N1051" s="1"/>
      <c r="O1051" s="1"/>
      <c r="P1051" s="1"/>
      <c r="Q1051" s="1"/>
      <c r="R1051" s="1">
        <v>1707</v>
      </c>
      <c r="S1051" t="s">
        <v>12</v>
      </c>
    </row>
    <row r="1052" spans="1:19" x14ac:dyDescent="0.55000000000000004">
      <c r="A1052" t="s">
        <v>26</v>
      </c>
      <c r="B1052">
        <v>1973</v>
      </c>
      <c r="C1052">
        <v>0</v>
      </c>
      <c r="D1052" s="2">
        <v>0</v>
      </c>
      <c r="E1052" s="3">
        <v>0</v>
      </c>
      <c r="F1052" t="s">
        <v>12</v>
      </c>
      <c r="G1052" t="s">
        <v>12</v>
      </c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>
        <v>0</v>
      </c>
      <c r="S1052" t="s">
        <v>12</v>
      </c>
    </row>
    <row r="1053" spans="1:19" x14ac:dyDescent="0.55000000000000004">
      <c r="A1053" t="s">
        <v>26</v>
      </c>
      <c r="B1053">
        <v>1972</v>
      </c>
      <c r="C1053">
        <v>465</v>
      </c>
      <c r="D1053" s="2">
        <v>0</v>
      </c>
      <c r="E1053" s="3">
        <v>465</v>
      </c>
      <c r="F1053" t="s">
        <v>12</v>
      </c>
      <c r="G1053" t="s">
        <v>12</v>
      </c>
      <c r="H1053" s="1"/>
      <c r="I1053" s="1">
        <v>3555.78066914498</v>
      </c>
      <c r="J1053" s="1">
        <v>288.10408921932998</v>
      </c>
      <c r="K1053" s="1"/>
      <c r="L1053" s="1"/>
      <c r="M1053" s="1"/>
      <c r="N1053" s="1"/>
      <c r="O1053" s="1"/>
      <c r="P1053" s="1"/>
      <c r="Q1053" s="1"/>
      <c r="R1053" s="1">
        <v>4309</v>
      </c>
      <c r="S1053" t="s">
        <v>12</v>
      </c>
    </row>
    <row r="1054" spans="1:19" x14ac:dyDescent="0.55000000000000004">
      <c r="A1054" t="s">
        <v>26</v>
      </c>
      <c r="B1054">
        <v>1971</v>
      </c>
      <c r="C1054">
        <v>888</v>
      </c>
      <c r="D1054" s="2">
        <v>0</v>
      </c>
      <c r="E1054" s="3">
        <v>888</v>
      </c>
      <c r="F1054" t="s">
        <v>12</v>
      </c>
      <c r="G1054" t="s">
        <v>12</v>
      </c>
      <c r="H1054" s="1"/>
      <c r="I1054" s="1">
        <v>9431</v>
      </c>
      <c r="J1054" s="1">
        <v>124</v>
      </c>
      <c r="K1054" s="1"/>
      <c r="L1054" s="1"/>
      <c r="M1054" s="1"/>
      <c r="N1054" s="1"/>
      <c r="O1054" s="1"/>
      <c r="P1054" s="1"/>
      <c r="Q1054" s="1"/>
      <c r="R1054" s="1">
        <v>10443</v>
      </c>
      <c r="S1054" t="s">
        <v>12</v>
      </c>
    </row>
    <row r="1055" spans="1:19" x14ac:dyDescent="0.55000000000000004">
      <c r="A1055" t="s">
        <v>26</v>
      </c>
      <c r="B1055">
        <v>1970</v>
      </c>
      <c r="C1055">
        <v>270</v>
      </c>
      <c r="D1055" s="2">
        <v>0</v>
      </c>
      <c r="E1055" s="3">
        <v>270</v>
      </c>
      <c r="F1055" t="s">
        <v>12</v>
      </c>
      <c r="G1055" t="s">
        <v>12</v>
      </c>
      <c r="H1055" s="1"/>
      <c r="I1055" s="1">
        <v>987.00000000000102</v>
      </c>
      <c r="J1055" s="1">
        <v>86</v>
      </c>
      <c r="K1055" s="1"/>
      <c r="L1055" s="1"/>
      <c r="M1055" s="1"/>
      <c r="N1055" s="1"/>
      <c r="O1055" s="1"/>
      <c r="P1055" s="1"/>
      <c r="Q1055" s="1"/>
      <c r="R1055" s="1">
        <v>1343</v>
      </c>
      <c r="S1055" t="s">
        <v>12</v>
      </c>
    </row>
    <row r="1056" spans="1:19" x14ac:dyDescent="0.55000000000000004">
      <c r="A1056" t="s">
        <v>26</v>
      </c>
      <c r="B1056">
        <v>1969</v>
      </c>
      <c r="C1056">
        <v>0</v>
      </c>
      <c r="D1056" s="2">
        <v>0</v>
      </c>
      <c r="E1056" s="3">
        <v>0</v>
      </c>
      <c r="F1056" t="s">
        <v>12</v>
      </c>
      <c r="G1056" t="s">
        <v>12</v>
      </c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>
        <v>0</v>
      </c>
      <c r="S1056" t="s">
        <v>12</v>
      </c>
    </row>
    <row r="1057" spans="1:19" x14ac:dyDescent="0.55000000000000004">
      <c r="A1057" t="s">
        <v>26</v>
      </c>
      <c r="B1057">
        <v>1968</v>
      </c>
      <c r="C1057">
        <v>0</v>
      </c>
      <c r="D1057" s="2">
        <v>0</v>
      </c>
      <c r="E1057" s="3">
        <v>0</v>
      </c>
      <c r="F1057" t="s">
        <v>12</v>
      </c>
      <c r="G1057" t="s">
        <v>12</v>
      </c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>
        <v>0</v>
      </c>
      <c r="S1057" t="s">
        <v>12</v>
      </c>
    </row>
    <row r="1058" spans="1:19" x14ac:dyDescent="0.55000000000000004">
      <c r="A1058" t="s">
        <v>26</v>
      </c>
      <c r="B1058">
        <v>1967</v>
      </c>
      <c r="C1058">
        <v>0</v>
      </c>
      <c r="D1058" s="2">
        <v>0</v>
      </c>
      <c r="E1058" s="3">
        <v>0</v>
      </c>
      <c r="F1058" t="s">
        <v>12</v>
      </c>
      <c r="G1058" t="s">
        <v>12</v>
      </c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>
        <v>0</v>
      </c>
      <c r="S1058" t="s">
        <v>12</v>
      </c>
    </row>
    <row r="1059" spans="1:19" x14ac:dyDescent="0.55000000000000004">
      <c r="A1059" t="s">
        <v>26</v>
      </c>
      <c r="B1059">
        <v>1966</v>
      </c>
      <c r="C1059">
        <v>46</v>
      </c>
      <c r="D1059" s="2">
        <v>0</v>
      </c>
      <c r="E1059" s="3">
        <v>46</v>
      </c>
      <c r="F1059" t="s">
        <v>12</v>
      </c>
      <c r="G1059" t="s">
        <v>12</v>
      </c>
      <c r="H1059" s="1"/>
      <c r="I1059" s="1">
        <v>238.82031746031799</v>
      </c>
      <c r="J1059" s="1">
        <v>7.6666666666666696</v>
      </c>
      <c r="K1059" s="1"/>
      <c r="L1059" s="1"/>
      <c r="M1059" s="1"/>
      <c r="N1059" s="1"/>
      <c r="O1059" s="1"/>
      <c r="P1059" s="1"/>
      <c r="Q1059" s="1"/>
      <c r="R1059" s="1">
        <v>292</v>
      </c>
      <c r="S1059" t="s">
        <v>12</v>
      </c>
    </row>
    <row r="1060" spans="1:19" x14ac:dyDescent="0.55000000000000004">
      <c r="A1060" t="s">
        <v>26</v>
      </c>
      <c r="B1060">
        <v>1965</v>
      </c>
      <c r="C1060">
        <v>0</v>
      </c>
      <c r="D1060" s="2">
        <v>0</v>
      </c>
      <c r="E1060" s="3">
        <v>0</v>
      </c>
      <c r="F1060" t="s">
        <v>12</v>
      </c>
      <c r="G1060" t="s">
        <v>12</v>
      </c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>
        <v>0</v>
      </c>
      <c r="S1060" t="s">
        <v>12</v>
      </c>
    </row>
    <row r="1061" spans="1:19" x14ac:dyDescent="0.55000000000000004">
      <c r="A1061" t="s">
        <v>26</v>
      </c>
      <c r="B1061">
        <v>1964</v>
      </c>
      <c r="C1061">
        <v>38</v>
      </c>
      <c r="D1061" s="2">
        <v>0</v>
      </c>
      <c r="E1061" s="3">
        <v>38</v>
      </c>
      <c r="F1061" t="s">
        <v>12</v>
      </c>
      <c r="G1061" t="s">
        <v>12</v>
      </c>
      <c r="H1061" s="1"/>
      <c r="I1061" s="1">
        <v>82.730653643876806</v>
      </c>
      <c r="J1061" s="1">
        <v>12.954545454545499</v>
      </c>
      <c r="K1061" s="1"/>
      <c r="L1061" s="1"/>
      <c r="M1061" s="1"/>
      <c r="N1061" s="1"/>
      <c r="O1061" s="1"/>
      <c r="P1061" s="1"/>
      <c r="Q1061" s="1"/>
      <c r="R1061" s="1">
        <v>134</v>
      </c>
      <c r="S1061" t="s">
        <v>11</v>
      </c>
    </row>
    <row r="1062" spans="1:19" x14ac:dyDescent="0.55000000000000004">
      <c r="A1062" t="s">
        <v>26</v>
      </c>
      <c r="B1062">
        <v>1963</v>
      </c>
      <c r="C1062">
        <v>70</v>
      </c>
      <c r="D1062" s="2">
        <v>0</v>
      </c>
      <c r="E1062" s="3">
        <v>70</v>
      </c>
      <c r="F1062" t="s">
        <v>12</v>
      </c>
      <c r="G1062" t="s">
        <v>12</v>
      </c>
      <c r="H1062" s="1"/>
      <c r="I1062" s="1">
        <v>94.310150799009705</v>
      </c>
      <c r="J1062" s="1">
        <v>9.1379698401980605</v>
      </c>
      <c r="K1062" s="1"/>
      <c r="L1062" s="1"/>
      <c r="M1062" s="1"/>
      <c r="N1062" s="1"/>
      <c r="O1062" s="1"/>
      <c r="P1062" s="1"/>
      <c r="Q1062" s="1"/>
      <c r="R1062" s="1">
        <v>173</v>
      </c>
      <c r="S1062" t="s">
        <v>12</v>
      </c>
    </row>
    <row r="1063" spans="1:19" x14ac:dyDescent="0.55000000000000004">
      <c r="A1063" t="s">
        <v>26</v>
      </c>
      <c r="B1063">
        <v>1962</v>
      </c>
      <c r="C1063">
        <v>90</v>
      </c>
      <c r="D1063" s="2">
        <v>0</v>
      </c>
      <c r="E1063" s="3">
        <v>90</v>
      </c>
      <c r="F1063" t="s">
        <v>12</v>
      </c>
      <c r="G1063" t="s">
        <v>12</v>
      </c>
      <c r="H1063" s="1"/>
      <c r="I1063" s="1">
        <v>190.962809381884</v>
      </c>
      <c r="J1063" s="1">
        <v>9.8665284436957403</v>
      </c>
      <c r="K1063" s="1"/>
      <c r="L1063" s="1"/>
      <c r="M1063" s="1"/>
      <c r="N1063" s="1"/>
      <c r="O1063" s="1"/>
      <c r="P1063" s="1"/>
      <c r="Q1063" s="1"/>
      <c r="R1063" s="1">
        <v>291</v>
      </c>
      <c r="S1063" t="s">
        <v>12</v>
      </c>
    </row>
    <row r="1064" spans="1:19" x14ac:dyDescent="0.55000000000000004">
      <c r="A1064" t="s">
        <v>26</v>
      </c>
      <c r="B1064">
        <v>1961</v>
      </c>
      <c r="C1064">
        <v>225</v>
      </c>
      <c r="D1064" s="2">
        <v>0</v>
      </c>
      <c r="E1064" s="3">
        <v>225</v>
      </c>
      <c r="F1064" t="s">
        <v>12</v>
      </c>
      <c r="G1064" t="s">
        <v>12</v>
      </c>
      <c r="H1064" s="1"/>
      <c r="I1064" s="1">
        <v>499.230377814527</v>
      </c>
      <c r="J1064" s="1">
        <v>33.717084340414701</v>
      </c>
      <c r="K1064" s="1"/>
      <c r="L1064" s="1"/>
      <c r="M1064" s="1"/>
      <c r="N1064" s="1"/>
      <c r="O1064" s="1"/>
      <c r="P1064" s="1"/>
      <c r="Q1064" s="1"/>
      <c r="R1064" s="1">
        <v>758</v>
      </c>
      <c r="S1064" t="s">
        <v>12</v>
      </c>
    </row>
    <row r="1065" spans="1:19" x14ac:dyDescent="0.55000000000000004">
      <c r="A1065" t="s">
        <v>26</v>
      </c>
      <c r="B1065">
        <v>1960</v>
      </c>
      <c r="C1065">
        <v>1208</v>
      </c>
      <c r="D1065" s="2">
        <v>0</v>
      </c>
      <c r="E1065" s="3">
        <v>1208</v>
      </c>
      <c r="F1065" t="s">
        <v>12</v>
      </c>
      <c r="G1065" t="s">
        <v>12</v>
      </c>
      <c r="H1065" s="1"/>
      <c r="I1065" s="1">
        <v>3708.4033018867899</v>
      </c>
      <c r="J1065" s="1">
        <v>206.37853773584899</v>
      </c>
      <c r="K1065" s="1"/>
      <c r="L1065" s="1"/>
      <c r="M1065" s="1"/>
      <c r="N1065" s="1"/>
      <c r="O1065" s="1"/>
      <c r="P1065" s="1"/>
      <c r="Q1065" s="1"/>
      <c r="R1065" s="1">
        <v>5123</v>
      </c>
      <c r="S1065" t="s">
        <v>11</v>
      </c>
    </row>
    <row r="1066" spans="1:19" x14ac:dyDescent="0.55000000000000004">
      <c r="A1066" t="s">
        <v>26</v>
      </c>
      <c r="B1066">
        <v>1959</v>
      </c>
      <c r="C1066">
        <v>0</v>
      </c>
      <c r="D1066" s="2">
        <v>0</v>
      </c>
      <c r="E1066" s="3">
        <v>0</v>
      </c>
      <c r="F1066" t="s">
        <v>12</v>
      </c>
      <c r="G1066" t="s">
        <v>12</v>
      </c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>
        <v>0</v>
      </c>
      <c r="S1066" t="s">
        <v>12</v>
      </c>
    </row>
    <row r="1067" spans="1:19" x14ac:dyDescent="0.55000000000000004">
      <c r="A1067" t="s">
        <v>26</v>
      </c>
      <c r="B1067">
        <v>1958</v>
      </c>
      <c r="C1067">
        <v>0</v>
      </c>
      <c r="D1067" s="2">
        <v>0</v>
      </c>
      <c r="E1067" s="3">
        <v>0</v>
      </c>
      <c r="F1067" t="s">
        <v>12</v>
      </c>
      <c r="G1067" t="s">
        <v>12</v>
      </c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>
        <v>0</v>
      </c>
      <c r="S1067" t="s">
        <v>12</v>
      </c>
    </row>
    <row r="1068" spans="1:19" x14ac:dyDescent="0.55000000000000004">
      <c r="A1068" t="s">
        <v>26</v>
      </c>
      <c r="B1068">
        <v>1957</v>
      </c>
      <c r="C1068">
        <v>0</v>
      </c>
      <c r="D1068" s="2">
        <v>0</v>
      </c>
      <c r="E1068" s="3">
        <v>0</v>
      </c>
      <c r="F1068" t="s">
        <v>12</v>
      </c>
      <c r="G1068" t="s">
        <v>12</v>
      </c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>
        <v>0</v>
      </c>
      <c r="S1068" t="s">
        <v>12</v>
      </c>
    </row>
    <row r="1069" spans="1:19" x14ac:dyDescent="0.55000000000000004">
      <c r="A1069" t="s">
        <v>26</v>
      </c>
      <c r="B1069">
        <v>1956</v>
      </c>
      <c r="C1069">
        <v>0</v>
      </c>
      <c r="D1069" s="2">
        <v>0</v>
      </c>
      <c r="E1069" s="3">
        <v>0</v>
      </c>
      <c r="F1069" t="s">
        <v>12</v>
      </c>
      <c r="G1069" t="s">
        <v>12</v>
      </c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>
        <v>0</v>
      </c>
      <c r="S1069" t="s">
        <v>12</v>
      </c>
    </row>
    <row r="1070" spans="1:19" x14ac:dyDescent="0.55000000000000004">
      <c r="A1070" t="s">
        <v>26</v>
      </c>
      <c r="B1070">
        <v>1955</v>
      </c>
      <c r="C1070">
        <v>0</v>
      </c>
      <c r="D1070" s="2">
        <v>0</v>
      </c>
      <c r="E1070" s="3">
        <v>0</v>
      </c>
      <c r="F1070" t="s">
        <v>12</v>
      </c>
      <c r="G1070" t="s">
        <v>12</v>
      </c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>
        <v>0</v>
      </c>
      <c r="S1070" t="s">
        <v>11</v>
      </c>
    </row>
    <row r="1071" spans="1:19" x14ac:dyDescent="0.55000000000000004">
      <c r="A1071" t="s">
        <v>26</v>
      </c>
      <c r="B1071">
        <v>1954</v>
      </c>
      <c r="C1071">
        <v>0</v>
      </c>
      <c r="D1071" s="2">
        <v>0</v>
      </c>
      <c r="E1071" s="3">
        <v>0</v>
      </c>
      <c r="F1071" t="s">
        <v>12</v>
      </c>
      <c r="G1071" t="s">
        <v>12</v>
      </c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>
        <v>0</v>
      </c>
      <c r="S1071" t="s">
        <v>12</v>
      </c>
    </row>
    <row r="1072" spans="1:19" x14ac:dyDescent="0.55000000000000004">
      <c r="A1072" t="s">
        <v>26</v>
      </c>
      <c r="B1072">
        <v>1953</v>
      </c>
      <c r="C1072">
        <v>0</v>
      </c>
      <c r="D1072" s="2">
        <v>0</v>
      </c>
      <c r="E1072" s="3">
        <v>0</v>
      </c>
      <c r="F1072" t="s">
        <v>12</v>
      </c>
      <c r="G1072" t="s">
        <v>12</v>
      </c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>
        <v>0</v>
      </c>
      <c r="S1072" t="s">
        <v>12</v>
      </c>
    </row>
    <row r="1073" spans="1:19" x14ac:dyDescent="0.55000000000000004">
      <c r="A1073" t="s">
        <v>26</v>
      </c>
      <c r="B1073">
        <v>1952</v>
      </c>
      <c r="C1073">
        <v>0</v>
      </c>
      <c r="D1073" s="2">
        <v>0</v>
      </c>
      <c r="E1073" s="3">
        <v>0</v>
      </c>
      <c r="F1073" t="s">
        <v>12</v>
      </c>
      <c r="G1073" t="s">
        <v>12</v>
      </c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>
        <v>0</v>
      </c>
      <c r="S1073" t="s">
        <v>12</v>
      </c>
    </row>
    <row r="1074" spans="1:19" x14ac:dyDescent="0.55000000000000004">
      <c r="A1074" t="s">
        <v>27</v>
      </c>
      <c r="B1074">
        <v>2023</v>
      </c>
      <c r="C1074">
        <v>544</v>
      </c>
      <c r="D1074" s="2">
        <v>0</v>
      </c>
      <c r="E1074" s="3">
        <v>544</v>
      </c>
      <c r="F1074" t="s">
        <v>12</v>
      </c>
      <c r="G1074" t="s">
        <v>12</v>
      </c>
      <c r="H1074" s="1">
        <v>7.9507487854364196E-3</v>
      </c>
      <c r="I1074" s="1">
        <v>6.0457647345555996</v>
      </c>
      <c r="J1074" s="1">
        <v>2.2026600844511699</v>
      </c>
      <c r="K1074" s="1"/>
      <c r="L1074" s="1">
        <v>351.561643835616</v>
      </c>
      <c r="M1074" s="1">
        <v>108.85844748858401</v>
      </c>
      <c r="N1074" s="1"/>
      <c r="O1074" s="1">
        <v>1.8995433789954299</v>
      </c>
      <c r="P1074" s="1">
        <v>0.53576864535768598</v>
      </c>
      <c r="Q1074" s="1">
        <v>-58.168539223611504</v>
      </c>
      <c r="R1074" s="1">
        <v>1015</v>
      </c>
      <c r="S1074" t="s">
        <v>11</v>
      </c>
    </row>
    <row r="1075" spans="1:19" x14ac:dyDescent="0.55000000000000004">
      <c r="A1075" t="s">
        <v>27</v>
      </c>
      <c r="B1075">
        <v>2022</v>
      </c>
      <c r="C1075">
        <v>180</v>
      </c>
      <c r="D1075" s="2">
        <v>0</v>
      </c>
      <c r="E1075" s="3">
        <v>180</v>
      </c>
      <c r="F1075" t="s">
        <v>12</v>
      </c>
      <c r="G1075" t="s">
        <v>12</v>
      </c>
      <c r="H1075" s="1">
        <v>0</v>
      </c>
      <c r="I1075" s="1">
        <v>38.4352194516403</v>
      </c>
      <c r="J1075" s="1">
        <v>19.849938880120401</v>
      </c>
      <c r="K1075" s="1"/>
      <c r="L1075" s="1">
        <v>54.022249690976501</v>
      </c>
      <c r="M1075" s="1">
        <v>36.044499381953003</v>
      </c>
      <c r="N1075" s="1"/>
      <c r="O1075" s="1">
        <v>4.4499381953028397E-2</v>
      </c>
      <c r="P1075" s="1"/>
      <c r="Q1075" s="1">
        <v>-121.129025000307</v>
      </c>
      <c r="R1075" s="1">
        <v>328</v>
      </c>
      <c r="S1075" t="s">
        <v>11</v>
      </c>
    </row>
    <row r="1076" spans="1:19" x14ac:dyDescent="0.55000000000000004">
      <c r="A1076" t="s">
        <v>27</v>
      </c>
      <c r="B1076">
        <v>2021</v>
      </c>
      <c r="C1076">
        <v>1241</v>
      </c>
      <c r="D1076" s="2">
        <v>0</v>
      </c>
      <c r="E1076" s="3">
        <v>1241</v>
      </c>
      <c r="F1076" t="s">
        <v>12</v>
      </c>
      <c r="G1076" t="s">
        <v>12</v>
      </c>
      <c r="H1076" s="1">
        <v>310.21873042874603</v>
      </c>
      <c r="I1076" s="1">
        <v>12.243202079155999</v>
      </c>
      <c r="J1076" s="1">
        <v>7.3902636269141597</v>
      </c>
      <c r="K1076" s="1"/>
      <c r="L1076" s="1">
        <v>156.00832238282999</v>
      </c>
      <c r="M1076" s="1">
        <v>162.803109943057</v>
      </c>
      <c r="N1076" s="1"/>
      <c r="O1076" s="1"/>
      <c r="P1076" s="1"/>
      <c r="Q1076" s="1">
        <v>-465.654632259457</v>
      </c>
      <c r="R1076" s="1">
        <v>1890</v>
      </c>
      <c r="S1076" t="s">
        <v>11</v>
      </c>
    </row>
    <row r="1077" spans="1:19" x14ac:dyDescent="0.55000000000000004">
      <c r="A1077" t="s">
        <v>27</v>
      </c>
      <c r="B1077">
        <v>2020</v>
      </c>
      <c r="C1077">
        <v>257</v>
      </c>
      <c r="D1077" s="2">
        <v>0</v>
      </c>
      <c r="E1077" s="3">
        <v>257</v>
      </c>
      <c r="F1077" t="s">
        <v>12</v>
      </c>
      <c r="G1077" t="s">
        <v>12</v>
      </c>
      <c r="H1077" s="1">
        <v>1.1509028063531099</v>
      </c>
      <c r="I1077" s="1">
        <v>2.0876526481467801</v>
      </c>
      <c r="J1077" s="1">
        <v>2.18414973638103</v>
      </c>
      <c r="K1077" s="1"/>
      <c r="L1077" s="1">
        <v>31.285287528005998</v>
      </c>
      <c r="M1077" s="1">
        <v>24.471620612397299</v>
      </c>
      <c r="N1077" s="1"/>
      <c r="O1077" s="1"/>
      <c r="P1077" s="1"/>
      <c r="Q1077" s="1">
        <v>111.43706471370101</v>
      </c>
      <c r="R1077" s="1">
        <v>318</v>
      </c>
      <c r="S1077" t="s">
        <v>11</v>
      </c>
    </row>
    <row r="1078" spans="1:19" x14ac:dyDescent="0.55000000000000004">
      <c r="A1078" t="s">
        <v>27</v>
      </c>
      <c r="B1078">
        <v>2019</v>
      </c>
      <c r="C1078">
        <v>126</v>
      </c>
      <c r="D1078" s="2">
        <v>0</v>
      </c>
      <c r="E1078" s="3">
        <v>126</v>
      </c>
      <c r="F1078" t="s">
        <v>12</v>
      </c>
      <c r="G1078" t="s">
        <v>12</v>
      </c>
      <c r="H1078" s="1">
        <v>48.735640052625499</v>
      </c>
      <c r="I1078" s="1">
        <v>2.7244326485540999</v>
      </c>
      <c r="J1078" s="1">
        <v>0.27865532644315</v>
      </c>
      <c r="K1078" s="1"/>
      <c r="L1078" s="1">
        <v>36.700671140939598</v>
      </c>
      <c r="M1078" s="1">
        <v>20.9718120805369</v>
      </c>
      <c r="N1078" s="1"/>
      <c r="O1078" s="1"/>
      <c r="P1078" s="1"/>
      <c r="Q1078" s="1">
        <v>64.612285473949996</v>
      </c>
      <c r="R1078" s="1">
        <v>235</v>
      </c>
      <c r="S1078" t="s">
        <v>11</v>
      </c>
    </row>
    <row r="1079" spans="1:19" x14ac:dyDescent="0.55000000000000004">
      <c r="A1079" t="s">
        <v>27</v>
      </c>
      <c r="B1079">
        <v>2018</v>
      </c>
      <c r="C1079">
        <v>99</v>
      </c>
      <c r="D1079" s="2">
        <v>0</v>
      </c>
      <c r="E1079" s="3">
        <v>99</v>
      </c>
      <c r="F1079" t="s">
        <v>12</v>
      </c>
      <c r="G1079" t="s">
        <v>12</v>
      </c>
      <c r="H1079" s="1">
        <v>3.2992886720010999</v>
      </c>
      <c r="I1079" s="1">
        <v>80.536909208310306</v>
      </c>
      <c r="J1079" s="1">
        <v>22.881354135250699</v>
      </c>
      <c r="K1079" s="1"/>
      <c r="L1079" s="1">
        <v>29.702717540488599</v>
      </c>
      <c r="M1079" s="1">
        <v>19.810870161954401</v>
      </c>
      <c r="N1079" s="1">
        <v>127.126544057096</v>
      </c>
      <c r="O1079" s="1"/>
      <c r="P1079" s="1"/>
      <c r="Q1079" s="1">
        <v>-62.390625251119999</v>
      </c>
      <c r="R1079" s="1">
        <v>382</v>
      </c>
      <c r="S1079" t="s">
        <v>11</v>
      </c>
    </row>
    <row r="1080" spans="1:19" x14ac:dyDescent="0.55000000000000004">
      <c r="A1080" t="s">
        <v>27</v>
      </c>
      <c r="B1080">
        <v>2017</v>
      </c>
      <c r="C1080">
        <v>1458</v>
      </c>
      <c r="D1080" s="2">
        <v>0</v>
      </c>
      <c r="E1080" s="3">
        <v>1458</v>
      </c>
      <c r="F1080" t="s">
        <v>12</v>
      </c>
      <c r="G1080" t="s">
        <v>12</v>
      </c>
      <c r="H1080" s="1">
        <v>34.583809335386199</v>
      </c>
      <c r="I1080" s="1">
        <v>40.150705564091702</v>
      </c>
      <c r="J1080" s="1">
        <v>96.161931141147406</v>
      </c>
      <c r="K1080" s="1"/>
      <c r="L1080" s="1">
        <v>308.24472715098801</v>
      </c>
      <c r="M1080" s="1">
        <v>289.20823568798102</v>
      </c>
      <c r="N1080" s="1">
        <v>84.687981252092399</v>
      </c>
      <c r="O1080" s="1">
        <v>0.24405758285905599</v>
      </c>
      <c r="P1080" s="1">
        <v>0.24405758285905599</v>
      </c>
      <c r="Q1080" s="1">
        <v>-2191.10214111607</v>
      </c>
      <c r="R1080" s="1">
        <v>2312</v>
      </c>
      <c r="S1080" t="s">
        <v>11</v>
      </c>
    </row>
    <row r="1081" spans="1:19" x14ac:dyDescent="0.55000000000000004">
      <c r="A1081" t="s">
        <v>27</v>
      </c>
      <c r="B1081">
        <v>2016</v>
      </c>
      <c r="C1081">
        <v>511</v>
      </c>
      <c r="D1081" s="2">
        <v>0</v>
      </c>
      <c r="E1081" s="3">
        <v>511</v>
      </c>
      <c r="F1081" t="s">
        <v>12</v>
      </c>
      <c r="G1081" t="s">
        <v>12</v>
      </c>
      <c r="H1081" s="1">
        <v>57.670721804389203</v>
      </c>
      <c r="I1081" s="1">
        <v>143.79640583569599</v>
      </c>
      <c r="J1081" s="1">
        <v>289.32225829486998</v>
      </c>
      <c r="K1081" s="1"/>
      <c r="L1081" s="1">
        <v>290.02702702702697</v>
      </c>
      <c r="M1081" s="1">
        <v>165.67070917070899</v>
      </c>
      <c r="N1081" s="1">
        <v>70.2934857934858</v>
      </c>
      <c r="O1081" s="1">
        <v>0.118041118041118</v>
      </c>
      <c r="P1081" s="1">
        <v>5.9020559020558999E-2</v>
      </c>
      <c r="Q1081" s="1">
        <v>-143.43711472872499</v>
      </c>
      <c r="R1081" s="1">
        <v>1528</v>
      </c>
      <c r="S1081" t="s">
        <v>11</v>
      </c>
    </row>
    <row r="1082" spans="1:19" x14ac:dyDescent="0.55000000000000004">
      <c r="A1082" t="s">
        <v>27</v>
      </c>
      <c r="B1082">
        <v>2015</v>
      </c>
      <c r="C1082">
        <v>932</v>
      </c>
      <c r="D1082" s="2">
        <v>0</v>
      </c>
      <c r="E1082" s="3">
        <v>932</v>
      </c>
      <c r="F1082" t="s">
        <v>12</v>
      </c>
      <c r="G1082" t="s">
        <v>12</v>
      </c>
      <c r="H1082" s="1">
        <v>34.895736438616801</v>
      </c>
      <c r="I1082" s="1">
        <v>133.14835250038999</v>
      </c>
      <c r="J1082" s="1">
        <v>78.586821750580199</v>
      </c>
      <c r="K1082" s="1"/>
      <c r="L1082" s="1">
        <v>236.15495113623001</v>
      </c>
      <c r="M1082" s="1">
        <v>12.510067114093999</v>
      </c>
      <c r="N1082" s="1">
        <v>-28.037913575886002</v>
      </c>
      <c r="O1082" s="1"/>
      <c r="P1082" s="1"/>
      <c r="Q1082" s="1">
        <v>-966.47501206988204</v>
      </c>
      <c r="R1082" s="1">
        <v>1399</v>
      </c>
      <c r="S1082" t="s">
        <v>11</v>
      </c>
    </row>
    <row r="1083" spans="1:19" x14ac:dyDescent="0.55000000000000004">
      <c r="A1083" t="s">
        <v>27</v>
      </c>
      <c r="B1083">
        <v>2014</v>
      </c>
      <c r="C1083">
        <v>1169</v>
      </c>
      <c r="D1083" s="2">
        <v>1</v>
      </c>
      <c r="E1083" s="3">
        <v>1170</v>
      </c>
      <c r="F1083" t="s">
        <v>12</v>
      </c>
      <c r="G1083" t="s">
        <v>12</v>
      </c>
      <c r="H1083" s="1">
        <v>2.0551288732797701</v>
      </c>
      <c r="I1083" s="1">
        <v>1091.95040305411</v>
      </c>
      <c r="J1083" s="1">
        <v>210.22173980661299</v>
      </c>
      <c r="K1083" s="1"/>
      <c r="L1083" s="1">
        <v>459.220255384447</v>
      </c>
      <c r="M1083" s="1">
        <v>236.14479092453499</v>
      </c>
      <c r="N1083" s="1">
        <v>445.57434098755999</v>
      </c>
      <c r="O1083" s="1">
        <v>0.64065325806981999</v>
      </c>
      <c r="P1083" s="1">
        <v>0.32032662903490999</v>
      </c>
      <c r="Q1083" s="1">
        <v>-322.24941840167901</v>
      </c>
      <c r="R1083" s="1">
        <v>3616</v>
      </c>
      <c r="S1083" t="s">
        <v>11</v>
      </c>
    </row>
    <row r="1084" spans="1:19" x14ac:dyDescent="0.55000000000000004">
      <c r="A1084" t="s">
        <v>27</v>
      </c>
      <c r="B1084">
        <v>2013</v>
      </c>
      <c r="C1084">
        <v>2520</v>
      </c>
      <c r="D1084" s="2">
        <v>4</v>
      </c>
      <c r="E1084" s="3">
        <v>2524</v>
      </c>
      <c r="F1084" t="s">
        <v>12</v>
      </c>
      <c r="G1084" t="s">
        <v>12</v>
      </c>
      <c r="H1084" s="1">
        <v>12.051326851658001</v>
      </c>
      <c r="I1084" s="1">
        <v>464.74695539689901</v>
      </c>
      <c r="J1084" s="1">
        <v>225.576584790298</v>
      </c>
      <c r="K1084" s="1"/>
      <c r="L1084" s="1">
        <v>647.07750952985998</v>
      </c>
      <c r="M1084" s="1">
        <v>68.043202033036906</v>
      </c>
      <c r="N1084" s="1">
        <v>-146.35959339262999</v>
      </c>
      <c r="O1084" s="1">
        <v>1.0673443456162599</v>
      </c>
      <c r="P1084" s="1">
        <v>0.13341804320203299</v>
      </c>
      <c r="Q1084" s="1">
        <v>-992.95690705879497</v>
      </c>
      <c r="R1084" s="1">
        <v>3796</v>
      </c>
      <c r="S1084" t="s">
        <v>11</v>
      </c>
    </row>
    <row r="1085" spans="1:19" x14ac:dyDescent="0.55000000000000004">
      <c r="A1085" t="s">
        <v>27</v>
      </c>
      <c r="B1085">
        <v>2012</v>
      </c>
      <c r="C1085">
        <v>911</v>
      </c>
      <c r="D1085" s="2">
        <v>0</v>
      </c>
      <c r="E1085" s="3">
        <v>911</v>
      </c>
      <c r="F1085" t="s">
        <v>12</v>
      </c>
      <c r="G1085" t="s">
        <v>12</v>
      </c>
      <c r="H1085" s="1">
        <v>9.0730296544916698</v>
      </c>
      <c r="I1085" s="1">
        <v>538.12839749162299</v>
      </c>
      <c r="J1085" s="1">
        <v>611.93661967058699</v>
      </c>
      <c r="K1085" s="1">
        <v>-375.034176287337</v>
      </c>
      <c r="L1085" s="1">
        <v>160.76470588235301</v>
      </c>
      <c r="M1085" s="1">
        <v>0</v>
      </c>
      <c r="N1085" s="1"/>
      <c r="O1085" s="1">
        <v>8.3470771486164594E-2</v>
      </c>
      <c r="P1085" s="1"/>
      <c r="Q1085" s="1">
        <v>-1220.9537685499899</v>
      </c>
      <c r="R1085" s="1">
        <v>1856</v>
      </c>
      <c r="S1085" t="s">
        <v>11</v>
      </c>
    </row>
    <row r="1086" spans="1:19" x14ac:dyDescent="0.55000000000000004">
      <c r="A1086" t="s">
        <v>27</v>
      </c>
      <c r="B1086">
        <v>2011</v>
      </c>
      <c r="C1086">
        <v>724</v>
      </c>
      <c r="D1086" s="2">
        <v>0</v>
      </c>
      <c r="E1086" s="3">
        <v>724</v>
      </c>
      <c r="F1086" t="s">
        <v>12</v>
      </c>
      <c r="G1086" t="s">
        <v>12</v>
      </c>
      <c r="H1086" s="1">
        <v>1.4660806307555101</v>
      </c>
      <c r="I1086" s="1">
        <v>432.15572445271903</v>
      </c>
      <c r="J1086" s="1">
        <v>301.34780588682202</v>
      </c>
      <c r="K1086" s="1"/>
      <c r="L1086" s="1">
        <v>81.300150526844007</v>
      </c>
      <c r="M1086" s="1">
        <v>7.5560461615654804</v>
      </c>
      <c r="N1086" s="1">
        <v>-330.213748118414</v>
      </c>
      <c r="O1086" s="1"/>
      <c r="P1086" s="1"/>
      <c r="Q1086" s="1">
        <v>-842.22892656656302</v>
      </c>
      <c r="R1086" s="1">
        <v>1218</v>
      </c>
      <c r="S1086" t="s">
        <v>11</v>
      </c>
    </row>
    <row r="1087" spans="1:19" x14ac:dyDescent="0.55000000000000004">
      <c r="A1087" t="s">
        <v>27</v>
      </c>
      <c r="B1087">
        <v>2010</v>
      </c>
      <c r="C1087">
        <v>1087</v>
      </c>
      <c r="D1087" s="2">
        <v>0</v>
      </c>
      <c r="E1087" s="3">
        <v>1087</v>
      </c>
      <c r="F1087" t="s">
        <v>12</v>
      </c>
      <c r="G1087" t="s">
        <v>12</v>
      </c>
      <c r="H1087" s="1">
        <v>0</v>
      </c>
      <c r="I1087" s="1">
        <v>1498.40702213546</v>
      </c>
      <c r="J1087" s="1"/>
      <c r="K1087" s="1"/>
      <c r="L1087" s="1">
        <v>120.855623590074</v>
      </c>
      <c r="M1087" s="1">
        <v>0</v>
      </c>
      <c r="N1087" s="1">
        <v>-864.03013213019699</v>
      </c>
      <c r="O1087" s="1"/>
      <c r="P1087" s="1"/>
      <c r="Q1087" s="1">
        <v>-1594.3637930043899</v>
      </c>
      <c r="R1087" s="1">
        <v>1842</v>
      </c>
      <c r="S1087" t="s">
        <v>11</v>
      </c>
    </row>
    <row r="1088" spans="1:19" x14ac:dyDescent="0.55000000000000004">
      <c r="A1088" t="s">
        <v>27</v>
      </c>
      <c r="B1088">
        <v>2009</v>
      </c>
      <c r="C1088">
        <v>1811</v>
      </c>
      <c r="D1088" s="2">
        <v>0</v>
      </c>
      <c r="E1088" s="3">
        <v>1811</v>
      </c>
      <c r="F1088" t="s">
        <v>12</v>
      </c>
      <c r="G1088" t="s">
        <v>12</v>
      </c>
      <c r="H1088" s="1">
        <v>10.80430042685</v>
      </c>
      <c r="I1088" s="1">
        <v>118.71862948905201</v>
      </c>
      <c r="J1088" s="1">
        <v>34.901978210558198</v>
      </c>
      <c r="K1088" s="1"/>
      <c r="L1088" s="1">
        <v>456.56724451039298</v>
      </c>
      <c r="M1088" s="1">
        <v>15.405269761606</v>
      </c>
      <c r="N1088" s="1">
        <v>20.620983854072701</v>
      </c>
      <c r="O1088" s="1"/>
      <c r="P1088" s="1"/>
      <c r="Q1088" s="1">
        <v>348.41055637841902</v>
      </c>
      <c r="R1088" s="1">
        <v>2468</v>
      </c>
      <c r="S1088" t="s">
        <v>11</v>
      </c>
    </row>
    <row r="1089" spans="1:19" x14ac:dyDescent="0.55000000000000004">
      <c r="A1089" t="s">
        <v>27</v>
      </c>
      <c r="B1089">
        <v>2008</v>
      </c>
      <c r="C1089">
        <v>653</v>
      </c>
      <c r="D1089" s="2">
        <v>0</v>
      </c>
      <c r="E1089" s="3">
        <v>653</v>
      </c>
      <c r="F1089" t="s">
        <v>12</v>
      </c>
      <c r="G1089" t="s">
        <v>12</v>
      </c>
      <c r="H1089" s="1">
        <v>15.0265441346755</v>
      </c>
      <c r="I1089" s="1">
        <v>251.754252587591</v>
      </c>
      <c r="J1089" s="1">
        <v>246.84261782508401</v>
      </c>
      <c r="K1089" s="1"/>
      <c r="L1089" s="1"/>
      <c r="M1089" s="1"/>
      <c r="N1089" s="1"/>
      <c r="O1089" s="1"/>
      <c r="P1089" s="1"/>
      <c r="Q1089" s="1">
        <v>-165.83595477140901</v>
      </c>
      <c r="R1089" s="1">
        <v>1332</v>
      </c>
      <c r="S1089" t="s">
        <v>9</v>
      </c>
    </row>
    <row r="1090" spans="1:19" x14ac:dyDescent="0.55000000000000004">
      <c r="A1090" t="s">
        <v>27</v>
      </c>
      <c r="B1090">
        <v>2007</v>
      </c>
      <c r="C1090">
        <v>1202</v>
      </c>
      <c r="D1090" s="2">
        <v>0</v>
      </c>
      <c r="E1090" s="3">
        <v>1202</v>
      </c>
      <c r="F1090" t="s">
        <v>12</v>
      </c>
      <c r="G1090" t="s">
        <v>12</v>
      </c>
      <c r="H1090" s="1">
        <v>675.39449831822401</v>
      </c>
      <c r="I1090" s="1">
        <v>77.716898071838003</v>
      </c>
      <c r="J1090" s="1">
        <v>32.615450209166902</v>
      </c>
      <c r="K1090" s="1"/>
      <c r="L1090" s="1"/>
      <c r="M1090" s="1"/>
      <c r="N1090" s="1"/>
      <c r="O1090" s="1"/>
      <c r="P1090" s="1"/>
      <c r="Q1090" s="1">
        <v>845.41545624199205</v>
      </c>
      <c r="R1090" s="1">
        <v>1988</v>
      </c>
      <c r="S1090" t="s">
        <v>9</v>
      </c>
    </row>
    <row r="1091" spans="1:19" x14ac:dyDescent="0.55000000000000004">
      <c r="A1091" t="s">
        <v>27</v>
      </c>
      <c r="B1091">
        <v>2006</v>
      </c>
      <c r="C1091">
        <v>3834</v>
      </c>
      <c r="D1091" s="2">
        <v>0</v>
      </c>
      <c r="E1091" s="3">
        <v>3834</v>
      </c>
      <c r="F1091" t="s">
        <v>12</v>
      </c>
      <c r="G1091" t="s">
        <v>12</v>
      </c>
      <c r="H1091" s="1">
        <v>200.88353151467999</v>
      </c>
      <c r="I1091" s="1">
        <v>7759.4788938821403</v>
      </c>
      <c r="J1091" s="1">
        <v>1732.85559904295</v>
      </c>
      <c r="K1091" s="1"/>
      <c r="L1091" s="1"/>
      <c r="M1091" s="1"/>
      <c r="N1091" s="1"/>
      <c r="O1091" s="1"/>
      <c r="P1091" s="1"/>
      <c r="Q1091" s="1">
        <v>-15147.2896520879</v>
      </c>
      <c r="R1091" s="1">
        <v>28675</v>
      </c>
      <c r="S1091" t="s">
        <v>9</v>
      </c>
    </row>
    <row r="1092" spans="1:19" x14ac:dyDescent="0.55000000000000004">
      <c r="A1092" t="s">
        <v>27</v>
      </c>
      <c r="B1092">
        <v>2005</v>
      </c>
      <c r="C1092">
        <v>3284</v>
      </c>
      <c r="D1092" s="2">
        <v>16</v>
      </c>
      <c r="E1092" s="3">
        <v>3300</v>
      </c>
      <c r="F1092" t="s">
        <v>12</v>
      </c>
      <c r="G1092" t="s">
        <v>12</v>
      </c>
      <c r="H1092" s="1">
        <v>440.786981726112</v>
      </c>
      <c r="I1092" s="1">
        <v>2182.0651277278498</v>
      </c>
      <c r="J1092" s="1">
        <v>1579.58126835193</v>
      </c>
      <c r="K1092" s="1"/>
      <c r="L1092" s="1"/>
      <c r="M1092" s="1"/>
      <c r="N1092" s="1"/>
      <c r="O1092" s="1"/>
      <c r="P1092" s="1"/>
      <c r="Q1092" s="1">
        <v>-8502.5380098342102</v>
      </c>
      <c r="R1092" s="1">
        <v>16005</v>
      </c>
      <c r="S1092" t="s">
        <v>9</v>
      </c>
    </row>
    <row r="1093" spans="1:19" x14ac:dyDescent="0.55000000000000004">
      <c r="A1093" t="s">
        <v>27</v>
      </c>
      <c r="B1093">
        <v>2004</v>
      </c>
      <c r="C1093">
        <v>1113</v>
      </c>
      <c r="D1093" s="2">
        <v>0</v>
      </c>
      <c r="E1093" s="3">
        <v>1113</v>
      </c>
      <c r="F1093" t="s">
        <v>12</v>
      </c>
      <c r="G1093" t="s">
        <v>12</v>
      </c>
      <c r="H1093" s="1">
        <v>213.92079619634799</v>
      </c>
      <c r="I1093" s="1">
        <v>9771.1198840065099</v>
      </c>
      <c r="J1093" s="1">
        <v>2864.9311050349302</v>
      </c>
      <c r="K1093" s="1"/>
      <c r="L1093" s="1"/>
      <c r="M1093" s="1"/>
      <c r="N1093" s="1"/>
      <c r="O1093" s="1"/>
      <c r="P1093" s="1"/>
      <c r="Q1093" s="1">
        <v>-9813.5039916148198</v>
      </c>
      <c r="R1093" s="1">
        <v>23776</v>
      </c>
      <c r="S1093" t="s">
        <v>9</v>
      </c>
    </row>
    <row r="1094" spans="1:19" x14ac:dyDescent="0.55000000000000004">
      <c r="A1094" t="s">
        <v>27</v>
      </c>
      <c r="B1094">
        <v>2003</v>
      </c>
      <c r="C1094">
        <v>2127</v>
      </c>
      <c r="D1094" s="2">
        <v>0</v>
      </c>
      <c r="E1094" s="3">
        <v>2127</v>
      </c>
      <c r="F1094" t="s">
        <v>12</v>
      </c>
      <c r="G1094" t="s">
        <v>12</v>
      </c>
      <c r="H1094" s="1">
        <v>110.98767730033801</v>
      </c>
      <c r="I1094" s="1">
        <v>4354.8437727555702</v>
      </c>
      <c r="J1094" s="1">
        <v>774.72694660920399</v>
      </c>
      <c r="K1094" s="1"/>
      <c r="L1094" s="1"/>
      <c r="M1094" s="1"/>
      <c r="N1094" s="1"/>
      <c r="O1094" s="1"/>
      <c r="P1094" s="1"/>
      <c r="Q1094" s="1">
        <v>-739.531079248673</v>
      </c>
      <c r="R1094" s="1">
        <v>8107</v>
      </c>
      <c r="S1094" t="s">
        <v>9</v>
      </c>
    </row>
    <row r="1095" spans="1:19" x14ac:dyDescent="0.55000000000000004">
      <c r="A1095" t="s">
        <v>27</v>
      </c>
      <c r="B1095">
        <v>2002</v>
      </c>
      <c r="C1095">
        <v>1004</v>
      </c>
      <c r="D1095" s="2">
        <v>0</v>
      </c>
      <c r="E1095" s="3">
        <v>1004</v>
      </c>
      <c r="F1095" t="s">
        <v>12</v>
      </c>
      <c r="G1095" t="s">
        <v>12</v>
      </c>
      <c r="H1095" s="1">
        <v>6.5281829072297806E-2</v>
      </c>
      <c r="I1095" s="1">
        <v>368.170262379468</v>
      </c>
      <c r="J1095" s="1">
        <v>389.84897073503203</v>
      </c>
      <c r="K1095" s="1"/>
      <c r="L1095" s="1"/>
      <c r="M1095" s="1"/>
      <c r="N1095" s="1"/>
      <c r="O1095" s="1"/>
      <c r="P1095" s="1"/>
      <c r="Q1095" s="1">
        <v>-2233.6893989689502</v>
      </c>
      <c r="R1095" s="1">
        <v>3996</v>
      </c>
      <c r="S1095" t="s">
        <v>9</v>
      </c>
    </row>
    <row r="1096" spans="1:19" x14ac:dyDescent="0.55000000000000004">
      <c r="A1096" t="s">
        <v>27</v>
      </c>
      <c r="B1096">
        <v>2001</v>
      </c>
      <c r="C1096">
        <v>1120</v>
      </c>
      <c r="D1096" s="2">
        <v>0</v>
      </c>
      <c r="E1096" s="3">
        <v>1120</v>
      </c>
      <c r="F1096" t="s">
        <v>12</v>
      </c>
      <c r="G1096" t="s">
        <v>12</v>
      </c>
      <c r="H1096" s="1">
        <v>2.78329511463334</v>
      </c>
      <c r="I1096" s="1">
        <v>202.139867707017</v>
      </c>
      <c r="J1096" s="1">
        <v>168.789730351381</v>
      </c>
      <c r="K1096" s="1"/>
      <c r="L1096" s="1"/>
      <c r="M1096" s="1"/>
      <c r="N1096" s="1"/>
      <c r="O1096" s="1"/>
      <c r="P1096" s="1"/>
      <c r="Q1096" s="1">
        <v>-854.55478658142204</v>
      </c>
      <c r="R1096" s="1">
        <v>2348</v>
      </c>
      <c r="S1096" t="s">
        <v>9</v>
      </c>
    </row>
    <row r="1097" spans="1:19" x14ac:dyDescent="0.55000000000000004">
      <c r="A1097" t="s">
        <v>27</v>
      </c>
      <c r="B1097">
        <v>2000</v>
      </c>
      <c r="C1097">
        <v>3333</v>
      </c>
      <c r="D1097" s="2">
        <v>3</v>
      </c>
      <c r="E1097" s="3">
        <v>3336</v>
      </c>
      <c r="F1097" t="s">
        <v>12</v>
      </c>
      <c r="G1097" t="s">
        <v>12</v>
      </c>
      <c r="H1097" s="1">
        <v>3.5691845929568</v>
      </c>
      <c r="I1097" s="1">
        <v>2008.4512719984</v>
      </c>
      <c r="J1097" s="1">
        <v>798.17023360513701</v>
      </c>
      <c r="K1097" s="1"/>
      <c r="L1097" s="1"/>
      <c r="M1097" s="1"/>
      <c r="N1097" s="1"/>
      <c r="O1097" s="1"/>
      <c r="P1097" s="1"/>
      <c r="Q1097" s="1">
        <v>-274.50377119879602</v>
      </c>
      <c r="R1097" s="1">
        <v>6421</v>
      </c>
      <c r="S1097" t="s">
        <v>9</v>
      </c>
    </row>
    <row r="1098" spans="1:19" x14ac:dyDescent="0.55000000000000004">
      <c r="A1098" t="s">
        <v>27</v>
      </c>
      <c r="B1098">
        <v>1997</v>
      </c>
      <c r="C1098">
        <v>122</v>
      </c>
      <c r="D1098" s="2">
        <v>0</v>
      </c>
      <c r="E1098" s="3">
        <v>122</v>
      </c>
      <c r="F1098" t="s">
        <v>12</v>
      </c>
      <c r="G1098" t="s">
        <v>12</v>
      </c>
      <c r="H1098" s="1">
        <v>26.5899186675476</v>
      </c>
      <c r="I1098" s="1">
        <v>734.88961028011795</v>
      </c>
      <c r="J1098" s="1">
        <v>88.778411886019398</v>
      </c>
      <c r="K1098" s="1"/>
      <c r="L1098" s="1"/>
      <c r="M1098" s="1"/>
      <c r="N1098" s="1"/>
      <c r="O1098" s="1"/>
      <c r="P1098" s="1"/>
      <c r="Q1098" s="1">
        <v>-655.02368276619904</v>
      </c>
      <c r="R1098" s="1">
        <v>1627</v>
      </c>
      <c r="S1098" t="s">
        <v>9</v>
      </c>
    </row>
    <row r="1099" spans="1:19" x14ac:dyDescent="0.55000000000000004">
      <c r="A1099" t="s">
        <v>27</v>
      </c>
      <c r="B1099">
        <v>1996</v>
      </c>
      <c r="C1099">
        <v>1347</v>
      </c>
      <c r="D1099" s="2">
        <v>0</v>
      </c>
      <c r="E1099" s="3">
        <v>1347</v>
      </c>
      <c r="F1099" t="s">
        <v>12</v>
      </c>
      <c r="G1099" t="s">
        <v>12</v>
      </c>
      <c r="H1099" s="1">
        <v>6.9982069355473603E-2</v>
      </c>
      <c r="I1099" s="1">
        <v>433.13816693333501</v>
      </c>
      <c r="J1099" s="1">
        <v>491.802305418961</v>
      </c>
      <c r="K1099" s="1"/>
      <c r="L1099" s="1"/>
      <c r="M1099" s="1"/>
      <c r="N1099" s="1"/>
      <c r="O1099" s="1"/>
      <c r="P1099" s="1"/>
      <c r="Q1099" s="1">
        <v>-989.73545416483898</v>
      </c>
      <c r="R1099" s="1">
        <v>3262</v>
      </c>
      <c r="S1099" t="s">
        <v>9</v>
      </c>
    </row>
    <row r="1100" spans="1:19" x14ac:dyDescent="0.55000000000000004">
      <c r="A1100" t="s">
        <v>27</v>
      </c>
      <c r="B1100">
        <v>1995</v>
      </c>
      <c r="C1100">
        <v>113</v>
      </c>
      <c r="D1100" s="2">
        <v>0</v>
      </c>
      <c r="E1100" s="3">
        <v>113</v>
      </c>
      <c r="F1100" t="s">
        <v>12</v>
      </c>
      <c r="G1100" t="s">
        <v>12</v>
      </c>
      <c r="H1100" s="1">
        <v>9.8512457533949404E-17</v>
      </c>
      <c r="I1100" s="1">
        <v>35.388564670668998</v>
      </c>
      <c r="J1100" s="1">
        <v>34.090367546471903</v>
      </c>
      <c r="K1100" s="1"/>
      <c r="L1100" s="1"/>
      <c r="M1100" s="1"/>
      <c r="N1100" s="1"/>
      <c r="O1100" s="1"/>
      <c r="P1100" s="1"/>
      <c r="Q1100" s="1">
        <v>-116.00311887503101</v>
      </c>
      <c r="R1100" s="1">
        <v>298</v>
      </c>
      <c r="S1100" t="s">
        <v>9</v>
      </c>
    </row>
    <row r="1101" spans="1:19" x14ac:dyDescent="0.55000000000000004">
      <c r="A1101" t="s">
        <v>27</v>
      </c>
      <c r="B1101">
        <v>1994</v>
      </c>
      <c r="C1101">
        <v>29</v>
      </c>
      <c r="D1101" s="2">
        <v>0</v>
      </c>
      <c r="E1101" s="3">
        <v>29</v>
      </c>
      <c r="F1101" t="s">
        <v>12</v>
      </c>
      <c r="G1101" t="s">
        <v>12</v>
      </c>
      <c r="H1101" s="1">
        <v>1.138316946858E-2</v>
      </c>
      <c r="I1101" s="1">
        <v>20.511370840395699</v>
      </c>
      <c r="J1101" s="1">
        <v>22.192831132021599</v>
      </c>
      <c r="K1101" s="1"/>
      <c r="L1101" s="1"/>
      <c r="M1101" s="1"/>
      <c r="N1101" s="1"/>
      <c r="O1101" s="1"/>
      <c r="P1101" s="1"/>
      <c r="Q1101" s="1">
        <v>-70.714461063357305</v>
      </c>
      <c r="R1101" s="1">
        <v>142</v>
      </c>
      <c r="S1101" t="s">
        <v>9</v>
      </c>
    </row>
    <row r="1102" spans="1:19" x14ac:dyDescent="0.55000000000000004">
      <c r="A1102" t="s">
        <v>27</v>
      </c>
      <c r="B1102">
        <v>1992</v>
      </c>
      <c r="C1102">
        <v>250</v>
      </c>
      <c r="D1102" s="2">
        <v>0</v>
      </c>
      <c r="E1102" s="3">
        <v>250</v>
      </c>
      <c r="F1102" t="s">
        <v>12</v>
      </c>
      <c r="G1102" t="s">
        <v>12</v>
      </c>
      <c r="H1102" s="1">
        <v>0.28228431548781702</v>
      </c>
      <c r="I1102" s="1">
        <v>353.85540120128098</v>
      </c>
      <c r="J1102" s="1">
        <v>587.620169481007</v>
      </c>
      <c r="K1102" s="1"/>
      <c r="L1102" s="1"/>
      <c r="M1102" s="1"/>
      <c r="N1102" s="1"/>
      <c r="O1102" s="1"/>
      <c r="P1102" s="1"/>
      <c r="Q1102" s="1">
        <v>75.343938159401702</v>
      </c>
      <c r="R1102" s="1">
        <v>1192</v>
      </c>
      <c r="S1102" t="s">
        <v>9</v>
      </c>
    </row>
    <row r="1103" spans="1:19" x14ac:dyDescent="0.55000000000000004">
      <c r="A1103" t="s">
        <v>27</v>
      </c>
      <c r="B1103">
        <v>1991</v>
      </c>
      <c r="C1103">
        <v>293</v>
      </c>
      <c r="D1103" s="2">
        <v>0</v>
      </c>
      <c r="E1103" s="3">
        <v>293</v>
      </c>
      <c r="F1103" t="s">
        <v>12</v>
      </c>
      <c r="G1103" t="s">
        <v>12</v>
      </c>
      <c r="H1103" s="1">
        <v>0</v>
      </c>
      <c r="I1103" s="1">
        <v>564.37803623249101</v>
      </c>
      <c r="J1103" s="1">
        <v>135.92637806442599</v>
      </c>
      <c r="K1103" s="1"/>
      <c r="L1103" s="1"/>
      <c r="M1103" s="1"/>
      <c r="N1103" s="1"/>
      <c r="O1103" s="1"/>
      <c r="P1103" s="1"/>
      <c r="Q1103" s="1">
        <v>-377.896349518416</v>
      </c>
      <c r="R1103" s="1">
        <v>1371</v>
      </c>
      <c r="S1103" t="s">
        <v>9</v>
      </c>
    </row>
    <row r="1104" spans="1:19" x14ac:dyDescent="0.55000000000000004">
      <c r="A1104" t="s">
        <v>27</v>
      </c>
      <c r="B1104">
        <v>1990</v>
      </c>
      <c r="C1104">
        <v>100</v>
      </c>
      <c r="D1104" s="2">
        <v>0</v>
      </c>
      <c r="E1104" s="3">
        <v>100</v>
      </c>
      <c r="F1104" t="s">
        <v>12</v>
      </c>
      <c r="G1104" t="s">
        <v>12</v>
      </c>
      <c r="H1104" s="1">
        <v>0.824953256580087</v>
      </c>
      <c r="I1104" s="1">
        <v>278.71697146796203</v>
      </c>
      <c r="J1104" s="1">
        <v>146.579215331326</v>
      </c>
      <c r="K1104" s="1"/>
      <c r="L1104" s="1"/>
      <c r="M1104" s="1"/>
      <c r="N1104" s="1"/>
      <c r="O1104" s="1"/>
      <c r="P1104" s="1"/>
      <c r="Q1104" s="1">
        <v>5.35565937964952</v>
      </c>
      <c r="R1104" s="1">
        <v>526</v>
      </c>
      <c r="S1104" t="s">
        <v>9</v>
      </c>
    </row>
    <row r="1105" spans="1:19" x14ac:dyDescent="0.55000000000000004">
      <c r="A1105" t="s">
        <v>27</v>
      </c>
      <c r="B1105">
        <v>1989</v>
      </c>
      <c r="C1105">
        <v>0</v>
      </c>
      <c r="D1105" s="2">
        <v>0</v>
      </c>
      <c r="E1105" s="3">
        <v>0</v>
      </c>
      <c r="F1105" t="s">
        <v>12</v>
      </c>
      <c r="G1105" t="s">
        <v>12</v>
      </c>
      <c r="H1105" s="1"/>
      <c r="I1105" s="1"/>
      <c r="J1105" s="1"/>
      <c r="K1105" s="1"/>
      <c r="L1105" s="1"/>
      <c r="M1105" s="1"/>
      <c r="N1105" s="1"/>
      <c r="O1105" s="1"/>
      <c r="P1105" s="1"/>
      <c r="Q1105" s="1">
        <v>0</v>
      </c>
      <c r="R1105" s="1">
        <v>0</v>
      </c>
      <c r="S1105" t="s">
        <v>9</v>
      </c>
    </row>
    <row r="1106" spans="1:19" x14ac:dyDescent="0.55000000000000004">
      <c r="A1106" t="s">
        <v>27</v>
      </c>
      <c r="B1106">
        <v>1988</v>
      </c>
      <c r="C1106">
        <v>277</v>
      </c>
      <c r="D1106" s="2">
        <v>0</v>
      </c>
      <c r="E1106" s="3">
        <v>277</v>
      </c>
      <c r="F1106" t="s">
        <v>12</v>
      </c>
      <c r="G1106" t="s">
        <v>12</v>
      </c>
      <c r="H1106" s="1">
        <v>0</v>
      </c>
      <c r="I1106" s="1">
        <v>233.550306348677</v>
      </c>
      <c r="J1106" s="1">
        <v>28.662369192130601</v>
      </c>
      <c r="K1106" s="1"/>
      <c r="L1106" s="1"/>
      <c r="M1106" s="1"/>
      <c r="N1106" s="1"/>
      <c r="O1106" s="1"/>
      <c r="P1106" s="1"/>
      <c r="Q1106" s="1">
        <v>41.896431879723103</v>
      </c>
      <c r="R1106" s="1">
        <v>539</v>
      </c>
      <c r="S1106" t="s">
        <v>9</v>
      </c>
    </row>
    <row r="1107" spans="1:19" x14ac:dyDescent="0.55000000000000004">
      <c r="A1107" t="s">
        <v>27</v>
      </c>
      <c r="B1107">
        <v>1987</v>
      </c>
      <c r="C1107">
        <v>0</v>
      </c>
      <c r="D1107" s="2">
        <v>0</v>
      </c>
      <c r="E1107" s="3">
        <v>0</v>
      </c>
      <c r="F1107" t="s">
        <v>12</v>
      </c>
      <c r="G1107" t="s">
        <v>12</v>
      </c>
      <c r="H1107" s="1"/>
      <c r="I1107" s="1"/>
      <c r="J1107" s="1"/>
      <c r="K1107" s="1"/>
      <c r="L1107" s="1"/>
      <c r="M1107" s="1"/>
      <c r="N1107" s="1"/>
      <c r="O1107" s="1"/>
      <c r="P1107" s="1"/>
      <c r="Q1107" s="1">
        <v>0</v>
      </c>
      <c r="R1107" s="1">
        <v>0</v>
      </c>
      <c r="S1107" t="s">
        <v>9</v>
      </c>
    </row>
    <row r="1108" spans="1:19" x14ac:dyDescent="0.55000000000000004">
      <c r="A1108" t="s">
        <v>27</v>
      </c>
      <c r="B1108">
        <v>1986</v>
      </c>
      <c r="C1108">
        <v>0</v>
      </c>
      <c r="D1108" s="2">
        <v>0</v>
      </c>
      <c r="E1108" s="3">
        <v>0</v>
      </c>
      <c r="F1108" t="s">
        <v>12</v>
      </c>
      <c r="G1108" t="s">
        <v>12</v>
      </c>
      <c r="H1108" s="1"/>
      <c r="I1108" s="1"/>
      <c r="J1108" s="1"/>
      <c r="K1108" s="1"/>
      <c r="L1108" s="1"/>
      <c r="M1108" s="1"/>
      <c r="N1108" s="1"/>
      <c r="O1108" s="1"/>
      <c r="P1108" s="1"/>
      <c r="Q1108" s="1">
        <v>0</v>
      </c>
      <c r="R1108" s="1">
        <v>0</v>
      </c>
      <c r="S1108" t="s">
        <v>9</v>
      </c>
    </row>
    <row r="1109" spans="1:19" x14ac:dyDescent="0.55000000000000004">
      <c r="A1109" t="s">
        <v>27</v>
      </c>
      <c r="B1109">
        <v>1985</v>
      </c>
      <c r="C1109">
        <v>0</v>
      </c>
      <c r="D1109" s="2">
        <v>0</v>
      </c>
      <c r="E1109" s="3">
        <v>0</v>
      </c>
      <c r="F1109" t="s">
        <v>12</v>
      </c>
      <c r="G1109" t="s">
        <v>12</v>
      </c>
      <c r="H1109" s="1"/>
      <c r="I1109" s="1"/>
      <c r="J1109" s="1"/>
      <c r="K1109" s="1"/>
      <c r="L1109" s="1"/>
      <c r="M1109" s="1"/>
      <c r="N1109" s="1"/>
      <c r="O1109" s="1"/>
      <c r="P1109" s="1"/>
      <c r="Q1109" s="1">
        <v>0</v>
      </c>
      <c r="R1109" s="1">
        <v>0</v>
      </c>
      <c r="S1109" t="s">
        <v>9</v>
      </c>
    </row>
    <row r="1110" spans="1:19" x14ac:dyDescent="0.55000000000000004">
      <c r="A1110" t="s">
        <v>27</v>
      </c>
      <c r="B1110">
        <v>1984</v>
      </c>
      <c r="C1110">
        <v>216</v>
      </c>
      <c r="D1110" s="2">
        <v>0</v>
      </c>
      <c r="E1110" s="3">
        <v>216</v>
      </c>
      <c r="F1110" t="s">
        <v>12</v>
      </c>
      <c r="G1110" t="s">
        <v>12</v>
      </c>
      <c r="H1110" s="1">
        <v>0</v>
      </c>
      <c r="I1110" s="1">
        <v>401.39784611066</v>
      </c>
      <c r="J1110" s="1">
        <v>54.190570594147303</v>
      </c>
      <c r="K1110" s="1"/>
      <c r="L1110" s="1"/>
      <c r="M1110" s="1"/>
      <c r="N1110" s="1"/>
      <c r="O1110" s="1"/>
      <c r="P1110" s="1"/>
      <c r="Q1110" s="1">
        <v>-352.64700653565302</v>
      </c>
      <c r="R1110" s="1">
        <v>1024</v>
      </c>
      <c r="S1110" t="s">
        <v>9</v>
      </c>
    </row>
    <row r="1111" spans="1:19" x14ac:dyDescent="0.55000000000000004">
      <c r="A1111" t="s">
        <v>27</v>
      </c>
      <c r="B1111">
        <v>1983</v>
      </c>
      <c r="C1111">
        <v>0</v>
      </c>
      <c r="D1111" s="2">
        <v>0</v>
      </c>
      <c r="E1111" s="3">
        <v>0</v>
      </c>
      <c r="F1111" t="s">
        <v>12</v>
      </c>
      <c r="G1111" t="s">
        <v>12</v>
      </c>
      <c r="H1111" s="1"/>
      <c r="I1111" s="1"/>
      <c r="J1111" s="1"/>
      <c r="K1111" s="1"/>
      <c r="L1111" s="1"/>
      <c r="M1111" s="1"/>
      <c r="N1111" s="1"/>
      <c r="O1111" s="1"/>
      <c r="P1111" s="1"/>
      <c r="Q1111" s="1">
        <v>0</v>
      </c>
      <c r="R1111" s="1">
        <v>0</v>
      </c>
      <c r="S1111" t="s">
        <v>9</v>
      </c>
    </row>
    <row r="1112" spans="1:19" x14ac:dyDescent="0.55000000000000004">
      <c r="A1112" t="s">
        <v>27</v>
      </c>
      <c r="B1112">
        <v>1982</v>
      </c>
      <c r="C1112">
        <v>0</v>
      </c>
      <c r="D1112" s="2">
        <v>0</v>
      </c>
      <c r="E1112" s="3">
        <v>0</v>
      </c>
      <c r="F1112" t="s">
        <v>12</v>
      </c>
      <c r="G1112" t="s">
        <v>12</v>
      </c>
      <c r="H1112" s="1"/>
      <c r="I1112" s="1"/>
      <c r="J1112" s="1"/>
      <c r="K1112" s="1"/>
      <c r="L1112" s="1"/>
      <c r="M1112" s="1"/>
      <c r="N1112" s="1"/>
      <c r="O1112" s="1"/>
      <c r="P1112" s="1"/>
      <c r="Q1112" s="1">
        <v>0</v>
      </c>
      <c r="R1112" s="1">
        <v>0</v>
      </c>
      <c r="S1112" t="s">
        <v>9</v>
      </c>
    </row>
    <row r="1113" spans="1:19" x14ac:dyDescent="0.55000000000000004">
      <c r="A1113" t="s">
        <v>27</v>
      </c>
      <c r="B1113">
        <v>1981</v>
      </c>
      <c r="C1113">
        <v>13</v>
      </c>
      <c r="D1113" s="2">
        <v>0</v>
      </c>
      <c r="E1113" s="3">
        <v>13</v>
      </c>
      <c r="F1113" t="s">
        <v>12</v>
      </c>
      <c r="G1113" t="s">
        <v>12</v>
      </c>
      <c r="H1113" s="1"/>
      <c r="I1113" s="1">
        <v>44.883709003296303</v>
      </c>
      <c r="J1113" s="1">
        <v>1.4323359957205799</v>
      </c>
      <c r="K1113" s="1"/>
      <c r="L1113" s="1"/>
      <c r="M1113" s="1"/>
      <c r="N1113" s="1"/>
      <c r="O1113" s="1"/>
      <c r="P1113" s="1"/>
      <c r="Q1113" s="1">
        <v>-4.6204449471863702</v>
      </c>
      <c r="R1113" s="1">
        <v>64</v>
      </c>
      <c r="S1113" t="s">
        <v>9</v>
      </c>
    </row>
    <row r="1114" spans="1:19" x14ac:dyDescent="0.55000000000000004">
      <c r="A1114" t="s">
        <v>27</v>
      </c>
      <c r="B1114">
        <v>1980</v>
      </c>
      <c r="C1114">
        <v>137</v>
      </c>
      <c r="D1114" s="2">
        <v>0</v>
      </c>
      <c r="E1114" s="3">
        <v>137</v>
      </c>
      <c r="F1114" t="s">
        <v>12</v>
      </c>
      <c r="G1114" t="s">
        <v>12</v>
      </c>
      <c r="H1114" s="1"/>
      <c r="I1114" s="1">
        <v>253.881805761691</v>
      </c>
      <c r="J1114" s="1">
        <v>27.484412442973401</v>
      </c>
      <c r="K1114" s="1"/>
      <c r="L1114" s="1"/>
      <c r="M1114" s="1"/>
      <c r="N1114" s="1"/>
      <c r="O1114" s="1"/>
      <c r="P1114" s="1"/>
      <c r="Q1114" s="1">
        <v>0.75240782127635697</v>
      </c>
      <c r="R1114" s="1">
        <v>418</v>
      </c>
      <c r="S1114" t="s">
        <v>9</v>
      </c>
    </row>
    <row r="1115" spans="1:19" x14ac:dyDescent="0.55000000000000004">
      <c r="A1115" t="s">
        <v>27</v>
      </c>
      <c r="B1115">
        <v>1979</v>
      </c>
      <c r="C1115">
        <v>18</v>
      </c>
      <c r="D1115" s="2">
        <v>0</v>
      </c>
      <c r="E1115" s="3">
        <v>18</v>
      </c>
      <c r="F1115" t="s">
        <v>12</v>
      </c>
      <c r="G1115" t="s">
        <v>12</v>
      </c>
      <c r="H1115" s="1"/>
      <c r="I1115" s="1">
        <v>41.527985194476997</v>
      </c>
      <c r="J1115" s="1">
        <v>3.2999591466247198</v>
      </c>
      <c r="K1115" s="1"/>
      <c r="L1115" s="1"/>
      <c r="M1115" s="1"/>
      <c r="N1115" s="1"/>
      <c r="O1115" s="1"/>
      <c r="P1115" s="1"/>
      <c r="Q1115" s="1">
        <v>-8.2080049541507503</v>
      </c>
      <c r="R1115" s="1">
        <v>71</v>
      </c>
      <c r="S1115" t="s">
        <v>9</v>
      </c>
    </row>
    <row r="1116" spans="1:19" x14ac:dyDescent="0.55000000000000004">
      <c r="A1116" t="s">
        <v>27</v>
      </c>
      <c r="B1116">
        <v>1978</v>
      </c>
      <c r="C1116">
        <v>0</v>
      </c>
      <c r="D1116" s="2">
        <v>0</v>
      </c>
      <c r="E1116" s="3">
        <v>0</v>
      </c>
      <c r="F1116" t="s">
        <v>12</v>
      </c>
      <c r="G1116" t="s">
        <v>12</v>
      </c>
      <c r="H1116" s="1"/>
      <c r="I1116" s="1"/>
      <c r="J1116" s="1"/>
      <c r="K1116" s="1"/>
      <c r="L1116" s="1"/>
      <c r="M1116" s="1"/>
      <c r="N1116" s="1"/>
      <c r="O1116" s="1"/>
      <c r="P1116" s="1"/>
      <c r="Q1116" s="1">
        <v>0</v>
      </c>
      <c r="R1116" s="1">
        <v>0</v>
      </c>
      <c r="S1116" t="s">
        <v>9</v>
      </c>
    </row>
    <row r="1117" spans="1:19" x14ac:dyDescent="0.55000000000000004">
      <c r="A1117" t="s">
        <v>27</v>
      </c>
      <c r="B1117">
        <v>1977</v>
      </c>
      <c r="C1117">
        <v>16</v>
      </c>
      <c r="D1117" s="2">
        <v>0</v>
      </c>
      <c r="E1117" s="3">
        <v>16</v>
      </c>
      <c r="F1117" t="s">
        <v>12</v>
      </c>
      <c r="G1117" t="s">
        <v>12</v>
      </c>
      <c r="H1117" s="1"/>
      <c r="I1117" s="1">
        <v>174.124579836419</v>
      </c>
      <c r="J1117" s="1">
        <v>2.0072305919381499</v>
      </c>
      <c r="K1117" s="1"/>
      <c r="L1117" s="1"/>
      <c r="M1117" s="1"/>
      <c r="N1117" s="1"/>
      <c r="O1117" s="1"/>
      <c r="P1117" s="1"/>
      <c r="Q1117" s="1">
        <v>-57.773735095647503</v>
      </c>
      <c r="R1117" s="1">
        <v>250</v>
      </c>
      <c r="S1117" t="s">
        <v>9</v>
      </c>
    </row>
    <row r="1118" spans="1:19" x14ac:dyDescent="0.55000000000000004">
      <c r="A1118" t="s">
        <v>27</v>
      </c>
      <c r="B1118">
        <v>1976</v>
      </c>
      <c r="C1118">
        <v>85</v>
      </c>
      <c r="D1118" s="2">
        <v>0</v>
      </c>
      <c r="E1118" s="3">
        <v>85</v>
      </c>
      <c r="F1118" t="s">
        <v>12</v>
      </c>
      <c r="G1118" t="s">
        <v>12</v>
      </c>
      <c r="H1118" s="1"/>
      <c r="I1118" s="1">
        <v>445.15643542992802</v>
      </c>
      <c r="J1118" s="1">
        <v>18.083935699644002</v>
      </c>
      <c r="K1118" s="1"/>
      <c r="L1118" s="1"/>
      <c r="M1118" s="1"/>
      <c r="N1118" s="1"/>
      <c r="O1118" s="1"/>
      <c r="P1118" s="1"/>
      <c r="Q1118" s="1"/>
      <c r="R1118" s="1">
        <v>548</v>
      </c>
      <c r="S1118" t="s">
        <v>12</v>
      </c>
    </row>
    <row r="1119" spans="1:19" x14ac:dyDescent="0.55000000000000004">
      <c r="A1119" t="s">
        <v>27</v>
      </c>
      <c r="B1119">
        <v>1975</v>
      </c>
      <c r="C1119">
        <v>0</v>
      </c>
      <c r="D1119" s="2">
        <v>0</v>
      </c>
      <c r="E1119" s="3">
        <v>0</v>
      </c>
      <c r="F1119" t="s">
        <v>12</v>
      </c>
      <c r="G1119" t="s">
        <v>12</v>
      </c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>
        <v>0</v>
      </c>
      <c r="S1119" t="s">
        <v>11</v>
      </c>
    </row>
    <row r="1120" spans="1:19" x14ac:dyDescent="0.55000000000000004">
      <c r="A1120" t="s">
        <v>27</v>
      </c>
      <c r="B1120">
        <v>1974</v>
      </c>
      <c r="C1120">
        <v>4</v>
      </c>
      <c r="D1120" s="2">
        <v>0</v>
      </c>
      <c r="E1120" s="3">
        <v>4</v>
      </c>
      <c r="F1120" t="s">
        <v>12</v>
      </c>
      <c r="G1120" t="s">
        <v>12</v>
      </c>
      <c r="H1120" s="1"/>
      <c r="I1120" s="1">
        <v>14.8016666666667</v>
      </c>
      <c r="J1120" s="1">
        <v>1</v>
      </c>
      <c r="K1120" s="1"/>
      <c r="L1120" s="1"/>
      <c r="M1120" s="1"/>
      <c r="N1120" s="1"/>
      <c r="O1120" s="1"/>
      <c r="P1120" s="1"/>
      <c r="Q1120" s="1"/>
      <c r="R1120" s="1">
        <v>20</v>
      </c>
      <c r="S1120" t="s">
        <v>12</v>
      </c>
    </row>
    <row r="1121" spans="1:19" x14ac:dyDescent="0.55000000000000004">
      <c r="A1121" t="s">
        <v>27</v>
      </c>
      <c r="B1121">
        <v>1973</v>
      </c>
      <c r="C1121">
        <v>22</v>
      </c>
      <c r="D1121" s="2">
        <v>0</v>
      </c>
      <c r="E1121" s="3">
        <v>22</v>
      </c>
      <c r="F1121" t="s">
        <v>12</v>
      </c>
      <c r="G1121" t="s">
        <v>12</v>
      </c>
      <c r="H1121" s="1"/>
      <c r="I1121" s="1">
        <v>103.25845147219199</v>
      </c>
      <c r="J1121" s="1">
        <v>2</v>
      </c>
      <c r="K1121" s="1"/>
      <c r="L1121" s="1"/>
      <c r="M1121" s="1"/>
      <c r="N1121" s="1"/>
      <c r="O1121" s="1"/>
      <c r="P1121" s="1"/>
      <c r="Q1121" s="1"/>
      <c r="R1121" s="1">
        <v>127</v>
      </c>
      <c r="S1121" t="s">
        <v>12</v>
      </c>
    </row>
    <row r="1122" spans="1:19" x14ac:dyDescent="0.55000000000000004">
      <c r="A1122" t="s">
        <v>27</v>
      </c>
      <c r="B1122">
        <v>1972</v>
      </c>
      <c r="C1122">
        <v>433</v>
      </c>
      <c r="D1122" s="2">
        <v>3</v>
      </c>
      <c r="E1122" s="3">
        <v>436</v>
      </c>
      <c r="F1122" t="s">
        <v>12</v>
      </c>
      <c r="G1122" t="s">
        <v>12</v>
      </c>
      <c r="H1122" s="1"/>
      <c r="I1122" s="1">
        <v>3352.21933085502</v>
      </c>
      <c r="J1122" s="1">
        <v>270.89591078067002</v>
      </c>
      <c r="K1122" s="1"/>
      <c r="L1122" s="1"/>
      <c r="M1122" s="1"/>
      <c r="N1122" s="1"/>
      <c r="O1122" s="1"/>
      <c r="P1122" s="1"/>
      <c r="Q1122" s="1"/>
      <c r="R1122" s="1">
        <v>4059</v>
      </c>
      <c r="S1122" t="s">
        <v>12</v>
      </c>
    </row>
    <row r="1123" spans="1:19" x14ac:dyDescent="0.55000000000000004">
      <c r="A1123" t="s">
        <v>27</v>
      </c>
      <c r="B1123">
        <v>1971</v>
      </c>
      <c r="C1123">
        <v>5</v>
      </c>
      <c r="D1123" s="2">
        <v>0</v>
      </c>
      <c r="E1123" s="3">
        <v>5</v>
      </c>
      <c r="F1123" t="s">
        <v>12</v>
      </c>
      <c r="G1123" t="s">
        <v>12</v>
      </c>
      <c r="H1123" s="1"/>
      <c r="I1123" s="1">
        <v>58.928994082840198</v>
      </c>
      <c r="J1123" s="1">
        <v>1</v>
      </c>
      <c r="K1123" s="1"/>
      <c r="L1123" s="1"/>
      <c r="M1123" s="1"/>
      <c r="N1123" s="1"/>
      <c r="O1123" s="1"/>
      <c r="P1123" s="1"/>
      <c r="Q1123" s="1"/>
      <c r="R1123" s="1">
        <v>65</v>
      </c>
      <c r="S1123" t="s">
        <v>12</v>
      </c>
    </row>
    <row r="1124" spans="1:19" x14ac:dyDescent="0.55000000000000004">
      <c r="A1124" t="s">
        <v>27</v>
      </c>
      <c r="B1124">
        <v>1970</v>
      </c>
      <c r="C1124">
        <v>2</v>
      </c>
      <c r="D1124" s="2">
        <v>0</v>
      </c>
      <c r="E1124" s="3">
        <v>2</v>
      </c>
      <c r="F1124" t="s">
        <v>12</v>
      </c>
      <c r="G1124" t="s">
        <v>12</v>
      </c>
      <c r="H1124" s="1"/>
      <c r="I1124" s="1">
        <v>7.2918617614269801</v>
      </c>
      <c r="J1124" s="1">
        <v>1</v>
      </c>
      <c r="K1124" s="1"/>
      <c r="L1124" s="1"/>
      <c r="M1124" s="1"/>
      <c r="N1124" s="1"/>
      <c r="O1124" s="1"/>
      <c r="P1124" s="1"/>
      <c r="Q1124" s="1"/>
      <c r="R1124" s="1">
        <v>10</v>
      </c>
      <c r="S1124" t="s">
        <v>12</v>
      </c>
    </row>
    <row r="1125" spans="1:19" x14ac:dyDescent="0.55000000000000004">
      <c r="A1125" t="s">
        <v>27</v>
      </c>
      <c r="B1125">
        <v>1969</v>
      </c>
      <c r="C1125">
        <v>40</v>
      </c>
      <c r="D1125" s="2">
        <v>0</v>
      </c>
      <c r="E1125" s="3">
        <v>40</v>
      </c>
      <c r="F1125" t="s">
        <v>12</v>
      </c>
      <c r="G1125" t="s">
        <v>12</v>
      </c>
      <c r="H1125" s="1"/>
      <c r="I1125" s="1">
        <v>152.160482868809</v>
      </c>
      <c r="J1125" s="1">
        <v>5</v>
      </c>
      <c r="K1125" s="1"/>
      <c r="L1125" s="1"/>
      <c r="M1125" s="1"/>
      <c r="N1125" s="1"/>
      <c r="O1125" s="1"/>
      <c r="P1125" s="1"/>
      <c r="Q1125" s="1"/>
      <c r="R1125" s="1">
        <v>197</v>
      </c>
      <c r="S1125" t="s">
        <v>12</v>
      </c>
    </row>
    <row r="1126" spans="1:19" x14ac:dyDescent="0.55000000000000004">
      <c r="A1126" t="s">
        <v>27</v>
      </c>
      <c r="B1126">
        <v>1968</v>
      </c>
      <c r="C1126">
        <v>275</v>
      </c>
      <c r="D1126" s="2">
        <v>0</v>
      </c>
      <c r="E1126" s="3">
        <v>275</v>
      </c>
      <c r="F1126" t="s">
        <v>12</v>
      </c>
      <c r="G1126" t="s">
        <v>12</v>
      </c>
      <c r="H1126" s="1"/>
      <c r="I1126" s="1">
        <v>740.24261288032699</v>
      </c>
      <c r="J1126" s="1">
        <v>39</v>
      </c>
      <c r="K1126" s="1"/>
      <c r="L1126" s="1"/>
      <c r="M1126" s="1"/>
      <c r="N1126" s="1"/>
      <c r="O1126" s="1"/>
      <c r="P1126" s="1"/>
      <c r="Q1126" s="1"/>
      <c r="R1126" s="1">
        <v>1054</v>
      </c>
      <c r="S1126" t="s">
        <v>12</v>
      </c>
    </row>
    <row r="1127" spans="1:19" x14ac:dyDescent="0.55000000000000004">
      <c r="A1127" t="s">
        <v>27</v>
      </c>
      <c r="B1127">
        <v>1967</v>
      </c>
      <c r="C1127">
        <v>16</v>
      </c>
      <c r="D1127" s="2">
        <v>0</v>
      </c>
      <c r="E1127" s="3">
        <v>16</v>
      </c>
      <c r="F1127" t="s">
        <v>12</v>
      </c>
      <c r="G1127" t="s">
        <v>12</v>
      </c>
      <c r="H1127" s="1"/>
      <c r="I1127" s="1">
        <v>221.149355572404</v>
      </c>
      <c r="J1127" s="1">
        <v>5.9681576952236597</v>
      </c>
      <c r="K1127" s="1"/>
      <c r="L1127" s="1"/>
      <c r="M1127" s="1"/>
      <c r="N1127" s="1"/>
      <c r="O1127" s="1"/>
      <c r="P1127" s="1"/>
      <c r="Q1127" s="1"/>
      <c r="R1127" s="1">
        <v>243</v>
      </c>
      <c r="S1127" t="s">
        <v>12</v>
      </c>
    </row>
    <row r="1128" spans="1:19" x14ac:dyDescent="0.55000000000000004">
      <c r="A1128" t="s">
        <v>27</v>
      </c>
      <c r="B1128">
        <v>1966</v>
      </c>
      <c r="C1128">
        <v>4</v>
      </c>
      <c r="D1128" s="2">
        <v>0</v>
      </c>
      <c r="E1128" s="3">
        <v>4</v>
      </c>
      <c r="F1128" t="s">
        <v>12</v>
      </c>
      <c r="G1128" t="s">
        <v>12</v>
      </c>
      <c r="H1128" s="1"/>
      <c r="I1128" s="1">
        <v>20.766984126984099</v>
      </c>
      <c r="J1128" s="1">
        <v>0.66666666666666696</v>
      </c>
      <c r="K1128" s="1"/>
      <c r="L1128" s="1"/>
      <c r="M1128" s="1"/>
      <c r="N1128" s="1"/>
      <c r="O1128" s="1"/>
      <c r="P1128" s="1"/>
      <c r="Q1128" s="1"/>
      <c r="R1128" s="1">
        <v>25</v>
      </c>
      <c r="S1128" t="s">
        <v>12</v>
      </c>
    </row>
    <row r="1129" spans="1:19" x14ac:dyDescent="0.55000000000000004">
      <c r="A1129" t="s">
        <v>27</v>
      </c>
      <c r="B1129">
        <v>1965</v>
      </c>
      <c r="C1129">
        <v>104</v>
      </c>
      <c r="D1129" s="2">
        <v>0</v>
      </c>
      <c r="E1129" s="3">
        <v>104</v>
      </c>
      <c r="F1129" t="s">
        <v>12</v>
      </c>
      <c r="G1129" t="s">
        <v>12</v>
      </c>
      <c r="H1129" s="1"/>
      <c r="I1129" s="1">
        <v>255.08442330558901</v>
      </c>
      <c r="J1129" s="1">
        <v>22.552913198573201</v>
      </c>
      <c r="K1129" s="1"/>
      <c r="L1129" s="1"/>
      <c r="M1129" s="1"/>
      <c r="N1129" s="1"/>
      <c r="O1129" s="1"/>
      <c r="P1129" s="1"/>
      <c r="Q1129" s="1"/>
      <c r="R1129" s="1">
        <v>382</v>
      </c>
      <c r="S1129" t="s">
        <v>12</v>
      </c>
    </row>
    <row r="1130" spans="1:19" x14ac:dyDescent="0.55000000000000004">
      <c r="A1130" t="s">
        <v>27</v>
      </c>
      <c r="B1130">
        <v>1964</v>
      </c>
      <c r="C1130">
        <v>85</v>
      </c>
      <c r="D1130" s="2">
        <v>0</v>
      </c>
      <c r="E1130" s="3">
        <v>85</v>
      </c>
      <c r="F1130" t="s">
        <v>12</v>
      </c>
      <c r="G1130" t="s">
        <v>12</v>
      </c>
      <c r="H1130" s="1"/>
      <c r="I1130" s="1">
        <v>185.055409466566</v>
      </c>
      <c r="J1130" s="1">
        <v>28.977272727272702</v>
      </c>
      <c r="K1130" s="1"/>
      <c r="L1130" s="1"/>
      <c r="M1130" s="1"/>
      <c r="N1130" s="1"/>
      <c r="O1130" s="1"/>
      <c r="P1130" s="1"/>
      <c r="Q1130" s="1"/>
      <c r="R1130" s="1">
        <v>299</v>
      </c>
      <c r="S1130" t="s">
        <v>11</v>
      </c>
    </row>
    <row r="1131" spans="1:19" x14ac:dyDescent="0.55000000000000004">
      <c r="A1131" t="s">
        <v>27</v>
      </c>
      <c r="B1131">
        <v>1963</v>
      </c>
      <c r="C1131">
        <v>92</v>
      </c>
      <c r="D1131" s="2">
        <v>0</v>
      </c>
      <c r="E1131" s="3">
        <v>92</v>
      </c>
      <c r="F1131" t="s">
        <v>12</v>
      </c>
      <c r="G1131" t="s">
        <v>12</v>
      </c>
      <c r="H1131" s="1"/>
      <c r="I1131" s="1">
        <v>123.95048390727</v>
      </c>
      <c r="J1131" s="1">
        <v>12.0099032185461</v>
      </c>
      <c r="K1131" s="1"/>
      <c r="L1131" s="1"/>
      <c r="M1131" s="1"/>
      <c r="N1131" s="1"/>
      <c r="O1131" s="1"/>
      <c r="P1131" s="1"/>
      <c r="Q1131" s="1"/>
      <c r="R1131" s="1">
        <v>228</v>
      </c>
      <c r="S1131" t="s">
        <v>12</v>
      </c>
    </row>
    <row r="1132" spans="1:19" x14ac:dyDescent="0.55000000000000004">
      <c r="A1132" t="s">
        <v>27</v>
      </c>
      <c r="B1132">
        <v>1962</v>
      </c>
      <c r="C1132">
        <v>14</v>
      </c>
      <c r="D1132" s="2">
        <v>0</v>
      </c>
      <c r="E1132" s="3">
        <v>14</v>
      </c>
      <c r="F1132" t="s">
        <v>12</v>
      </c>
      <c r="G1132" t="s">
        <v>12</v>
      </c>
      <c r="H1132" s="1"/>
      <c r="I1132" s="1">
        <v>29.705325903848699</v>
      </c>
      <c r="J1132" s="1">
        <v>1.5347933134637799</v>
      </c>
      <c r="K1132" s="1"/>
      <c r="L1132" s="1"/>
      <c r="M1132" s="1"/>
      <c r="N1132" s="1"/>
      <c r="O1132" s="1"/>
      <c r="P1132" s="1"/>
      <c r="Q1132" s="1"/>
      <c r="R1132" s="1">
        <v>45</v>
      </c>
      <c r="S1132" t="s">
        <v>12</v>
      </c>
    </row>
    <row r="1133" spans="1:19" x14ac:dyDescent="0.55000000000000004">
      <c r="A1133" t="s">
        <v>27</v>
      </c>
      <c r="B1133">
        <v>1961</v>
      </c>
      <c r="C1133">
        <v>335</v>
      </c>
      <c r="D1133" s="2">
        <v>0</v>
      </c>
      <c r="E1133" s="3">
        <v>335</v>
      </c>
      <c r="F1133" t="s">
        <v>12</v>
      </c>
      <c r="G1133" t="s">
        <v>12</v>
      </c>
      <c r="H1133" s="1"/>
      <c r="I1133" s="1">
        <v>743.29856252385196</v>
      </c>
      <c r="J1133" s="1">
        <v>50.200992240173001</v>
      </c>
      <c r="K1133" s="1"/>
      <c r="L1133" s="1"/>
      <c r="M1133" s="1"/>
      <c r="N1133" s="1"/>
      <c r="O1133" s="1"/>
      <c r="P1133" s="1"/>
      <c r="Q1133" s="1"/>
      <c r="R1133" s="1">
        <v>1128</v>
      </c>
      <c r="S1133" t="s">
        <v>12</v>
      </c>
    </row>
    <row r="1134" spans="1:19" x14ac:dyDescent="0.55000000000000004">
      <c r="A1134" t="s">
        <v>27</v>
      </c>
      <c r="B1134">
        <v>1960</v>
      </c>
      <c r="C1134">
        <v>23</v>
      </c>
      <c r="D1134" s="2">
        <v>0</v>
      </c>
      <c r="E1134" s="3">
        <v>23</v>
      </c>
      <c r="F1134" t="s">
        <v>12</v>
      </c>
      <c r="G1134" t="s">
        <v>12</v>
      </c>
      <c r="H1134" s="1"/>
      <c r="I1134" s="1">
        <v>70.607016509433905</v>
      </c>
      <c r="J1134" s="1">
        <v>3.9293926886792399</v>
      </c>
      <c r="K1134" s="1"/>
      <c r="L1134" s="1"/>
      <c r="M1134" s="1"/>
      <c r="N1134" s="1"/>
      <c r="O1134" s="1"/>
      <c r="P1134" s="1"/>
      <c r="Q1134" s="1"/>
      <c r="R1134" s="1">
        <v>98</v>
      </c>
      <c r="S1134" t="s">
        <v>11</v>
      </c>
    </row>
    <row r="1135" spans="1:19" x14ac:dyDescent="0.55000000000000004">
      <c r="A1135" t="s">
        <v>27</v>
      </c>
      <c r="B1135">
        <v>1959</v>
      </c>
      <c r="C1135">
        <v>203</v>
      </c>
      <c r="D1135" s="2">
        <v>0</v>
      </c>
      <c r="E1135" s="3">
        <v>203</v>
      </c>
      <c r="F1135" t="s">
        <v>12</v>
      </c>
      <c r="G1135" t="s">
        <v>12</v>
      </c>
      <c r="H1135" s="1"/>
      <c r="I1135" s="1">
        <v>946.39757994814204</v>
      </c>
      <c r="J1135" s="1">
        <v>16.590127724959199</v>
      </c>
      <c r="K1135" s="1"/>
      <c r="L1135" s="1"/>
      <c r="M1135" s="1"/>
      <c r="N1135" s="1"/>
      <c r="O1135" s="1"/>
      <c r="P1135" s="1"/>
      <c r="Q1135" s="1"/>
      <c r="R1135" s="1">
        <v>1166</v>
      </c>
      <c r="S1135" t="s">
        <v>12</v>
      </c>
    </row>
    <row r="1136" spans="1:19" x14ac:dyDescent="0.55000000000000004">
      <c r="A1136" t="s">
        <v>27</v>
      </c>
      <c r="B1136">
        <v>1958</v>
      </c>
      <c r="C1136">
        <v>0</v>
      </c>
      <c r="D1136" s="2">
        <v>0</v>
      </c>
      <c r="E1136" s="3">
        <v>0</v>
      </c>
      <c r="F1136" t="s">
        <v>12</v>
      </c>
      <c r="G1136" t="s">
        <v>12</v>
      </c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>
        <v>0</v>
      </c>
      <c r="S1136" t="s">
        <v>12</v>
      </c>
    </row>
    <row r="1137" spans="1:19" x14ac:dyDescent="0.55000000000000004">
      <c r="A1137" t="s">
        <v>27</v>
      </c>
      <c r="B1137">
        <v>1957</v>
      </c>
      <c r="C1137">
        <v>38</v>
      </c>
      <c r="D1137" s="2">
        <v>0</v>
      </c>
      <c r="E1137" s="3">
        <v>38</v>
      </c>
      <c r="F1137" t="s">
        <v>12</v>
      </c>
      <c r="G1137" t="s">
        <v>12</v>
      </c>
      <c r="H1137" s="1"/>
      <c r="I1137" s="1">
        <v>134.98540251481401</v>
      </c>
      <c r="J1137" s="1">
        <v>2</v>
      </c>
      <c r="K1137" s="1"/>
      <c r="L1137" s="1"/>
      <c r="M1137" s="1"/>
      <c r="N1137" s="1"/>
      <c r="O1137" s="1"/>
      <c r="P1137" s="1"/>
      <c r="Q1137" s="1"/>
      <c r="R1137" s="1">
        <v>175</v>
      </c>
      <c r="S1137" t="s">
        <v>12</v>
      </c>
    </row>
    <row r="1138" spans="1:19" x14ac:dyDescent="0.55000000000000004">
      <c r="A1138" t="s">
        <v>27</v>
      </c>
      <c r="B1138">
        <v>1956</v>
      </c>
      <c r="C1138">
        <v>2</v>
      </c>
      <c r="D1138" s="2">
        <v>0</v>
      </c>
      <c r="E1138" s="3">
        <v>2</v>
      </c>
      <c r="F1138" t="s">
        <v>12</v>
      </c>
      <c r="G1138" t="s">
        <v>12</v>
      </c>
      <c r="H1138" s="1"/>
      <c r="I1138" s="1">
        <v>9.6234096692112008</v>
      </c>
      <c r="J1138" s="1">
        <v>0.47726518420179198</v>
      </c>
      <c r="K1138" s="1"/>
      <c r="L1138" s="1"/>
      <c r="M1138" s="1"/>
      <c r="N1138" s="1"/>
      <c r="O1138" s="1"/>
      <c r="P1138" s="1"/>
      <c r="Q1138" s="1"/>
      <c r="R1138" s="1">
        <v>12</v>
      </c>
      <c r="S1138" t="s">
        <v>12</v>
      </c>
    </row>
    <row r="1139" spans="1:19" x14ac:dyDescent="0.55000000000000004">
      <c r="A1139" t="s">
        <v>27</v>
      </c>
      <c r="B1139">
        <v>1955</v>
      </c>
      <c r="C1139">
        <v>97</v>
      </c>
      <c r="D1139" s="2">
        <v>0</v>
      </c>
      <c r="E1139" s="3">
        <v>97</v>
      </c>
      <c r="F1139" t="s">
        <v>12</v>
      </c>
      <c r="G1139" t="s">
        <v>12</v>
      </c>
      <c r="H1139" s="1"/>
      <c r="I1139" s="1">
        <v>490</v>
      </c>
      <c r="J1139" s="1">
        <v>24.2406334492082</v>
      </c>
      <c r="K1139" s="1"/>
      <c r="L1139" s="1"/>
      <c r="M1139" s="1"/>
      <c r="N1139" s="1"/>
      <c r="O1139" s="1"/>
      <c r="P1139" s="1"/>
      <c r="Q1139" s="1"/>
      <c r="R1139" s="1">
        <v>611</v>
      </c>
      <c r="S1139" t="s">
        <v>11</v>
      </c>
    </row>
    <row r="1140" spans="1:19" x14ac:dyDescent="0.55000000000000004">
      <c r="A1140" t="s">
        <v>27</v>
      </c>
      <c r="B1140">
        <v>1954</v>
      </c>
      <c r="C1140">
        <v>0</v>
      </c>
      <c r="D1140" s="2">
        <v>0</v>
      </c>
      <c r="E1140" s="3">
        <v>0</v>
      </c>
      <c r="F1140" t="s">
        <v>12</v>
      </c>
      <c r="G1140" t="s">
        <v>12</v>
      </c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>
        <v>0</v>
      </c>
      <c r="S1140" t="s">
        <v>12</v>
      </c>
    </row>
    <row r="1141" spans="1:19" x14ac:dyDescent="0.55000000000000004">
      <c r="A1141" t="s">
        <v>27</v>
      </c>
      <c r="B1141">
        <v>1953</v>
      </c>
      <c r="C1141">
        <v>0</v>
      </c>
      <c r="D1141" s="2">
        <v>0</v>
      </c>
      <c r="E1141" s="3">
        <v>0</v>
      </c>
      <c r="F1141" t="s">
        <v>12</v>
      </c>
      <c r="G1141" t="s">
        <v>12</v>
      </c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>
        <v>0</v>
      </c>
      <c r="S1141" t="s">
        <v>12</v>
      </c>
    </row>
    <row r="1142" spans="1:19" x14ac:dyDescent="0.55000000000000004">
      <c r="A1142" t="s">
        <v>27</v>
      </c>
      <c r="B1142">
        <v>1952</v>
      </c>
      <c r="C1142">
        <v>0</v>
      </c>
      <c r="D1142" s="2">
        <v>0</v>
      </c>
      <c r="E1142" s="3">
        <v>0</v>
      </c>
      <c r="F1142" t="s">
        <v>12</v>
      </c>
      <c r="G1142" t="s">
        <v>12</v>
      </c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>
        <v>0</v>
      </c>
      <c r="S1142" t="s">
        <v>12</v>
      </c>
    </row>
    <row r="1143" spans="1:19" x14ac:dyDescent="0.55000000000000004">
      <c r="A1143" t="s">
        <v>28</v>
      </c>
      <c r="B1143">
        <v>2023</v>
      </c>
      <c r="C1143">
        <v>3438</v>
      </c>
      <c r="D1143" s="2">
        <v>27</v>
      </c>
      <c r="E1143" s="3">
        <v>3465</v>
      </c>
      <c r="F1143" t="s">
        <v>12</v>
      </c>
      <c r="G1143" t="s">
        <v>12</v>
      </c>
      <c r="H1143" s="1">
        <v>2.3514756223681799</v>
      </c>
      <c r="I1143" s="1">
        <v>52.5839875541553</v>
      </c>
      <c r="J1143" s="1">
        <v>8.0578328593006692</v>
      </c>
      <c r="K1143" s="1"/>
      <c r="L1143" s="1">
        <v>1033</v>
      </c>
      <c r="M1143" s="1">
        <v>693</v>
      </c>
      <c r="N1143" s="1"/>
      <c r="O1143" s="1">
        <v>8</v>
      </c>
      <c r="P1143" s="1">
        <v>5</v>
      </c>
      <c r="Q1143" s="1">
        <v>1028.42412430883</v>
      </c>
      <c r="R1143" s="1">
        <v>5267</v>
      </c>
      <c r="S1143" t="s">
        <v>11</v>
      </c>
    </row>
    <row r="1144" spans="1:19" x14ac:dyDescent="0.55000000000000004">
      <c r="A1144" t="s">
        <v>28</v>
      </c>
      <c r="B1144">
        <v>2022</v>
      </c>
      <c r="C1144">
        <v>18367</v>
      </c>
      <c r="D1144" s="2">
        <v>0</v>
      </c>
      <c r="E1144" s="3">
        <v>18367</v>
      </c>
      <c r="F1144" t="s">
        <v>12</v>
      </c>
      <c r="G1144" t="s">
        <v>12</v>
      </c>
      <c r="H1144" s="1">
        <v>2063.0706282849201</v>
      </c>
      <c r="I1144" s="1">
        <v>18814.2110863692</v>
      </c>
      <c r="J1144" s="1">
        <v>1041.4089776365599</v>
      </c>
      <c r="K1144" s="1"/>
      <c r="L1144" s="1">
        <v>4592</v>
      </c>
      <c r="M1144" s="1"/>
      <c r="N1144" s="1"/>
      <c r="O1144" s="1"/>
      <c r="P1144" s="1"/>
      <c r="Q1144" s="1">
        <v>-15556.056309411701</v>
      </c>
      <c r="R1144" s="1">
        <v>44878</v>
      </c>
      <c r="S1144" t="s">
        <v>11</v>
      </c>
    </row>
    <row r="1145" spans="1:19" x14ac:dyDescent="0.55000000000000004">
      <c r="A1145" t="s">
        <v>28</v>
      </c>
      <c r="B1145">
        <v>2021</v>
      </c>
      <c r="C1145">
        <v>2887</v>
      </c>
      <c r="D1145" s="2">
        <v>15</v>
      </c>
      <c r="E1145" s="3">
        <v>2902</v>
      </c>
      <c r="F1145" t="s">
        <v>12</v>
      </c>
      <c r="G1145" t="s">
        <v>12</v>
      </c>
      <c r="H1145" s="1">
        <v>223.104840963681</v>
      </c>
      <c r="I1145" s="1">
        <v>31.346404845731001</v>
      </c>
      <c r="J1145" s="1">
        <v>21.0235906015909</v>
      </c>
      <c r="K1145" s="1"/>
      <c r="L1145" s="1">
        <v>722</v>
      </c>
      <c r="M1145" s="1"/>
      <c r="N1145" s="1"/>
      <c r="O1145" s="1">
        <v>4</v>
      </c>
      <c r="P1145" s="1"/>
      <c r="Q1145" s="1">
        <v>-2623.2021591620301</v>
      </c>
      <c r="R1145" s="1">
        <v>3903</v>
      </c>
      <c r="S1145" t="s">
        <v>11</v>
      </c>
    </row>
    <row r="1146" spans="1:19" x14ac:dyDescent="0.55000000000000004">
      <c r="A1146" t="s">
        <v>28</v>
      </c>
      <c r="B1146">
        <v>2020</v>
      </c>
      <c r="C1146">
        <v>20</v>
      </c>
      <c r="D1146" s="2">
        <v>0</v>
      </c>
      <c r="E1146" s="3">
        <v>20</v>
      </c>
      <c r="F1146" t="s">
        <v>12</v>
      </c>
      <c r="G1146" t="s">
        <v>12</v>
      </c>
      <c r="H1146" s="1">
        <v>1.9752642747495099</v>
      </c>
      <c r="I1146" s="1">
        <v>3.0909140380456401</v>
      </c>
      <c r="J1146" s="1">
        <v>0.27816567577541601</v>
      </c>
      <c r="K1146" s="1"/>
      <c r="L1146" s="1">
        <v>20</v>
      </c>
      <c r="M1146" s="1"/>
      <c r="N1146" s="1"/>
      <c r="O1146" s="1"/>
      <c r="P1146" s="1"/>
      <c r="Q1146" s="1">
        <v>-6.0136629395935</v>
      </c>
      <c r="R1146" s="1">
        <v>45</v>
      </c>
      <c r="S1146" t="s">
        <v>11</v>
      </c>
    </row>
    <row r="1147" spans="1:19" x14ac:dyDescent="0.55000000000000004">
      <c r="A1147" t="s">
        <v>28</v>
      </c>
      <c r="B1147">
        <v>2019</v>
      </c>
      <c r="C1147">
        <v>520</v>
      </c>
      <c r="D1147" s="2">
        <v>0</v>
      </c>
      <c r="E1147" s="3">
        <v>520</v>
      </c>
      <c r="F1147" t="s">
        <v>12</v>
      </c>
      <c r="G1147" t="s">
        <v>12</v>
      </c>
      <c r="H1147" s="1">
        <v>39.919540643534397</v>
      </c>
      <c r="I1147" s="1">
        <v>13.4259733502457</v>
      </c>
      <c r="J1147" s="1">
        <v>1.51395459408791</v>
      </c>
      <c r="K1147" s="1"/>
      <c r="L1147" s="1">
        <v>279.84732824427499</v>
      </c>
      <c r="M1147" s="1"/>
      <c r="N1147" s="1"/>
      <c r="O1147" s="1"/>
      <c r="P1147" s="1"/>
      <c r="Q1147" s="1">
        <v>-254.273516536497</v>
      </c>
      <c r="R1147" s="1">
        <v>855</v>
      </c>
      <c r="S1147" t="s">
        <v>11</v>
      </c>
    </row>
    <row r="1148" spans="1:19" x14ac:dyDescent="0.55000000000000004">
      <c r="A1148" t="s">
        <v>28</v>
      </c>
      <c r="B1148">
        <v>2018</v>
      </c>
      <c r="C1148">
        <v>35548</v>
      </c>
      <c r="D1148" s="2">
        <v>0</v>
      </c>
      <c r="E1148" s="3">
        <v>35548</v>
      </c>
      <c r="F1148" t="s">
        <v>12</v>
      </c>
      <c r="G1148" t="s">
        <v>12</v>
      </c>
      <c r="H1148" s="1">
        <v>55.229639573409997</v>
      </c>
      <c r="I1148" s="1">
        <v>78968.926946099498</v>
      </c>
      <c r="J1148" s="1">
        <v>5994.7529773168799</v>
      </c>
      <c r="K1148" s="1"/>
      <c r="L1148" s="1">
        <v>6273</v>
      </c>
      <c r="M1148" s="1"/>
      <c r="N1148" s="1">
        <v>-33407</v>
      </c>
      <c r="O1148" s="1"/>
      <c r="P1148" s="1"/>
      <c r="Q1148" s="1">
        <v>-61410.067032305997</v>
      </c>
      <c r="R1148" s="1">
        <v>93433</v>
      </c>
      <c r="S1148" t="s">
        <v>11</v>
      </c>
    </row>
    <row r="1149" spans="1:19" x14ac:dyDescent="0.55000000000000004">
      <c r="A1149" t="s">
        <v>28</v>
      </c>
      <c r="B1149">
        <v>2017</v>
      </c>
      <c r="C1149">
        <v>1198</v>
      </c>
      <c r="D1149" s="2">
        <v>67</v>
      </c>
      <c r="E1149" s="3">
        <v>1265</v>
      </c>
      <c r="F1149" t="s">
        <v>12</v>
      </c>
      <c r="G1149" t="s">
        <v>12</v>
      </c>
      <c r="H1149" s="1">
        <v>52.027684292628997</v>
      </c>
      <c r="I1149" s="1">
        <v>281.43228206224501</v>
      </c>
      <c r="J1149" s="1">
        <v>136.320699910982</v>
      </c>
      <c r="K1149" s="1"/>
      <c r="L1149" s="1">
        <v>399</v>
      </c>
      <c r="M1149" s="1"/>
      <c r="N1149" s="1">
        <v>-250</v>
      </c>
      <c r="O1149" s="1">
        <v>22</v>
      </c>
      <c r="P1149" s="1"/>
      <c r="Q1149" s="1">
        <v>-5154.6228810057</v>
      </c>
      <c r="R1149" s="1">
        <v>1906</v>
      </c>
      <c r="S1149" t="s">
        <v>11</v>
      </c>
    </row>
    <row r="1150" spans="1:19" x14ac:dyDescent="0.55000000000000004">
      <c r="A1150" t="s">
        <v>28</v>
      </c>
      <c r="B1150">
        <v>2016</v>
      </c>
      <c r="C1150">
        <v>41</v>
      </c>
      <c r="D1150" s="2">
        <v>0</v>
      </c>
      <c r="E1150" s="3">
        <v>41</v>
      </c>
      <c r="F1150" t="s">
        <v>12</v>
      </c>
      <c r="G1150" t="s">
        <v>12</v>
      </c>
      <c r="H1150" s="1">
        <v>555.94001178009</v>
      </c>
      <c r="I1150" s="1">
        <v>5.3078425135059897</v>
      </c>
      <c r="J1150" s="1">
        <v>0.39010777104064898</v>
      </c>
      <c r="K1150" s="1"/>
      <c r="L1150" s="1">
        <v>34</v>
      </c>
      <c r="M1150" s="1"/>
      <c r="N1150" s="1">
        <v>-414</v>
      </c>
      <c r="O1150" s="1"/>
      <c r="P1150" s="1"/>
      <c r="Q1150" s="1">
        <v>-185.93213216765599</v>
      </c>
      <c r="R1150" s="1">
        <v>223</v>
      </c>
      <c r="S1150" t="s">
        <v>11</v>
      </c>
    </row>
    <row r="1151" spans="1:19" x14ac:dyDescent="0.55000000000000004">
      <c r="A1151" t="s">
        <v>28</v>
      </c>
      <c r="B1151">
        <v>2015</v>
      </c>
      <c r="C1151">
        <v>36</v>
      </c>
      <c r="D1151" s="2">
        <v>0</v>
      </c>
      <c r="E1151" s="3">
        <v>36</v>
      </c>
      <c r="F1151" t="s">
        <v>12</v>
      </c>
      <c r="G1151" t="s">
        <v>12</v>
      </c>
      <c r="H1151" s="1">
        <v>22.48922440646</v>
      </c>
      <c r="I1151" s="1">
        <v>432.30060531370202</v>
      </c>
      <c r="J1151" s="1">
        <v>13.522248991318101</v>
      </c>
      <c r="K1151" s="1"/>
      <c r="L1151" s="1">
        <v>29</v>
      </c>
      <c r="M1151" s="1"/>
      <c r="N1151" s="1">
        <v>-451</v>
      </c>
      <c r="O1151" s="1"/>
      <c r="P1151" s="1"/>
      <c r="Q1151" s="1">
        <v>-6220.1243910345702</v>
      </c>
      <c r="R1151" s="1">
        <v>82</v>
      </c>
      <c r="S1151" t="s">
        <v>11</v>
      </c>
    </row>
    <row r="1152" spans="1:19" x14ac:dyDescent="0.55000000000000004">
      <c r="A1152" t="s">
        <v>28</v>
      </c>
      <c r="B1152">
        <v>2014</v>
      </c>
      <c r="C1152">
        <v>24275</v>
      </c>
      <c r="D1152" s="2">
        <v>0</v>
      </c>
      <c r="E1152" s="3">
        <v>24275</v>
      </c>
      <c r="F1152" t="s">
        <v>12</v>
      </c>
      <c r="G1152" t="s">
        <v>12</v>
      </c>
      <c r="H1152" s="1">
        <v>1010.30588344739</v>
      </c>
      <c r="I1152" s="1">
        <v>93570.068982901706</v>
      </c>
      <c r="J1152" s="1">
        <v>4002.4369216846599</v>
      </c>
      <c r="K1152" s="1"/>
      <c r="L1152" s="1">
        <v>6068.9993016472899</v>
      </c>
      <c r="M1152" s="1"/>
      <c r="N1152" s="1">
        <v>-45205.369099946598</v>
      </c>
      <c r="O1152" s="1"/>
      <c r="P1152" s="1"/>
      <c r="Q1152" s="1">
        <v>-64836.804062691503</v>
      </c>
      <c r="R1152" s="1">
        <v>83721</v>
      </c>
      <c r="S1152" t="s">
        <v>11</v>
      </c>
    </row>
    <row r="1153" spans="1:19" x14ac:dyDescent="0.55000000000000004">
      <c r="A1153" t="s">
        <v>28</v>
      </c>
      <c r="B1153">
        <v>2013</v>
      </c>
      <c r="C1153">
        <v>7327</v>
      </c>
      <c r="D1153" s="2">
        <v>182</v>
      </c>
      <c r="E1153" s="3">
        <v>7509</v>
      </c>
      <c r="F1153" t="s">
        <v>12</v>
      </c>
      <c r="G1153" t="s">
        <v>12</v>
      </c>
      <c r="H1153" s="1">
        <v>264.063059603027</v>
      </c>
      <c r="I1153" s="1">
        <v>1435.1670009250099</v>
      </c>
      <c r="J1153" s="1">
        <v>249.908701264901</v>
      </c>
      <c r="K1153" s="1"/>
      <c r="L1153" s="1">
        <v>3945.5376768226301</v>
      </c>
      <c r="M1153" s="1"/>
      <c r="N1153" s="1">
        <v>-749.44287268770404</v>
      </c>
      <c r="O1153" s="1">
        <v>97.666757344940194</v>
      </c>
      <c r="P1153" s="1"/>
      <c r="Q1153" s="1">
        <v>-24863.7982934557</v>
      </c>
      <c r="R1153" s="1">
        <v>12752</v>
      </c>
      <c r="S1153" t="s">
        <v>11</v>
      </c>
    </row>
    <row r="1154" spans="1:19" x14ac:dyDescent="0.55000000000000004">
      <c r="A1154" t="s">
        <v>28</v>
      </c>
      <c r="B1154">
        <v>2012</v>
      </c>
      <c r="C1154">
        <v>25</v>
      </c>
      <c r="D1154" s="2">
        <v>0</v>
      </c>
      <c r="E1154" s="3">
        <v>25</v>
      </c>
      <c r="F1154" t="s">
        <v>12</v>
      </c>
      <c r="G1154" t="s">
        <v>12</v>
      </c>
      <c r="H1154" s="1">
        <v>5.5611837908690003</v>
      </c>
      <c r="I1154" s="1">
        <v>250.064268389592</v>
      </c>
      <c r="J1154" s="1">
        <v>265.373269993375</v>
      </c>
      <c r="K1154" s="1">
        <v>-438</v>
      </c>
      <c r="L1154" s="1">
        <v>94</v>
      </c>
      <c r="M1154" s="1"/>
      <c r="N1154" s="1"/>
      <c r="O1154" s="1"/>
      <c r="P1154" s="1"/>
      <c r="Q1154" s="1">
        <v>-859.33456151930204</v>
      </c>
      <c r="R1154" s="1">
        <v>202</v>
      </c>
      <c r="S1154" t="s">
        <v>11</v>
      </c>
    </row>
    <row r="1155" spans="1:19" x14ac:dyDescent="0.55000000000000004">
      <c r="A1155" t="s">
        <v>28</v>
      </c>
      <c r="B1155">
        <v>2011</v>
      </c>
      <c r="C1155">
        <v>1114</v>
      </c>
      <c r="D1155" s="2">
        <v>0</v>
      </c>
      <c r="E1155" s="3">
        <v>1114</v>
      </c>
      <c r="F1155" t="s">
        <v>12</v>
      </c>
      <c r="G1155" t="s">
        <v>12</v>
      </c>
      <c r="H1155" s="1">
        <v>106.388124072284</v>
      </c>
      <c r="I1155" s="1">
        <v>5232.0511889127602</v>
      </c>
      <c r="J1155" s="1">
        <v>1736.9958741980799</v>
      </c>
      <c r="K1155" s="1"/>
      <c r="L1155" s="1">
        <v>897</v>
      </c>
      <c r="M1155" s="1">
        <v>707</v>
      </c>
      <c r="N1155" s="1">
        <v>-5517</v>
      </c>
      <c r="O1155" s="1"/>
      <c r="P1155" s="1"/>
      <c r="Q1155" s="1">
        <v>-23733.796484463899</v>
      </c>
      <c r="R1155" s="1">
        <v>4276</v>
      </c>
      <c r="S1155" t="s">
        <v>11</v>
      </c>
    </row>
    <row r="1156" spans="1:19" x14ac:dyDescent="0.55000000000000004">
      <c r="A1156" t="s">
        <v>28</v>
      </c>
      <c r="B1156">
        <v>2010</v>
      </c>
      <c r="C1156">
        <v>57870</v>
      </c>
      <c r="D1156" s="2">
        <v>0</v>
      </c>
      <c r="E1156" s="3">
        <v>57870</v>
      </c>
      <c r="F1156" t="s">
        <v>12</v>
      </c>
      <c r="G1156" t="s">
        <v>12</v>
      </c>
      <c r="H1156" s="1">
        <v>0</v>
      </c>
      <c r="I1156" s="1">
        <v>270081.72970019199</v>
      </c>
      <c r="J1156" s="1"/>
      <c r="K1156" s="1"/>
      <c r="L1156" s="1">
        <v>5686</v>
      </c>
      <c r="M1156" s="1">
        <v>17675</v>
      </c>
      <c r="N1156" s="1">
        <v>-187098</v>
      </c>
      <c r="O1156" s="1"/>
      <c r="P1156" s="1"/>
      <c r="Q1156" s="1">
        <v>-121665.584943972</v>
      </c>
      <c r="R1156" s="1">
        <v>164215</v>
      </c>
      <c r="S1156" t="s">
        <v>11</v>
      </c>
    </row>
    <row r="1157" spans="1:19" x14ac:dyDescent="0.55000000000000004">
      <c r="A1157" t="s">
        <v>28</v>
      </c>
      <c r="B1157">
        <v>2009</v>
      </c>
      <c r="C1157">
        <v>1773</v>
      </c>
      <c r="D1157" s="2">
        <v>63</v>
      </c>
      <c r="E1157" s="3">
        <v>1836</v>
      </c>
      <c r="F1157" t="s">
        <v>12</v>
      </c>
      <c r="G1157" t="s">
        <v>12</v>
      </c>
      <c r="H1157" s="1">
        <v>589.28518415500503</v>
      </c>
      <c r="I1157" s="1">
        <v>322.02038879834799</v>
      </c>
      <c r="J1157" s="1">
        <v>31.159848180005898</v>
      </c>
      <c r="K1157" s="1"/>
      <c r="L1157" s="1">
        <v>760</v>
      </c>
      <c r="M1157" s="1"/>
      <c r="N1157" s="1">
        <v>-738</v>
      </c>
      <c r="O1157" s="1">
        <v>27</v>
      </c>
      <c r="P1157" s="1"/>
      <c r="Q1157" s="1">
        <v>-4895.8861238140698</v>
      </c>
      <c r="R1157" s="1">
        <v>2827</v>
      </c>
      <c r="S1157" t="s">
        <v>11</v>
      </c>
    </row>
    <row r="1158" spans="1:19" x14ac:dyDescent="0.55000000000000004">
      <c r="A1158" t="s">
        <v>28</v>
      </c>
      <c r="B1158">
        <v>2008</v>
      </c>
      <c r="C1158">
        <v>97</v>
      </c>
      <c r="D1158" s="2">
        <v>0</v>
      </c>
      <c r="E1158" s="3">
        <v>97</v>
      </c>
      <c r="F1158" t="s">
        <v>12</v>
      </c>
      <c r="G1158" t="s">
        <v>12</v>
      </c>
      <c r="H1158" s="1">
        <v>3.6434760686190999</v>
      </c>
      <c r="I1158" s="1">
        <v>378.138463770351</v>
      </c>
      <c r="J1158" s="1">
        <v>467.434086445579</v>
      </c>
      <c r="K1158" s="1"/>
      <c r="L1158" s="1"/>
      <c r="M1158" s="1"/>
      <c r="N1158" s="1"/>
      <c r="O1158" s="1"/>
      <c r="P1158" s="1"/>
      <c r="Q1158" s="1">
        <v>-2001.4581261825299</v>
      </c>
      <c r="R1158" s="1">
        <v>2948</v>
      </c>
      <c r="S1158" t="s">
        <v>9</v>
      </c>
    </row>
    <row r="1159" spans="1:19" x14ac:dyDescent="0.55000000000000004">
      <c r="A1159" t="s">
        <v>28</v>
      </c>
      <c r="B1159">
        <v>2007</v>
      </c>
      <c r="C1159">
        <v>1699</v>
      </c>
      <c r="D1159" s="2">
        <v>0</v>
      </c>
      <c r="E1159" s="3">
        <v>1699</v>
      </c>
      <c r="F1159" t="s">
        <v>12</v>
      </c>
      <c r="G1159" t="s">
        <v>12</v>
      </c>
      <c r="H1159" s="1">
        <v>423.71224175539999</v>
      </c>
      <c r="I1159" s="1">
        <v>1425.7188069255501</v>
      </c>
      <c r="J1159" s="1">
        <v>1264.2605246217199</v>
      </c>
      <c r="K1159" s="1"/>
      <c r="L1159" s="1"/>
      <c r="M1159" s="1"/>
      <c r="N1159" s="1"/>
      <c r="O1159" s="1"/>
      <c r="P1159" s="1"/>
      <c r="Q1159" s="1">
        <v>-15245.144762325999</v>
      </c>
      <c r="R1159" s="1">
        <v>20058</v>
      </c>
      <c r="S1159" t="s">
        <v>9</v>
      </c>
    </row>
    <row r="1160" spans="1:19" x14ac:dyDescent="0.55000000000000004">
      <c r="A1160" t="s">
        <v>28</v>
      </c>
      <c r="B1160">
        <v>2006</v>
      </c>
      <c r="C1160">
        <v>18882</v>
      </c>
      <c r="D1160" s="2">
        <v>0</v>
      </c>
      <c r="E1160" s="3">
        <v>18882</v>
      </c>
      <c r="F1160" t="s">
        <v>12</v>
      </c>
      <c r="G1160" t="s">
        <v>12</v>
      </c>
      <c r="H1160" s="1">
        <v>388.53222506916097</v>
      </c>
      <c r="I1160" s="1">
        <v>36692.712137485098</v>
      </c>
      <c r="J1160" s="1">
        <v>5746.7136638635902</v>
      </c>
      <c r="K1160" s="1"/>
      <c r="L1160" s="1"/>
      <c r="M1160" s="1"/>
      <c r="N1160" s="1"/>
      <c r="O1160" s="1"/>
      <c r="P1160" s="1"/>
      <c r="Q1160" s="1">
        <v>-120270.900553853</v>
      </c>
      <c r="R1160" s="1">
        <v>181981</v>
      </c>
      <c r="S1160" t="s">
        <v>9</v>
      </c>
    </row>
    <row r="1161" spans="1:19" x14ac:dyDescent="0.55000000000000004">
      <c r="A1161" t="s">
        <v>28</v>
      </c>
      <c r="B1161">
        <v>2005</v>
      </c>
      <c r="C1161">
        <v>12082</v>
      </c>
      <c r="D1161" s="2">
        <v>8</v>
      </c>
      <c r="E1161" s="3">
        <v>12090</v>
      </c>
      <c r="F1161" t="s">
        <v>12</v>
      </c>
      <c r="G1161" t="s">
        <v>12</v>
      </c>
      <c r="H1161" s="1">
        <v>1105.19671187725</v>
      </c>
      <c r="I1161" s="1">
        <v>1270.0978914234199</v>
      </c>
      <c r="J1161" s="1">
        <v>1218.05813920676</v>
      </c>
      <c r="K1161" s="1"/>
      <c r="L1161" s="1"/>
      <c r="M1161" s="1"/>
      <c r="N1161" s="1"/>
      <c r="O1161" s="1"/>
      <c r="P1161" s="1"/>
      <c r="Q1161" s="1">
        <v>-12266.120179985999</v>
      </c>
      <c r="R1161" s="1">
        <v>27949</v>
      </c>
      <c r="S1161" t="s">
        <v>9</v>
      </c>
    </row>
    <row r="1162" spans="1:19" x14ac:dyDescent="0.55000000000000004">
      <c r="A1162" t="s">
        <v>28</v>
      </c>
      <c r="B1162">
        <v>2004</v>
      </c>
      <c r="C1162">
        <v>1287</v>
      </c>
      <c r="D1162" s="2">
        <v>25</v>
      </c>
      <c r="E1162" s="3">
        <v>1312</v>
      </c>
      <c r="F1162" t="s">
        <v>12</v>
      </c>
      <c r="G1162" t="s">
        <v>12</v>
      </c>
      <c r="H1162" s="1">
        <v>368.88828520726901</v>
      </c>
      <c r="I1162" s="1">
        <v>644.00711984145096</v>
      </c>
      <c r="J1162" s="1">
        <v>962.80043786941405</v>
      </c>
      <c r="K1162" s="1"/>
      <c r="L1162" s="1"/>
      <c r="M1162" s="1"/>
      <c r="N1162" s="1"/>
      <c r="O1162" s="1"/>
      <c r="P1162" s="1"/>
      <c r="Q1162" s="1">
        <v>-2342.1342172542199</v>
      </c>
      <c r="R1162" s="1">
        <v>5630</v>
      </c>
      <c r="S1162" t="s">
        <v>9</v>
      </c>
    </row>
    <row r="1163" spans="1:19" x14ac:dyDescent="0.55000000000000004">
      <c r="A1163" t="s">
        <v>28</v>
      </c>
      <c r="B1163">
        <v>2003</v>
      </c>
      <c r="C1163">
        <v>4940</v>
      </c>
      <c r="D1163" s="2">
        <v>86</v>
      </c>
      <c r="E1163" s="3">
        <v>5026</v>
      </c>
      <c r="F1163" t="s">
        <v>12</v>
      </c>
      <c r="G1163" t="s">
        <v>12</v>
      </c>
      <c r="H1163" s="1">
        <v>1089.0364875400101</v>
      </c>
      <c r="I1163" s="1">
        <v>13448.306636523101</v>
      </c>
      <c r="J1163" s="1">
        <v>4709.9966149219899</v>
      </c>
      <c r="K1163" s="1"/>
      <c r="L1163" s="1"/>
      <c r="M1163" s="1"/>
      <c r="N1163" s="1"/>
      <c r="O1163" s="1"/>
      <c r="P1163" s="1"/>
      <c r="Q1163" s="1">
        <v>-58613.072147314997</v>
      </c>
      <c r="R1163" s="1">
        <v>82886</v>
      </c>
      <c r="S1163" t="s">
        <v>9</v>
      </c>
    </row>
    <row r="1164" spans="1:19" x14ac:dyDescent="0.55000000000000004">
      <c r="A1164" t="s">
        <v>28</v>
      </c>
      <c r="B1164">
        <v>2002</v>
      </c>
      <c r="C1164">
        <v>14953</v>
      </c>
      <c r="D1164" s="2">
        <v>12</v>
      </c>
      <c r="E1164" s="3">
        <v>14965</v>
      </c>
      <c r="F1164" t="s">
        <v>12</v>
      </c>
      <c r="G1164" t="s">
        <v>12</v>
      </c>
      <c r="H1164" s="1">
        <v>1.14425087495255</v>
      </c>
      <c r="I1164" s="1">
        <v>4967.8106722223602</v>
      </c>
      <c r="J1164" s="1">
        <v>556.75186372220605</v>
      </c>
      <c r="K1164" s="1"/>
      <c r="L1164" s="1"/>
      <c r="M1164" s="1"/>
      <c r="N1164" s="1"/>
      <c r="O1164" s="1"/>
      <c r="P1164" s="1"/>
      <c r="Q1164" s="1">
        <v>-15561.4359372289</v>
      </c>
      <c r="R1164" s="1">
        <v>36052</v>
      </c>
      <c r="S1164" t="s">
        <v>9</v>
      </c>
    </row>
    <row r="1165" spans="1:19" x14ac:dyDescent="0.55000000000000004">
      <c r="A1165" t="s">
        <v>28</v>
      </c>
      <c r="B1165">
        <v>2001</v>
      </c>
      <c r="C1165">
        <v>3150</v>
      </c>
      <c r="D1165" s="2">
        <v>9</v>
      </c>
      <c r="E1165" s="3">
        <v>3159</v>
      </c>
      <c r="F1165" t="s">
        <v>12</v>
      </c>
      <c r="G1165" t="s">
        <v>12</v>
      </c>
      <c r="H1165" s="1">
        <v>266.89140655717699</v>
      </c>
      <c r="I1165" s="1">
        <v>3954.8549727402601</v>
      </c>
      <c r="J1165" s="1">
        <v>1015.27735594738</v>
      </c>
      <c r="K1165" s="1"/>
      <c r="L1165" s="1"/>
      <c r="M1165" s="1"/>
      <c r="N1165" s="1"/>
      <c r="O1165" s="1"/>
      <c r="P1165" s="1"/>
      <c r="Q1165" s="1">
        <v>-27610.613422247799</v>
      </c>
      <c r="R1165" s="1">
        <v>36007</v>
      </c>
      <c r="S1165" t="s">
        <v>9</v>
      </c>
    </row>
    <row r="1166" spans="1:19" x14ac:dyDescent="0.55000000000000004">
      <c r="A1166" t="s">
        <v>28</v>
      </c>
      <c r="B1166">
        <v>2000</v>
      </c>
      <c r="C1166">
        <v>1269</v>
      </c>
      <c r="D1166" s="2">
        <v>0</v>
      </c>
      <c r="E1166" s="3">
        <v>1269</v>
      </c>
      <c r="F1166" t="s">
        <v>12</v>
      </c>
      <c r="G1166" t="s">
        <v>12</v>
      </c>
      <c r="H1166" s="1">
        <v>35.944150179892901</v>
      </c>
      <c r="I1166" s="1">
        <v>36411.826924371599</v>
      </c>
      <c r="J1166" s="1">
        <v>6944.3282364135803</v>
      </c>
      <c r="K1166" s="1"/>
      <c r="L1166" s="1"/>
      <c r="M1166" s="1"/>
      <c r="N1166" s="1"/>
      <c r="O1166" s="1"/>
      <c r="P1166" s="1"/>
      <c r="Q1166" s="1">
        <v>-34486.298663478599</v>
      </c>
      <c r="R1166" s="1">
        <v>79147</v>
      </c>
      <c r="S1166" t="s">
        <v>9</v>
      </c>
    </row>
    <row r="1167" spans="1:19" x14ac:dyDescent="0.55000000000000004">
      <c r="A1167" t="s">
        <v>28</v>
      </c>
      <c r="B1167">
        <v>1999</v>
      </c>
      <c r="C1167">
        <v>6264</v>
      </c>
      <c r="D1167" s="2">
        <v>211</v>
      </c>
      <c r="E1167" s="3">
        <v>6475</v>
      </c>
      <c r="F1167" t="s">
        <v>12</v>
      </c>
      <c r="G1167" t="s">
        <v>12</v>
      </c>
      <c r="H1167" s="1">
        <v>495.83040229114101</v>
      </c>
      <c r="I1167" s="1">
        <v>3175.1024622014102</v>
      </c>
      <c r="J1167" s="1">
        <v>114.17008222619801</v>
      </c>
      <c r="K1167" s="1"/>
      <c r="L1167" s="1"/>
      <c r="M1167" s="1"/>
      <c r="N1167" s="1"/>
      <c r="O1167" s="1"/>
      <c r="P1167" s="1"/>
      <c r="Q1167" s="1">
        <v>-18710.605860657801</v>
      </c>
      <c r="R1167" s="1">
        <v>28971</v>
      </c>
      <c r="S1167" t="s">
        <v>9</v>
      </c>
    </row>
    <row r="1168" spans="1:19" x14ac:dyDescent="0.55000000000000004">
      <c r="A1168" t="s">
        <v>28</v>
      </c>
      <c r="B1168">
        <v>1998</v>
      </c>
      <c r="C1168">
        <v>25179</v>
      </c>
      <c r="D1168" s="2">
        <v>26</v>
      </c>
      <c r="E1168" s="3">
        <v>25205</v>
      </c>
      <c r="F1168" t="s">
        <v>12</v>
      </c>
      <c r="G1168" t="s">
        <v>12</v>
      </c>
      <c r="H1168" s="1">
        <v>2282.8931873102001</v>
      </c>
      <c r="I1168" s="1">
        <v>12650.993790151</v>
      </c>
      <c r="J1168" s="1">
        <v>450.06749730760799</v>
      </c>
      <c r="K1168" s="1"/>
      <c r="L1168" s="1"/>
      <c r="M1168" s="1"/>
      <c r="N1168" s="1"/>
      <c r="O1168" s="1"/>
      <c r="P1168" s="1"/>
      <c r="Q1168" s="1">
        <v>-76181.2146680101</v>
      </c>
      <c r="R1168" s="1">
        <v>116770</v>
      </c>
      <c r="S1168" t="s">
        <v>9</v>
      </c>
    </row>
    <row r="1169" spans="1:19" x14ac:dyDescent="0.55000000000000004">
      <c r="A1169" t="s">
        <v>28</v>
      </c>
      <c r="B1169">
        <v>1997</v>
      </c>
      <c r="C1169">
        <v>9766</v>
      </c>
      <c r="D1169" s="2">
        <v>8</v>
      </c>
      <c r="E1169" s="3">
        <v>9774</v>
      </c>
      <c r="F1169" t="s">
        <v>12</v>
      </c>
      <c r="G1169" t="s">
        <v>12</v>
      </c>
      <c r="H1169" s="1">
        <v>2932.0059808503802</v>
      </c>
      <c r="I1169" s="1">
        <v>157600.90158817501</v>
      </c>
      <c r="J1169" s="1">
        <v>2061.4366738407498</v>
      </c>
      <c r="K1169" s="1"/>
      <c r="L1169" s="1"/>
      <c r="M1169" s="1"/>
      <c r="N1169" s="1"/>
      <c r="O1169" s="1"/>
      <c r="P1169" s="1"/>
      <c r="Q1169" s="1">
        <v>-25858.7072223385</v>
      </c>
      <c r="R1169" s="1">
        <v>198227</v>
      </c>
      <c r="S1169" t="s">
        <v>9</v>
      </c>
    </row>
    <row r="1170" spans="1:19" x14ac:dyDescent="0.55000000000000004">
      <c r="A1170" t="s">
        <v>28</v>
      </c>
      <c r="B1170">
        <v>1996</v>
      </c>
      <c r="C1170">
        <v>3422</v>
      </c>
      <c r="D1170" s="2">
        <v>5</v>
      </c>
      <c r="E1170" s="3">
        <v>3427</v>
      </c>
      <c r="F1170" t="s">
        <v>12</v>
      </c>
      <c r="G1170" t="s">
        <v>12</v>
      </c>
      <c r="H1170" s="1">
        <v>604.85612521861299</v>
      </c>
      <c r="I1170" s="1">
        <v>9142.7777714592503</v>
      </c>
      <c r="J1170" s="1">
        <v>2264.2298578445302</v>
      </c>
      <c r="K1170" s="1"/>
      <c r="L1170" s="1"/>
      <c r="M1170" s="1"/>
      <c r="N1170" s="1"/>
      <c r="O1170" s="1"/>
      <c r="P1170" s="1"/>
      <c r="Q1170" s="1">
        <v>-10602.1024499134</v>
      </c>
      <c r="R1170" s="1">
        <v>26041</v>
      </c>
      <c r="S1170" t="s">
        <v>9</v>
      </c>
    </row>
    <row r="1171" spans="1:19" x14ac:dyDescent="0.55000000000000004">
      <c r="A1171" t="s">
        <v>28</v>
      </c>
      <c r="B1171">
        <v>1995</v>
      </c>
      <c r="C1171">
        <v>7875</v>
      </c>
      <c r="D1171" s="2">
        <v>572</v>
      </c>
      <c r="E1171" s="3">
        <v>8447</v>
      </c>
      <c r="F1171" t="s">
        <v>12</v>
      </c>
      <c r="G1171" t="s">
        <v>12</v>
      </c>
      <c r="H1171" s="1">
        <v>70.341319165444702</v>
      </c>
      <c r="I1171" s="1">
        <v>7837.6608652591804</v>
      </c>
      <c r="J1171" s="1">
        <v>977.251894258324</v>
      </c>
      <c r="K1171" s="1"/>
      <c r="L1171" s="1"/>
      <c r="M1171" s="1"/>
      <c r="N1171" s="1"/>
      <c r="O1171" s="1"/>
      <c r="P1171" s="1"/>
      <c r="Q1171" s="1">
        <v>-7749.4921237487097</v>
      </c>
      <c r="R1171" s="1">
        <v>25082</v>
      </c>
      <c r="S1171" t="s">
        <v>9</v>
      </c>
    </row>
    <row r="1172" spans="1:19" x14ac:dyDescent="0.55000000000000004">
      <c r="A1172" t="s">
        <v>28</v>
      </c>
      <c r="B1172">
        <v>1994</v>
      </c>
      <c r="C1172">
        <v>9270</v>
      </c>
      <c r="D1172" s="2">
        <v>0</v>
      </c>
      <c r="E1172" s="3">
        <v>9270</v>
      </c>
      <c r="F1172" t="s">
        <v>12</v>
      </c>
      <c r="G1172" t="s">
        <v>12</v>
      </c>
      <c r="H1172" s="1">
        <v>706.27040080845802</v>
      </c>
      <c r="I1172" s="1">
        <v>53350.6695099352</v>
      </c>
      <c r="J1172" s="1">
        <v>1481.90267230123</v>
      </c>
      <c r="K1172" s="1"/>
      <c r="L1172" s="1"/>
      <c r="M1172" s="1"/>
      <c r="N1172" s="1"/>
      <c r="O1172" s="1"/>
      <c r="P1172" s="1"/>
      <c r="Q1172" s="1">
        <v>5134.2721130872997</v>
      </c>
      <c r="R1172" s="1">
        <v>64809</v>
      </c>
      <c r="S1172" t="s">
        <v>9</v>
      </c>
    </row>
    <row r="1173" spans="1:19" x14ac:dyDescent="0.55000000000000004">
      <c r="A1173" t="s">
        <v>28</v>
      </c>
      <c r="B1173">
        <v>1993</v>
      </c>
      <c r="C1173">
        <v>19760</v>
      </c>
      <c r="D1173" s="2">
        <v>0</v>
      </c>
      <c r="E1173" s="3">
        <v>19760</v>
      </c>
      <c r="F1173" t="s">
        <v>12</v>
      </c>
      <c r="G1173" t="s">
        <v>12</v>
      </c>
      <c r="H1173" s="1">
        <v>7390.2037921088204</v>
      </c>
      <c r="I1173" s="1">
        <v>166493.35232412801</v>
      </c>
      <c r="J1173" s="1"/>
      <c r="K1173" s="1"/>
      <c r="L1173" s="1"/>
      <c r="M1173" s="1"/>
      <c r="N1173" s="1"/>
      <c r="O1173" s="1"/>
      <c r="P1173" s="1"/>
      <c r="Q1173" s="1">
        <v>-34529.348674961897</v>
      </c>
      <c r="R1173" s="1">
        <v>228173</v>
      </c>
      <c r="S1173" t="s">
        <v>9</v>
      </c>
    </row>
    <row r="1174" spans="1:19" x14ac:dyDescent="0.55000000000000004">
      <c r="A1174" t="s">
        <v>28</v>
      </c>
      <c r="B1174">
        <v>1992</v>
      </c>
      <c r="C1174">
        <v>2706</v>
      </c>
      <c r="D1174" s="2">
        <v>89</v>
      </c>
      <c r="E1174" s="3">
        <v>2795</v>
      </c>
      <c r="F1174" t="s">
        <v>12</v>
      </c>
      <c r="G1174" t="s">
        <v>12</v>
      </c>
      <c r="H1174" s="1">
        <v>447.48337167218602</v>
      </c>
      <c r="I1174" s="1">
        <v>13915.428128559701</v>
      </c>
      <c r="J1174" s="1">
        <v>39.636988918609099</v>
      </c>
      <c r="K1174" s="1"/>
      <c r="L1174" s="1"/>
      <c r="M1174" s="1"/>
      <c r="N1174" s="1"/>
      <c r="O1174" s="1"/>
      <c r="P1174" s="1"/>
      <c r="Q1174" s="1">
        <v>-756.50705113972901</v>
      </c>
      <c r="R1174" s="1">
        <v>17954</v>
      </c>
      <c r="S1174" t="s">
        <v>9</v>
      </c>
    </row>
    <row r="1175" spans="1:19" x14ac:dyDescent="0.55000000000000004">
      <c r="A1175" t="s">
        <v>28</v>
      </c>
      <c r="B1175">
        <v>1991</v>
      </c>
      <c r="C1175">
        <v>12053</v>
      </c>
      <c r="D1175" s="2">
        <v>158</v>
      </c>
      <c r="E1175" s="3">
        <v>12211</v>
      </c>
      <c r="F1175" t="s">
        <v>12</v>
      </c>
      <c r="G1175" t="s">
        <v>12</v>
      </c>
      <c r="H1175" s="1">
        <v>708.33908904044301</v>
      </c>
      <c r="I1175" s="1">
        <v>31672.132002605402</v>
      </c>
      <c r="J1175" s="1">
        <v>678.94715604946805</v>
      </c>
      <c r="K1175" s="1"/>
      <c r="L1175" s="1"/>
      <c r="M1175" s="1"/>
      <c r="N1175" s="1"/>
      <c r="O1175" s="1"/>
      <c r="P1175" s="1"/>
      <c r="Q1175" s="1">
        <v>-10455.8112516608</v>
      </c>
      <c r="R1175" s="1">
        <v>55726</v>
      </c>
      <c r="S1175" t="s">
        <v>9</v>
      </c>
    </row>
    <row r="1176" spans="1:19" x14ac:dyDescent="0.55000000000000004">
      <c r="A1176" t="s">
        <v>28</v>
      </c>
      <c r="B1176">
        <v>1990</v>
      </c>
      <c r="C1176">
        <v>18336</v>
      </c>
      <c r="D1176" s="2">
        <v>143</v>
      </c>
      <c r="E1176" s="3">
        <v>18479</v>
      </c>
      <c r="F1176" t="s">
        <v>12</v>
      </c>
      <c r="G1176" t="s">
        <v>12</v>
      </c>
      <c r="H1176" s="1">
        <v>1096.6421631861699</v>
      </c>
      <c r="I1176" s="1">
        <v>42547.385317450397</v>
      </c>
      <c r="J1176" s="1">
        <v>131.444154802486</v>
      </c>
      <c r="K1176" s="1"/>
      <c r="L1176" s="1"/>
      <c r="M1176" s="1"/>
      <c r="N1176" s="1"/>
      <c r="O1176" s="1"/>
      <c r="P1176" s="1"/>
      <c r="Q1176" s="1">
        <v>254.78763840818601</v>
      </c>
      <c r="R1176" s="1">
        <v>62254</v>
      </c>
      <c r="S1176" t="s">
        <v>9</v>
      </c>
    </row>
    <row r="1177" spans="1:19" x14ac:dyDescent="0.55000000000000004">
      <c r="A1177" t="s">
        <v>28</v>
      </c>
      <c r="B1177">
        <v>1989</v>
      </c>
      <c r="C1177">
        <v>7900</v>
      </c>
      <c r="D1177" s="2">
        <v>182</v>
      </c>
      <c r="E1177" s="3">
        <v>8082</v>
      </c>
      <c r="F1177" t="s">
        <v>12</v>
      </c>
      <c r="G1177" t="s">
        <v>12</v>
      </c>
      <c r="H1177" s="1">
        <v>2105.97950587491</v>
      </c>
      <c r="I1177" s="1">
        <v>38117.996060700498</v>
      </c>
      <c r="J1177" s="1">
        <v>432.07759699624501</v>
      </c>
      <c r="K1177" s="1"/>
      <c r="L1177" s="1"/>
      <c r="M1177" s="1"/>
      <c r="N1177" s="1"/>
      <c r="O1177" s="1"/>
      <c r="P1177" s="1"/>
      <c r="Q1177" s="1">
        <v>-37485.589343814703</v>
      </c>
      <c r="R1177" s="1">
        <v>86224</v>
      </c>
      <c r="S1177" t="s">
        <v>9</v>
      </c>
    </row>
    <row r="1178" spans="1:19" x14ac:dyDescent="0.55000000000000004">
      <c r="A1178" t="s">
        <v>28</v>
      </c>
      <c r="B1178">
        <v>1988</v>
      </c>
      <c r="C1178">
        <v>1050</v>
      </c>
      <c r="D1178" s="2">
        <v>361</v>
      </c>
      <c r="E1178" s="3">
        <v>1411</v>
      </c>
      <c r="F1178" t="s">
        <v>12</v>
      </c>
      <c r="G1178" t="s">
        <v>12</v>
      </c>
      <c r="H1178" s="1">
        <v>0</v>
      </c>
      <c r="I1178" s="1">
        <v>23233.7434307203</v>
      </c>
      <c r="J1178" s="1">
        <v>1046</v>
      </c>
      <c r="K1178" s="1"/>
      <c r="L1178" s="1"/>
      <c r="M1178" s="1"/>
      <c r="N1178" s="1"/>
      <c r="O1178" s="1"/>
      <c r="P1178" s="1"/>
      <c r="Q1178" s="1">
        <v>-4975.0078944827401</v>
      </c>
      <c r="R1178" s="1">
        <v>30666</v>
      </c>
      <c r="S1178" t="s">
        <v>9</v>
      </c>
    </row>
    <row r="1179" spans="1:19" x14ac:dyDescent="0.55000000000000004">
      <c r="A1179" t="s">
        <v>28</v>
      </c>
      <c r="B1179">
        <v>1987</v>
      </c>
      <c r="C1179">
        <v>6820</v>
      </c>
      <c r="D1179" s="2">
        <v>222</v>
      </c>
      <c r="E1179" s="3">
        <v>7042</v>
      </c>
      <c r="F1179" t="s">
        <v>12</v>
      </c>
      <c r="G1179" t="s">
        <v>12</v>
      </c>
      <c r="H1179" s="1">
        <v>31.547026714620699</v>
      </c>
      <c r="I1179" s="1">
        <v>43337.549709942199</v>
      </c>
      <c r="J1179" s="1">
        <v>769.48408110532102</v>
      </c>
      <c r="K1179" s="1"/>
      <c r="L1179" s="1"/>
      <c r="M1179" s="1"/>
      <c r="N1179" s="1"/>
      <c r="O1179" s="1"/>
      <c r="P1179" s="1"/>
      <c r="Q1179" s="1">
        <v>-3174.81792586247</v>
      </c>
      <c r="R1179" s="1">
        <v>54355</v>
      </c>
      <c r="S1179" t="s">
        <v>9</v>
      </c>
    </row>
    <row r="1180" spans="1:19" x14ac:dyDescent="0.55000000000000004">
      <c r="A1180" t="s">
        <v>28</v>
      </c>
      <c r="B1180">
        <v>1986</v>
      </c>
      <c r="C1180">
        <v>14291</v>
      </c>
      <c r="D1180" s="2">
        <v>156</v>
      </c>
      <c r="E1180" s="3">
        <v>14447</v>
      </c>
      <c r="F1180" t="s">
        <v>12</v>
      </c>
      <c r="G1180" t="s">
        <v>12</v>
      </c>
      <c r="H1180" s="1">
        <v>901.50051415871201</v>
      </c>
      <c r="I1180" s="1">
        <v>184547.77993886499</v>
      </c>
      <c r="J1180" s="1">
        <v>2482.0722264126998</v>
      </c>
      <c r="K1180" s="1"/>
      <c r="L1180" s="1"/>
      <c r="M1180" s="1"/>
      <c r="N1180" s="1"/>
      <c r="O1180" s="1"/>
      <c r="P1180" s="1"/>
      <c r="Q1180" s="1">
        <v>-40699.745771590497</v>
      </c>
      <c r="R1180" s="1">
        <v>243078</v>
      </c>
      <c r="S1180" t="s">
        <v>9</v>
      </c>
    </row>
    <row r="1181" spans="1:19" x14ac:dyDescent="0.55000000000000004">
      <c r="A1181" t="s">
        <v>28</v>
      </c>
      <c r="B1181">
        <v>1985</v>
      </c>
      <c r="C1181">
        <v>1765</v>
      </c>
      <c r="D1181" s="2">
        <v>318</v>
      </c>
      <c r="E1181" s="3">
        <v>2083</v>
      </c>
      <c r="F1181" t="s">
        <v>12</v>
      </c>
      <c r="G1181" t="s">
        <v>12</v>
      </c>
      <c r="H1181" s="1">
        <v>3.5164818480617699</v>
      </c>
      <c r="I1181" s="1">
        <v>10701.467725969</v>
      </c>
      <c r="J1181" s="1">
        <v>26.466648879144099</v>
      </c>
      <c r="K1181" s="1"/>
      <c r="L1181" s="1"/>
      <c r="M1181" s="1"/>
      <c r="N1181" s="1"/>
      <c r="O1181" s="1"/>
      <c r="P1181" s="1"/>
      <c r="Q1181" s="1">
        <v>-956.00437406240098</v>
      </c>
      <c r="R1181" s="1">
        <v>13770</v>
      </c>
      <c r="S1181" t="s">
        <v>9</v>
      </c>
    </row>
    <row r="1182" spans="1:19" x14ac:dyDescent="0.55000000000000004">
      <c r="A1182" t="s">
        <v>28</v>
      </c>
      <c r="B1182">
        <v>1984</v>
      </c>
      <c r="C1182">
        <v>1710</v>
      </c>
      <c r="D1182" s="2">
        <v>58</v>
      </c>
      <c r="E1182" s="3">
        <v>1768</v>
      </c>
      <c r="F1182" t="s">
        <v>12</v>
      </c>
      <c r="G1182" t="s">
        <v>12</v>
      </c>
      <c r="H1182" s="1">
        <v>0</v>
      </c>
      <c r="I1182" s="1">
        <v>8318.6225873893909</v>
      </c>
      <c r="J1182" s="1">
        <v>71.116926955222297</v>
      </c>
      <c r="K1182" s="1"/>
      <c r="L1182" s="1"/>
      <c r="M1182" s="1"/>
      <c r="N1182" s="1"/>
      <c r="O1182" s="1"/>
      <c r="P1182" s="1"/>
      <c r="Q1182" s="1">
        <v>164.416496423034</v>
      </c>
      <c r="R1182" s="1">
        <v>10158</v>
      </c>
      <c r="S1182" t="s">
        <v>9</v>
      </c>
    </row>
    <row r="1183" spans="1:19" x14ac:dyDescent="0.55000000000000004">
      <c r="A1183" t="s">
        <v>28</v>
      </c>
      <c r="B1183">
        <v>1983</v>
      </c>
      <c r="C1183">
        <v>7747</v>
      </c>
      <c r="D1183" s="2">
        <v>198</v>
      </c>
      <c r="E1183" s="3">
        <v>7945</v>
      </c>
      <c r="F1183" t="s">
        <v>12</v>
      </c>
      <c r="G1183" t="s">
        <v>12</v>
      </c>
      <c r="H1183" s="1">
        <v>1270.9214769267301</v>
      </c>
      <c r="I1183" s="1">
        <v>59404.069761918698</v>
      </c>
      <c r="J1183" s="1">
        <v>246.58450420490601</v>
      </c>
      <c r="K1183" s="1"/>
      <c r="L1183" s="1"/>
      <c r="M1183" s="1"/>
      <c r="N1183" s="1"/>
      <c r="O1183" s="1"/>
      <c r="P1183" s="1"/>
      <c r="Q1183" s="1">
        <v>-6906.6317499445804</v>
      </c>
      <c r="R1183" s="1">
        <v>75773</v>
      </c>
      <c r="S1183" t="s">
        <v>9</v>
      </c>
    </row>
    <row r="1184" spans="1:19" x14ac:dyDescent="0.55000000000000004">
      <c r="A1184" t="s">
        <v>28</v>
      </c>
      <c r="B1184">
        <v>1982</v>
      </c>
      <c r="C1184">
        <v>23867</v>
      </c>
      <c r="D1184" s="2">
        <v>98</v>
      </c>
      <c r="E1184" s="3">
        <v>23965</v>
      </c>
      <c r="F1184" t="s">
        <v>12</v>
      </c>
      <c r="G1184" t="s">
        <v>12</v>
      </c>
      <c r="H1184" s="1"/>
      <c r="I1184" s="1">
        <v>72850.509339569093</v>
      </c>
      <c r="J1184" s="1">
        <v>275.57091000408599</v>
      </c>
      <c r="K1184" s="1"/>
      <c r="L1184" s="1"/>
      <c r="M1184" s="1"/>
      <c r="N1184" s="1"/>
      <c r="O1184" s="1"/>
      <c r="P1184" s="1"/>
      <c r="Q1184" s="1">
        <v>-10909.642911778499</v>
      </c>
      <c r="R1184" s="1">
        <v>108001</v>
      </c>
      <c r="S1184" t="s">
        <v>9</v>
      </c>
    </row>
    <row r="1185" spans="1:19" x14ac:dyDescent="0.55000000000000004">
      <c r="A1185" t="s">
        <v>28</v>
      </c>
      <c r="B1185">
        <v>1981</v>
      </c>
      <c r="C1185">
        <v>5855</v>
      </c>
      <c r="D1185" s="2">
        <v>231</v>
      </c>
      <c r="E1185" s="3">
        <v>6086</v>
      </c>
      <c r="F1185" t="s">
        <v>12</v>
      </c>
      <c r="G1185" t="s">
        <v>12</v>
      </c>
      <c r="H1185" s="1"/>
      <c r="I1185" s="1">
        <v>35071.565065659997</v>
      </c>
      <c r="J1185" s="1">
        <v>364.93057857359997</v>
      </c>
      <c r="K1185" s="1"/>
      <c r="L1185" s="1"/>
      <c r="M1185" s="1"/>
      <c r="N1185" s="1"/>
      <c r="O1185" s="1"/>
      <c r="P1185" s="1"/>
      <c r="Q1185" s="1">
        <v>-5228.48258791441</v>
      </c>
      <c r="R1185" s="1">
        <v>46751</v>
      </c>
      <c r="S1185" t="s">
        <v>9</v>
      </c>
    </row>
    <row r="1186" spans="1:19" x14ac:dyDescent="0.55000000000000004">
      <c r="A1186" t="s">
        <v>28</v>
      </c>
      <c r="B1186">
        <v>1980</v>
      </c>
      <c r="C1186">
        <v>1800</v>
      </c>
      <c r="D1186" s="2">
        <v>198</v>
      </c>
      <c r="E1186" s="3">
        <v>1998</v>
      </c>
      <c r="F1186" t="s">
        <v>12</v>
      </c>
      <c r="G1186" t="s">
        <v>12</v>
      </c>
      <c r="H1186" s="1"/>
      <c r="I1186" s="1">
        <v>1262.5447242312</v>
      </c>
      <c r="J1186" s="1">
        <v>83.961981534679595</v>
      </c>
      <c r="K1186" s="1"/>
      <c r="L1186" s="1"/>
      <c r="M1186" s="1"/>
      <c r="N1186" s="1"/>
      <c r="O1186" s="1"/>
      <c r="P1186" s="1"/>
      <c r="Q1186" s="1">
        <v>-1064.59527524387</v>
      </c>
      <c r="R1186" s="1">
        <v>4409</v>
      </c>
      <c r="S1186" t="s">
        <v>9</v>
      </c>
    </row>
    <row r="1187" spans="1:19" x14ac:dyDescent="0.55000000000000004">
      <c r="A1187" t="s">
        <v>28</v>
      </c>
      <c r="B1187">
        <v>1979</v>
      </c>
      <c r="C1187">
        <v>3575</v>
      </c>
      <c r="D1187" s="2">
        <v>88</v>
      </c>
      <c r="E1187" s="3">
        <v>3663</v>
      </c>
      <c r="F1187" t="s">
        <v>12</v>
      </c>
      <c r="G1187" t="s">
        <v>12</v>
      </c>
      <c r="H1187" s="1"/>
      <c r="I1187" s="1">
        <v>11301.063154600201</v>
      </c>
      <c r="J1187" s="1">
        <v>225.68491614942701</v>
      </c>
      <c r="K1187" s="1"/>
      <c r="L1187" s="1"/>
      <c r="M1187" s="1"/>
      <c r="N1187" s="1"/>
      <c r="O1187" s="1"/>
      <c r="P1187" s="1"/>
      <c r="Q1187" s="1">
        <v>-1249.86605095608</v>
      </c>
      <c r="R1187" s="1">
        <v>16440</v>
      </c>
      <c r="S1187" t="s">
        <v>9</v>
      </c>
    </row>
    <row r="1188" spans="1:19" x14ac:dyDescent="0.55000000000000004">
      <c r="A1188" t="s">
        <v>28</v>
      </c>
      <c r="B1188">
        <v>1978</v>
      </c>
      <c r="C1188">
        <v>9978</v>
      </c>
      <c r="D1188" s="2">
        <v>252</v>
      </c>
      <c r="E1188" s="3">
        <v>10230</v>
      </c>
      <c r="F1188" t="s">
        <v>12</v>
      </c>
      <c r="G1188" t="s">
        <v>12</v>
      </c>
      <c r="H1188" s="1"/>
      <c r="I1188" s="1">
        <v>26578.313458509401</v>
      </c>
      <c r="J1188" s="1">
        <v>273.77460155472301</v>
      </c>
      <c r="K1188" s="1"/>
      <c r="L1188" s="1"/>
      <c r="M1188" s="1"/>
      <c r="N1188" s="1"/>
      <c r="O1188" s="1"/>
      <c r="P1188" s="1"/>
      <c r="Q1188" s="1">
        <v>1207.5744464402601</v>
      </c>
      <c r="R1188" s="1">
        <v>37082</v>
      </c>
      <c r="S1188" t="s">
        <v>9</v>
      </c>
    </row>
    <row r="1189" spans="1:19" x14ac:dyDescent="0.55000000000000004">
      <c r="A1189" t="s">
        <v>28</v>
      </c>
      <c r="B1189">
        <v>1977</v>
      </c>
      <c r="C1189">
        <v>7610</v>
      </c>
      <c r="D1189" s="2">
        <v>364</v>
      </c>
      <c r="E1189" s="3">
        <v>7974</v>
      </c>
      <c r="F1189" t="s">
        <v>12</v>
      </c>
      <c r="G1189" t="s">
        <v>12</v>
      </c>
      <c r="H1189" s="1"/>
      <c r="I1189" s="1">
        <v>69524.920498821302</v>
      </c>
      <c r="J1189" s="1">
        <v>340.478934199967</v>
      </c>
      <c r="K1189" s="1"/>
      <c r="L1189" s="1"/>
      <c r="M1189" s="1"/>
      <c r="N1189" s="1"/>
      <c r="O1189" s="1"/>
      <c r="P1189" s="1"/>
      <c r="Q1189" s="1">
        <v>-9341.9634450233898</v>
      </c>
      <c r="R1189" s="1">
        <v>87181</v>
      </c>
      <c r="S1189" t="s">
        <v>9</v>
      </c>
    </row>
    <row r="1190" spans="1:19" x14ac:dyDescent="0.55000000000000004">
      <c r="A1190" t="s">
        <v>28</v>
      </c>
      <c r="B1190">
        <v>1976</v>
      </c>
      <c r="C1190">
        <v>1042</v>
      </c>
      <c r="D1190" s="2">
        <v>2758</v>
      </c>
      <c r="E1190" s="3">
        <v>3800</v>
      </c>
      <c r="F1190" t="s">
        <v>12</v>
      </c>
      <c r="G1190" t="s">
        <v>12</v>
      </c>
      <c r="H1190" s="1"/>
      <c r="I1190" s="1">
        <v>19253</v>
      </c>
      <c r="J1190" s="1">
        <v>895</v>
      </c>
      <c r="K1190" s="1"/>
      <c r="L1190" s="1"/>
      <c r="M1190" s="1"/>
      <c r="N1190" s="1"/>
      <c r="O1190" s="1"/>
      <c r="P1190" s="1"/>
      <c r="Q1190" s="1"/>
      <c r="R1190" s="1">
        <v>23948</v>
      </c>
      <c r="S1190" t="s">
        <v>12</v>
      </c>
    </row>
    <row r="1191" spans="1:19" x14ac:dyDescent="0.55000000000000004">
      <c r="A1191" t="s">
        <v>28</v>
      </c>
      <c r="B1191">
        <v>1975</v>
      </c>
      <c r="C1191">
        <v>3175</v>
      </c>
      <c r="D1191" s="2">
        <v>654</v>
      </c>
      <c r="E1191" s="3">
        <v>3829</v>
      </c>
      <c r="F1191" t="s">
        <v>12</v>
      </c>
      <c r="G1191" t="s">
        <v>12</v>
      </c>
      <c r="H1191" s="1"/>
      <c r="I1191" s="1">
        <v>13929</v>
      </c>
      <c r="J1191" s="1">
        <v>181</v>
      </c>
      <c r="K1191" s="1"/>
      <c r="L1191" s="1"/>
      <c r="M1191" s="1"/>
      <c r="N1191" s="1"/>
      <c r="O1191" s="1"/>
      <c r="P1191" s="1"/>
      <c r="Q1191" s="1"/>
      <c r="R1191" s="1">
        <v>17939</v>
      </c>
      <c r="S1191" t="s">
        <v>11</v>
      </c>
    </row>
    <row r="1192" spans="1:19" x14ac:dyDescent="0.55000000000000004">
      <c r="A1192" t="s">
        <v>28</v>
      </c>
      <c r="B1192">
        <v>1974</v>
      </c>
      <c r="C1192">
        <v>8475</v>
      </c>
      <c r="D1192" s="2">
        <v>511</v>
      </c>
      <c r="E1192" s="3">
        <v>8986</v>
      </c>
      <c r="F1192" t="s">
        <v>12</v>
      </c>
      <c r="G1192" t="s">
        <v>12</v>
      </c>
      <c r="H1192" s="1"/>
      <c r="I1192" s="1">
        <v>49359</v>
      </c>
      <c r="J1192" s="1">
        <v>402</v>
      </c>
      <c r="K1192" s="1"/>
      <c r="L1192" s="1"/>
      <c r="M1192" s="1"/>
      <c r="N1192" s="1"/>
      <c r="O1192" s="1"/>
      <c r="P1192" s="1"/>
      <c r="Q1192" s="1"/>
      <c r="R1192" s="1">
        <v>58747</v>
      </c>
      <c r="S1192" t="s">
        <v>12</v>
      </c>
    </row>
    <row r="1193" spans="1:19" x14ac:dyDescent="0.55000000000000004">
      <c r="A1193" t="s">
        <v>28</v>
      </c>
      <c r="B1193">
        <v>1973</v>
      </c>
      <c r="C1193">
        <v>3963</v>
      </c>
      <c r="D1193" s="2">
        <v>309</v>
      </c>
      <c r="E1193" s="3">
        <v>4272</v>
      </c>
      <c r="F1193" t="s">
        <v>12</v>
      </c>
      <c r="G1193" t="s">
        <v>12</v>
      </c>
      <c r="H1193" s="1"/>
      <c r="I1193" s="1">
        <v>27469</v>
      </c>
      <c r="J1193" s="1">
        <v>317</v>
      </c>
      <c r="K1193" s="1"/>
      <c r="L1193" s="1"/>
      <c r="M1193" s="1"/>
      <c r="N1193" s="1"/>
      <c r="O1193" s="1"/>
      <c r="P1193" s="1"/>
      <c r="Q1193" s="1"/>
      <c r="R1193" s="1">
        <v>32058</v>
      </c>
      <c r="S1193" t="s">
        <v>12</v>
      </c>
    </row>
    <row r="1194" spans="1:19" x14ac:dyDescent="0.55000000000000004">
      <c r="A1194" t="s">
        <v>28</v>
      </c>
      <c r="B1194">
        <v>1972</v>
      </c>
      <c r="C1194">
        <v>190</v>
      </c>
      <c r="D1194" s="2">
        <v>1270</v>
      </c>
      <c r="E1194" s="3">
        <v>1460</v>
      </c>
      <c r="F1194" t="s">
        <v>12</v>
      </c>
      <c r="G1194" t="s">
        <v>12</v>
      </c>
      <c r="H1194" s="1"/>
      <c r="I1194" s="1">
        <v>3299</v>
      </c>
      <c r="J1194" s="1">
        <v>240</v>
      </c>
      <c r="K1194" s="1"/>
      <c r="L1194" s="1"/>
      <c r="M1194" s="1"/>
      <c r="N1194" s="1"/>
      <c r="O1194" s="1"/>
      <c r="P1194" s="1"/>
      <c r="Q1194" s="1"/>
      <c r="R1194" s="1">
        <v>4999</v>
      </c>
      <c r="S1194" t="s">
        <v>12</v>
      </c>
    </row>
    <row r="1195" spans="1:19" x14ac:dyDescent="0.55000000000000004">
      <c r="A1195" t="s">
        <v>28</v>
      </c>
      <c r="B1195">
        <v>1971</v>
      </c>
      <c r="C1195">
        <v>281</v>
      </c>
      <c r="D1195" s="2">
        <v>0</v>
      </c>
      <c r="E1195" s="3">
        <v>281</v>
      </c>
      <c r="F1195" t="s">
        <v>12</v>
      </c>
      <c r="G1195" t="s">
        <v>12</v>
      </c>
      <c r="H1195" s="1"/>
      <c r="I1195" s="1">
        <v>3991</v>
      </c>
      <c r="J1195" s="1">
        <v>36</v>
      </c>
      <c r="K1195" s="1"/>
      <c r="L1195" s="1"/>
      <c r="M1195" s="1"/>
      <c r="N1195" s="1"/>
      <c r="O1195" s="1"/>
      <c r="P1195" s="1"/>
      <c r="Q1195" s="1"/>
      <c r="R1195" s="1">
        <v>4308</v>
      </c>
      <c r="S1195" t="s">
        <v>12</v>
      </c>
    </row>
    <row r="1196" spans="1:19" x14ac:dyDescent="0.55000000000000004">
      <c r="A1196" t="s">
        <v>28</v>
      </c>
      <c r="B1196">
        <v>1970</v>
      </c>
      <c r="C1196">
        <v>3873</v>
      </c>
      <c r="D1196" s="2">
        <v>28</v>
      </c>
      <c r="E1196" s="3">
        <v>3901</v>
      </c>
      <c r="F1196" t="s">
        <v>12</v>
      </c>
      <c r="G1196" t="s">
        <v>12</v>
      </c>
      <c r="H1196" s="1"/>
      <c r="I1196" s="1">
        <v>26628</v>
      </c>
      <c r="J1196" s="1">
        <v>342</v>
      </c>
      <c r="K1196" s="1"/>
      <c r="L1196" s="1"/>
      <c r="M1196" s="1"/>
      <c r="N1196" s="1"/>
      <c r="O1196" s="1"/>
      <c r="P1196" s="1"/>
      <c r="Q1196" s="1"/>
      <c r="R1196" s="1">
        <v>30871</v>
      </c>
      <c r="S1196" t="s">
        <v>12</v>
      </c>
    </row>
    <row r="1197" spans="1:19" x14ac:dyDescent="0.55000000000000004">
      <c r="A1197" t="s">
        <v>28</v>
      </c>
      <c r="B1197">
        <v>1969</v>
      </c>
      <c r="C1197">
        <v>963</v>
      </c>
      <c r="D1197" s="2">
        <v>77</v>
      </c>
      <c r="E1197" s="3">
        <v>1040</v>
      </c>
      <c r="F1197" t="s">
        <v>12</v>
      </c>
      <c r="G1197" t="s">
        <v>12</v>
      </c>
      <c r="H1197" s="1"/>
      <c r="I1197" s="1">
        <v>2402</v>
      </c>
      <c r="J1197" s="1">
        <v>209</v>
      </c>
      <c r="K1197" s="1"/>
      <c r="L1197" s="1"/>
      <c r="M1197" s="1"/>
      <c r="N1197" s="1"/>
      <c r="O1197" s="1"/>
      <c r="P1197" s="1"/>
      <c r="Q1197" s="1"/>
      <c r="R1197" s="1">
        <v>3651</v>
      </c>
      <c r="S1197" t="s">
        <v>12</v>
      </c>
    </row>
    <row r="1198" spans="1:19" x14ac:dyDescent="0.55000000000000004">
      <c r="A1198" t="s">
        <v>28</v>
      </c>
      <c r="B1198">
        <v>1968</v>
      </c>
      <c r="C1198">
        <v>86</v>
      </c>
      <c r="D1198" s="2">
        <v>87</v>
      </c>
      <c r="E1198" s="3">
        <v>173</v>
      </c>
      <c r="F1198" t="s">
        <v>12</v>
      </c>
      <c r="G1198" t="s">
        <v>12</v>
      </c>
      <c r="H1198" s="1"/>
      <c r="I1198" s="1">
        <v>504.89630714973902</v>
      </c>
      <c r="J1198" s="1">
        <v>34</v>
      </c>
      <c r="K1198" s="1"/>
      <c r="L1198" s="1"/>
      <c r="M1198" s="1"/>
      <c r="N1198" s="1"/>
      <c r="O1198" s="1"/>
      <c r="P1198" s="1"/>
      <c r="Q1198" s="1"/>
      <c r="R1198" s="1">
        <v>712</v>
      </c>
      <c r="S1198" t="s">
        <v>12</v>
      </c>
    </row>
    <row r="1199" spans="1:19" x14ac:dyDescent="0.55000000000000004">
      <c r="A1199" t="s">
        <v>28</v>
      </c>
      <c r="B1199">
        <v>1967</v>
      </c>
      <c r="C1199">
        <v>4025</v>
      </c>
      <c r="D1199" s="2">
        <v>23</v>
      </c>
      <c r="E1199" s="3">
        <v>4048</v>
      </c>
      <c r="F1199" t="s">
        <v>12</v>
      </c>
      <c r="G1199" t="s">
        <v>12</v>
      </c>
      <c r="H1199" s="1"/>
      <c r="I1199" s="1">
        <v>51624</v>
      </c>
      <c r="J1199" s="1">
        <v>512</v>
      </c>
      <c r="K1199" s="1"/>
      <c r="L1199" s="1"/>
      <c r="M1199" s="1"/>
      <c r="N1199" s="1"/>
      <c r="O1199" s="1"/>
      <c r="P1199" s="1"/>
      <c r="Q1199" s="1"/>
      <c r="R1199" s="1">
        <v>56184</v>
      </c>
      <c r="S1199" t="s">
        <v>12</v>
      </c>
    </row>
    <row r="1200" spans="1:19" x14ac:dyDescent="0.55000000000000004">
      <c r="A1200" t="s">
        <v>28</v>
      </c>
      <c r="B1200">
        <v>1966</v>
      </c>
      <c r="C1200">
        <v>31343</v>
      </c>
      <c r="D1200" s="2">
        <v>501</v>
      </c>
      <c r="E1200" s="3">
        <v>31844</v>
      </c>
      <c r="F1200" t="s">
        <v>12</v>
      </c>
      <c r="G1200" t="s">
        <v>12</v>
      </c>
      <c r="H1200" s="1"/>
      <c r="I1200" s="1">
        <v>38247.520404167</v>
      </c>
      <c r="J1200" s="1">
        <v>2253</v>
      </c>
      <c r="K1200" s="1"/>
      <c r="L1200" s="1"/>
      <c r="M1200" s="1"/>
      <c r="N1200" s="1"/>
      <c r="O1200" s="1"/>
      <c r="P1200" s="1"/>
      <c r="Q1200" s="1"/>
      <c r="R1200" s="1">
        <v>72345</v>
      </c>
      <c r="S1200" t="s">
        <v>12</v>
      </c>
    </row>
    <row r="1201" spans="1:19" x14ac:dyDescent="0.55000000000000004">
      <c r="A1201" t="s">
        <v>28</v>
      </c>
      <c r="B1201">
        <v>1965</v>
      </c>
      <c r="C1201">
        <v>981</v>
      </c>
      <c r="D1201" s="2">
        <v>1127</v>
      </c>
      <c r="E1201" s="3">
        <v>2108</v>
      </c>
      <c r="F1201" t="s">
        <v>12</v>
      </c>
      <c r="G1201" t="s">
        <v>12</v>
      </c>
      <c r="H1201" s="1"/>
      <c r="I1201" s="1">
        <v>3374.1769864593398</v>
      </c>
      <c r="J1201" s="1">
        <v>109</v>
      </c>
      <c r="K1201" s="1"/>
      <c r="L1201" s="1"/>
      <c r="M1201" s="1"/>
      <c r="N1201" s="1"/>
      <c r="O1201" s="1"/>
      <c r="P1201" s="1"/>
      <c r="Q1201" s="1"/>
      <c r="R1201" s="1">
        <v>5591</v>
      </c>
      <c r="S1201" t="s">
        <v>12</v>
      </c>
    </row>
    <row r="1202" spans="1:19" x14ac:dyDescent="0.55000000000000004">
      <c r="A1202" t="s">
        <v>28</v>
      </c>
      <c r="B1202">
        <v>1964</v>
      </c>
      <c r="C1202">
        <v>9</v>
      </c>
      <c r="D1202" s="2">
        <v>0</v>
      </c>
      <c r="E1202" s="3">
        <v>9</v>
      </c>
      <c r="F1202" t="s">
        <v>12</v>
      </c>
      <c r="G1202" t="s">
        <v>12</v>
      </c>
      <c r="H1202" s="1"/>
      <c r="I1202" s="1">
        <v>21.724137931034502</v>
      </c>
      <c r="J1202" s="1">
        <v>2.3958620689655201</v>
      </c>
      <c r="K1202" s="1"/>
      <c r="L1202" s="1"/>
      <c r="M1202" s="1"/>
      <c r="N1202" s="1"/>
      <c r="O1202" s="1"/>
      <c r="P1202" s="1"/>
      <c r="Q1202" s="1"/>
      <c r="R1202" s="1">
        <v>33</v>
      </c>
      <c r="S1202" t="s">
        <v>11</v>
      </c>
    </row>
    <row r="1203" spans="1:19" x14ac:dyDescent="0.55000000000000004">
      <c r="A1203" t="s">
        <v>28</v>
      </c>
      <c r="B1203">
        <v>1963</v>
      </c>
      <c r="C1203">
        <v>2011</v>
      </c>
      <c r="D1203" s="2">
        <v>0</v>
      </c>
      <c r="E1203" s="3">
        <v>2011</v>
      </c>
      <c r="F1203" t="s">
        <v>12</v>
      </c>
      <c r="G1203" t="s">
        <v>12</v>
      </c>
      <c r="H1203" s="1"/>
      <c r="I1203" s="1">
        <v>3409</v>
      </c>
      <c r="J1203" s="1">
        <v>167</v>
      </c>
      <c r="K1203" s="1"/>
      <c r="L1203" s="1"/>
      <c r="M1203" s="1"/>
      <c r="N1203" s="1"/>
      <c r="O1203" s="1"/>
      <c r="P1203" s="1"/>
      <c r="Q1203" s="1"/>
      <c r="R1203" s="1">
        <v>5587</v>
      </c>
      <c r="S1203" t="s">
        <v>12</v>
      </c>
    </row>
    <row r="1204" spans="1:19" x14ac:dyDescent="0.55000000000000004">
      <c r="A1204" t="s">
        <v>28</v>
      </c>
      <c r="B1204">
        <v>1962</v>
      </c>
      <c r="C1204">
        <v>11935</v>
      </c>
      <c r="D1204" s="2">
        <v>99</v>
      </c>
      <c r="E1204" s="3">
        <v>12034</v>
      </c>
      <c r="F1204" t="s">
        <v>12</v>
      </c>
      <c r="G1204" t="s">
        <v>12</v>
      </c>
      <c r="H1204" s="1"/>
      <c r="I1204" s="1">
        <v>12134.786422349</v>
      </c>
      <c r="J1204" s="1">
        <v>696</v>
      </c>
      <c r="K1204" s="1"/>
      <c r="L1204" s="1"/>
      <c r="M1204" s="1"/>
      <c r="N1204" s="1"/>
      <c r="O1204" s="1"/>
      <c r="P1204" s="1"/>
      <c r="Q1204" s="1"/>
      <c r="R1204" s="1">
        <v>24865</v>
      </c>
      <c r="S1204" t="s">
        <v>12</v>
      </c>
    </row>
    <row r="1205" spans="1:19" x14ac:dyDescent="0.55000000000000004">
      <c r="A1205" t="s">
        <v>28</v>
      </c>
      <c r="B1205">
        <v>1961</v>
      </c>
      <c r="C1205">
        <v>23</v>
      </c>
      <c r="D1205" s="2">
        <v>504</v>
      </c>
      <c r="E1205" s="3">
        <v>527</v>
      </c>
      <c r="F1205" t="s">
        <v>12</v>
      </c>
      <c r="G1205" t="s">
        <v>12</v>
      </c>
      <c r="H1205" s="1"/>
      <c r="I1205" s="1">
        <v>312.82289407086</v>
      </c>
      <c r="J1205" s="1">
        <v>2</v>
      </c>
      <c r="K1205" s="1"/>
      <c r="L1205" s="1"/>
      <c r="M1205" s="1"/>
      <c r="N1205" s="1"/>
      <c r="O1205" s="1"/>
      <c r="P1205" s="1"/>
      <c r="Q1205" s="1"/>
      <c r="R1205" s="1">
        <v>842</v>
      </c>
      <c r="S1205" t="s">
        <v>12</v>
      </c>
    </row>
    <row r="1206" spans="1:19" x14ac:dyDescent="0.55000000000000004">
      <c r="A1206" t="s">
        <v>28</v>
      </c>
      <c r="B1206">
        <v>1960</v>
      </c>
      <c r="C1206">
        <v>0</v>
      </c>
      <c r="D1206" s="2">
        <v>0</v>
      </c>
      <c r="E1206" s="3">
        <v>0</v>
      </c>
      <c r="F1206" t="s">
        <v>12</v>
      </c>
      <c r="G1206" t="s">
        <v>12</v>
      </c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>
        <v>0</v>
      </c>
      <c r="S1206" t="s">
        <v>11</v>
      </c>
    </row>
    <row r="1207" spans="1:19" x14ac:dyDescent="0.55000000000000004">
      <c r="A1207" t="s">
        <v>28</v>
      </c>
      <c r="B1207">
        <v>1959</v>
      </c>
      <c r="C1207">
        <v>572</v>
      </c>
      <c r="D1207" s="2">
        <v>0</v>
      </c>
      <c r="E1207" s="3">
        <v>572</v>
      </c>
      <c r="F1207" t="s">
        <v>12</v>
      </c>
      <c r="G1207" t="s">
        <v>12</v>
      </c>
      <c r="H1207" s="1"/>
      <c r="I1207" s="1">
        <v>4894</v>
      </c>
      <c r="J1207" s="1">
        <v>19</v>
      </c>
      <c r="K1207" s="1"/>
      <c r="L1207" s="1"/>
      <c r="M1207" s="1"/>
      <c r="N1207" s="1"/>
      <c r="O1207" s="1"/>
      <c r="P1207" s="1"/>
      <c r="Q1207" s="1"/>
      <c r="R1207" s="1">
        <v>5485</v>
      </c>
      <c r="S1207" t="s">
        <v>12</v>
      </c>
    </row>
    <row r="1208" spans="1:19" x14ac:dyDescent="0.55000000000000004">
      <c r="A1208" t="s">
        <v>28</v>
      </c>
      <c r="B1208">
        <v>1958</v>
      </c>
      <c r="C1208">
        <v>4791</v>
      </c>
      <c r="D1208" s="2">
        <v>12</v>
      </c>
      <c r="E1208" s="3">
        <v>4803</v>
      </c>
      <c r="F1208" t="s">
        <v>12</v>
      </c>
      <c r="G1208" t="s">
        <v>12</v>
      </c>
      <c r="H1208" s="1"/>
      <c r="I1208" s="1">
        <v>31132</v>
      </c>
      <c r="J1208" s="1">
        <v>82</v>
      </c>
      <c r="K1208" s="1"/>
      <c r="L1208" s="1"/>
      <c r="M1208" s="1"/>
      <c r="N1208" s="1"/>
      <c r="O1208" s="1"/>
      <c r="P1208" s="1"/>
      <c r="Q1208" s="1"/>
      <c r="R1208" s="1">
        <v>36017</v>
      </c>
      <c r="S1208" t="s">
        <v>12</v>
      </c>
    </row>
    <row r="1209" spans="1:19" x14ac:dyDescent="0.55000000000000004">
      <c r="A1209" t="s">
        <v>28</v>
      </c>
      <c r="B1209">
        <v>1957</v>
      </c>
      <c r="C1209">
        <v>40</v>
      </c>
      <c r="D1209" s="2">
        <v>412</v>
      </c>
      <c r="E1209" s="3">
        <v>452</v>
      </c>
      <c r="F1209" t="s">
        <v>12</v>
      </c>
      <c r="G1209" t="s">
        <v>12</v>
      </c>
      <c r="H1209" s="1"/>
      <c r="I1209" s="1">
        <v>3227.2604799962301</v>
      </c>
      <c r="J1209" s="1">
        <v>1</v>
      </c>
      <c r="K1209" s="1"/>
      <c r="L1209" s="1"/>
      <c r="M1209" s="1"/>
      <c r="N1209" s="1"/>
      <c r="O1209" s="1"/>
      <c r="P1209" s="1"/>
      <c r="Q1209" s="1"/>
      <c r="R1209" s="1">
        <v>3680</v>
      </c>
      <c r="S1209" t="s">
        <v>12</v>
      </c>
    </row>
    <row r="1210" spans="1:19" x14ac:dyDescent="0.55000000000000004">
      <c r="A1210" t="s">
        <v>28</v>
      </c>
      <c r="B1210">
        <v>1956</v>
      </c>
      <c r="C1210">
        <v>0</v>
      </c>
      <c r="D1210" s="2">
        <v>0</v>
      </c>
      <c r="E1210" s="3">
        <v>0</v>
      </c>
      <c r="F1210" t="s">
        <v>12</v>
      </c>
      <c r="G1210" t="s">
        <v>12</v>
      </c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>
        <v>0</v>
      </c>
      <c r="S1210" t="s">
        <v>12</v>
      </c>
    </row>
    <row r="1211" spans="1:19" x14ac:dyDescent="0.55000000000000004">
      <c r="A1211" t="s">
        <v>28</v>
      </c>
      <c r="B1211">
        <v>1955</v>
      </c>
      <c r="C1211">
        <v>41</v>
      </c>
      <c r="D1211" s="2">
        <v>2</v>
      </c>
      <c r="E1211" s="3">
        <v>43</v>
      </c>
      <c r="F1211" t="s">
        <v>12</v>
      </c>
      <c r="G1211" t="s">
        <v>12</v>
      </c>
      <c r="H1211" s="1"/>
      <c r="I1211" s="1">
        <v>172</v>
      </c>
      <c r="J1211" s="1">
        <v>4</v>
      </c>
      <c r="K1211" s="1"/>
      <c r="L1211" s="1"/>
      <c r="M1211" s="1"/>
      <c r="N1211" s="1"/>
      <c r="O1211" s="1"/>
      <c r="P1211" s="1"/>
      <c r="Q1211" s="1"/>
      <c r="R1211" s="1">
        <v>219</v>
      </c>
      <c r="S1211" t="s">
        <v>11</v>
      </c>
    </row>
    <row r="1212" spans="1:19" x14ac:dyDescent="0.55000000000000004">
      <c r="A1212" t="s">
        <v>28</v>
      </c>
      <c r="B1212">
        <v>1954</v>
      </c>
      <c r="C1212">
        <v>3369</v>
      </c>
      <c r="D1212" s="2">
        <v>10</v>
      </c>
      <c r="E1212" s="3">
        <v>3379</v>
      </c>
      <c r="F1212" t="s">
        <v>12</v>
      </c>
      <c r="G1212" t="s">
        <v>12</v>
      </c>
      <c r="H1212" s="1"/>
      <c r="I1212" s="1">
        <v>24455.720338982999</v>
      </c>
      <c r="J1212" s="1">
        <v>109</v>
      </c>
      <c r="K1212" s="1"/>
      <c r="L1212" s="1"/>
      <c r="M1212" s="1"/>
      <c r="N1212" s="1"/>
      <c r="O1212" s="1"/>
      <c r="P1212" s="1"/>
      <c r="Q1212" s="1"/>
      <c r="R1212" s="1">
        <v>27944</v>
      </c>
      <c r="S1212" t="s">
        <v>12</v>
      </c>
    </row>
    <row r="1213" spans="1:19" x14ac:dyDescent="0.55000000000000004">
      <c r="A1213" t="s">
        <v>28</v>
      </c>
      <c r="B1213">
        <v>1953</v>
      </c>
      <c r="C1213">
        <v>50</v>
      </c>
      <c r="D1213" s="2">
        <v>150</v>
      </c>
      <c r="E1213" s="3">
        <v>200</v>
      </c>
      <c r="F1213" t="s">
        <v>12</v>
      </c>
      <c r="G1213" t="s">
        <v>12</v>
      </c>
      <c r="H1213" s="1"/>
      <c r="I1213" s="1">
        <v>300.07163453691402</v>
      </c>
      <c r="J1213" s="1">
        <v>1</v>
      </c>
      <c r="K1213" s="1"/>
      <c r="L1213" s="1"/>
      <c r="M1213" s="1"/>
      <c r="N1213" s="1"/>
      <c r="O1213" s="1"/>
      <c r="P1213" s="1"/>
      <c r="Q1213" s="1"/>
      <c r="R1213" s="1">
        <v>501</v>
      </c>
      <c r="S1213" t="s">
        <v>12</v>
      </c>
    </row>
    <row r="1214" spans="1:19" x14ac:dyDescent="0.55000000000000004">
      <c r="A1214" t="s">
        <v>28</v>
      </c>
      <c r="B1214">
        <v>1952</v>
      </c>
      <c r="C1214">
        <v>0</v>
      </c>
      <c r="D1214" s="2">
        <v>0</v>
      </c>
      <c r="E1214" s="3">
        <v>0</v>
      </c>
      <c r="F1214" t="s">
        <v>12</v>
      </c>
      <c r="G1214" t="s">
        <v>12</v>
      </c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>
        <v>0</v>
      </c>
      <c r="S1214" t="s">
        <v>12</v>
      </c>
    </row>
    <row r="1215" spans="1:19" x14ac:dyDescent="0.55000000000000004">
      <c r="A1215" t="s">
        <v>29</v>
      </c>
      <c r="B1215">
        <v>2023</v>
      </c>
      <c r="C1215">
        <v>65723</v>
      </c>
      <c r="D1215" s="2">
        <v>0</v>
      </c>
      <c r="E1215" s="3">
        <v>65723</v>
      </c>
      <c r="F1215" t="s">
        <v>12</v>
      </c>
      <c r="G1215" t="s">
        <v>12</v>
      </c>
      <c r="H1215" s="1">
        <v>1289.5856711455001</v>
      </c>
      <c r="I1215" s="1">
        <v>1156.75976027251</v>
      </c>
      <c r="J1215" s="1">
        <v>1489.4416814746201</v>
      </c>
      <c r="K1215" s="1"/>
      <c r="L1215" s="1">
        <v>24521.828107709302</v>
      </c>
      <c r="M1215" s="1">
        <v>693.27480634452195</v>
      </c>
      <c r="N1215" s="1">
        <v>-9.9317594983400994</v>
      </c>
      <c r="O1215" s="1"/>
      <c r="P1215" s="1"/>
      <c r="Q1215" s="1">
        <v>-45714.503670083701</v>
      </c>
      <c r="R1215" s="1">
        <v>94864</v>
      </c>
      <c r="S1215" t="s">
        <v>11</v>
      </c>
    </row>
    <row r="1216" spans="1:19" x14ac:dyDescent="0.55000000000000004">
      <c r="A1216" t="s">
        <v>29</v>
      </c>
      <c r="B1216">
        <v>2022</v>
      </c>
      <c r="C1216">
        <v>827355</v>
      </c>
      <c r="D1216" s="2">
        <v>0</v>
      </c>
      <c r="E1216" s="3">
        <v>827355</v>
      </c>
      <c r="F1216" t="s">
        <v>12</v>
      </c>
      <c r="G1216" t="s">
        <v>12</v>
      </c>
      <c r="H1216" s="1">
        <v>19656.429815260701</v>
      </c>
      <c r="I1216" s="1">
        <v>224138.87006100899</v>
      </c>
      <c r="J1216" s="1">
        <v>116842.222070353</v>
      </c>
      <c r="K1216" s="1"/>
      <c r="L1216" s="1">
        <v>276761.44561754703</v>
      </c>
      <c r="M1216" s="1">
        <v>2930.3368526417898</v>
      </c>
      <c r="N1216" s="1">
        <v>-576.78780759650397</v>
      </c>
      <c r="O1216" s="1"/>
      <c r="P1216" s="1"/>
      <c r="Q1216" s="1">
        <v>-506384.75084080599</v>
      </c>
      <c r="R1216" s="1">
        <v>1467108</v>
      </c>
      <c r="S1216" t="s">
        <v>11</v>
      </c>
    </row>
    <row r="1217" spans="1:19" x14ac:dyDescent="0.55000000000000004">
      <c r="A1217" t="s">
        <v>29</v>
      </c>
      <c r="B1217">
        <v>2021</v>
      </c>
      <c r="C1217">
        <v>101434</v>
      </c>
      <c r="D1217" s="2">
        <v>444</v>
      </c>
      <c r="E1217" s="3">
        <v>101878</v>
      </c>
      <c r="F1217" t="s">
        <v>12</v>
      </c>
      <c r="G1217" t="s">
        <v>12</v>
      </c>
      <c r="H1217" s="1">
        <v>2672.8536306542201</v>
      </c>
      <c r="I1217" s="1">
        <v>563.03838937808996</v>
      </c>
      <c r="J1217" s="1">
        <v>2077.5360785643902</v>
      </c>
      <c r="K1217" s="1"/>
      <c r="L1217" s="1">
        <v>11396.666348266301</v>
      </c>
      <c r="M1217" s="1">
        <v>1135.9556786703599</v>
      </c>
      <c r="N1217" s="1">
        <v>-33.910784220078099</v>
      </c>
      <c r="O1217" s="1">
        <v>48.984334702454902</v>
      </c>
      <c r="P1217" s="1"/>
      <c r="Q1217" s="1">
        <v>352.865681513205</v>
      </c>
      <c r="R1217" s="1">
        <v>119739</v>
      </c>
      <c r="S1217" t="s">
        <v>11</v>
      </c>
    </row>
    <row r="1218" spans="1:19" x14ac:dyDescent="0.55000000000000004">
      <c r="A1218" t="s">
        <v>29</v>
      </c>
      <c r="B1218">
        <v>2020</v>
      </c>
      <c r="C1218">
        <v>813</v>
      </c>
      <c r="D1218" s="2">
        <v>6</v>
      </c>
      <c r="E1218" s="3">
        <v>819</v>
      </c>
      <c r="F1218" t="s">
        <v>12</v>
      </c>
      <c r="G1218" t="s">
        <v>12</v>
      </c>
      <c r="H1218" s="1">
        <v>0</v>
      </c>
      <c r="I1218" s="1">
        <v>18.906762428803201</v>
      </c>
      <c r="J1218" s="1">
        <v>176.36125393961899</v>
      </c>
      <c r="K1218" s="1"/>
      <c r="L1218" s="1">
        <v>170.816176470588</v>
      </c>
      <c r="M1218" s="1">
        <v>182.129901960784</v>
      </c>
      <c r="N1218" s="1">
        <v>-13.8112745098039</v>
      </c>
      <c r="O1218" s="1">
        <v>0.91421568627451</v>
      </c>
      <c r="P1218" s="1">
        <v>0.91421568627451</v>
      </c>
      <c r="Q1218" s="1">
        <v>82.223552728624597</v>
      </c>
      <c r="R1218" s="1">
        <v>1355</v>
      </c>
      <c r="S1218" t="s">
        <v>11</v>
      </c>
    </row>
    <row r="1219" spans="1:19" x14ac:dyDescent="0.55000000000000004">
      <c r="A1219" t="s">
        <v>29</v>
      </c>
      <c r="B1219">
        <v>2019</v>
      </c>
      <c r="C1219">
        <v>21632</v>
      </c>
      <c r="D1219" s="2">
        <v>0</v>
      </c>
      <c r="E1219" s="3">
        <v>21632</v>
      </c>
      <c r="F1219" t="s">
        <v>12</v>
      </c>
      <c r="G1219" t="s">
        <v>12</v>
      </c>
      <c r="H1219" s="1">
        <v>10787.341996159401</v>
      </c>
      <c r="I1219" s="1">
        <v>519.15724012439898</v>
      </c>
      <c r="J1219" s="1">
        <v>843.48573448281502</v>
      </c>
      <c r="K1219" s="1"/>
      <c r="L1219" s="1">
        <v>9803.5830108232203</v>
      </c>
      <c r="M1219" s="1">
        <v>60.515841259429301</v>
      </c>
      <c r="N1219" s="1">
        <v>-13.8977369629386</v>
      </c>
      <c r="O1219" s="1"/>
      <c r="P1219" s="1"/>
      <c r="Q1219" s="1">
        <v>-10003.977138770801</v>
      </c>
      <c r="R1219" s="1">
        <v>43632</v>
      </c>
      <c r="S1219" t="s">
        <v>11</v>
      </c>
    </row>
    <row r="1220" spans="1:19" x14ac:dyDescent="0.55000000000000004">
      <c r="A1220" t="s">
        <v>29</v>
      </c>
      <c r="B1220">
        <v>2018</v>
      </c>
      <c r="C1220">
        <v>817811</v>
      </c>
      <c r="D1220" s="2">
        <v>0</v>
      </c>
      <c r="E1220" s="3">
        <v>817811</v>
      </c>
      <c r="F1220" t="s">
        <v>12</v>
      </c>
      <c r="G1220" t="s">
        <v>12</v>
      </c>
      <c r="H1220" s="1">
        <v>11225.306082072</v>
      </c>
      <c r="I1220" s="1">
        <v>909124.89772946597</v>
      </c>
      <c r="J1220" s="1">
        <v>145940.046242215</v>
      </c>
      <c r="K1220" s="1"/>
      <c r="L1220" s="1">
        <v>188855.25809408599</v>
      </c>
      <c r="M1220" s="1">
        <v>1042.03237634266</v>
      </c>
      <c r="N1220" s="1">
        <v>-166.82018465721001</v>
      </c>
      <c r="O1220" s="1"/>
      <c r="P1220" s="1"/>
      <c r="Q1220" s="1">
        <v>-79163.131367043999</v>
      </c>
      <c r="R1220" s="1">
        <v>2073832</v>
      </c>
      <c r="S1220" t="s">
        <v>11</v>
      </c>
    </row>
    <row r="1221" spans="1:19" x14ac:dyDescent="0.55000000000000004">
      <c r="A1221" t="s">
        <v>29</v>
      </c>
      <c r="B1221">
        <v>2017</v>
      </c>
      <c r="C1221">
        <v>113010</v>
      </c>
      <c r="D1221" s="2">
        <v>1571</v>
      </c>
      <c r="E1221" s="3">
        <v>114581</v>
      </c>
      <c r="F1221" t="s">
        <v>12</v>
      </c>
      <c r="G1221" t="s">
        <v>12</v>
      </c>
      <c r="H1221" s="1">
        <v>3662.3450243157199</v>
      </c>
      <c r="I1221" s="1">
        <v>2301.0948582410201</v>
      </c>
      <c r="J1221" s="1">
        <v>4629.9682219986698</v>
      </c>
      <c r="K1221" s="1"/>
      <c r="L1221" s="1">
        <v>17682.469620396001</v>
      </c>
      <c r="M1221" s="1"/>
      <c r="N1221" s="1">
        <v>-21.9486587828093</v>
      </c>
      <c r="O1221" s="1">
        <v>270.54116452013398</v>
      </c>
      <c r="P1221" s="1"/>
      <c r="Q1221" s="1">
        <v>-19808.045787951301</v>
      </c>
      <c r="R1221" s="1">
        <v>143105</v>
      </c>
      <c r="S1221" t="s">
        <v>11</v>
      </c>
    </row>
    <row r="1222" spans="1:19" x14ac:dyDescent="0.55000000000000004">
      <c r="A1222" t="s">
        <v>29</v>
      </c>
      <c r="B1222">
        <v>2016</v>
      </c>
      <c r="C1222">
        <v>893</v>
      </c>
      <c r="D1222" s="2">
        <v>188</v>
      </c>
      <c r="E1222" s="3">
        <v>1081</v>
      </c>
      <c r="F1222" t="s">
        <v>12</v>
      </c>
      <c r="G1222" t="s">
        <v>12</v>
      </c>
      <c r="H1222" s="1">
        <v>751.35931280592001</v>
      </c>
      <c r="I1222" s="1">
        <v>576.91355421053004</v>
      </c>
      <c r="J1222" s="1">
        <v>687.42833220857904</v>
      </c>
      <c r="K1222" s="1"/>
      <c r="L1222" s="1">
        <v>410.80897009966799</v>
      </c>
      <c r="M1222" s="1">
        <v>340.426910299003</v>
      </c>
      <c r="N1222" s="1">
        <v>66.317275747508305</v>
      </c>
      <c r="O1222" s="1">
        <v>87.313953488372107</v>
      </c>
      <c r="P1222" s="1">
        <v>90.038205980066394</v>
      </c>
      <c r="Q1222" s="1">
        <v>-6880.0523026915598</v>
      </c>
      <c r="R1222" s="1">
        <v>4092</v>
      </c>
      <c r="S1222" t="s">
        <v>11</v>
      </c>
    </row>
    <row r="1223" spans="1:19" x14ac:dyDescent="0.55000000000000004">
      <c r="A1223" t="s">
        <v>29</v>
      </c>
      <c r="B1223">
        <v>2015</v>
      </c>
      <c r="C1223">
        <v>45357</v>
      </c>
      <c r="D1223" s="2">
        <v>0</v>
      </c>
      <c r="E1223" s="3">
        <v>45357</v>
      </c>
      <c r="F1223" t="s">
        <v>12</v>
      </c>
      <c r="G1223" t="s">
        <v>12</v>
      </c>
      <c r="H1223" s="1">
        <v>7108.5428623658399</v>
      </c>
      <c r="I1223" s="1">
        <v>2354.8667862603002</v>
      </c>
      <c r="J1223" s="1">
        <v>1344.9037024940801</v>
      </c>
      <c r="K1223" s="1">
        <v>541.54190986012804</v>
      </c>
      <c r="L1223" s="1">
        <v>8993.9958211017092</v>
      </c>
      <c r="M1223" s="1"/>
      <c r="N1223" s="1">
        <v>-17.4176480745984</v>
      </c>
      <c r="O1223" s="1"/>
      <c r="P1223" s="1"/>
      <c r="Q1223" s="1">
        <v>-1696.2899077724001</v>
      </c>
      <c r="R1223" s="1">
        <v>65683</v>
      </c>
      <c r="S1223" t="s">
        <v>11</v>
      </c>
    </row>
    <row r="1224" spans="1:19" x14ac:dyDescent="0.55000000000000004">
      <c r="A1224" t="s">
        <v>29</v>
      </c>
      <c r="B1224">
        <v>2014</v>
      </c>
      <c r="C1224">
        <v>832266</v>
      </c>
      <c r="D1224" s="2">
        <v>78</v>
      </c>
      <c r="E1224" s="3">
        <v>832344</v>
      </c>
      <c r="F1224" t="s">
        <v>12</v>
      </c>
      <c r="G1224" t="s">
        <v>12</v>
      </c>
      <c r="H1224" s="1">
        <v>50879.420520929401</v>
      </c>
      <c r="I1224" s="1">
        <v>1127357.2486773599</v>
      </c>
      <c r="J1224" s="1">
        <v>135218.27835437699</v>
      </c>
      <c r="K1224" s="1"/>
      <c r="L1224" s="1">
        <v>249047.33509242799</v>
      </c>
      <c r="M1224" s="1"/>
      <c r="N1224" s="1">
        <v>-274.41882103552001</v>
      </c>
      <c r="O1224" s="1">
        <v>23.915563439681399</v>
      </c>
      <c r="P1224" s="1"/>
      <c r="Q1224" s="1">
        <v>-92850.251705829505</v>
      </c>
      <c r="R1224" s="1">
        <v>2394596</v>
      </c>
      <c r="S1224" t="s">
        <v>11</v>
      </c>
    </row>
    <row r="1225" spans="1:19" x14ac:dyDescent="0.55000000000000004">
      <c r="A1225" t="s">
        <v>29</v>
      </c>
      <c r="B1225">
        <v>2013</v>
      </c>
      <c r="C1225">
        <v>176656</v>
      </c>
      <c r="D1225" s="2">
        <v>2425</v>
      </c>
      <c r="E1225" s="3">
        <v>179081</v>
      </c>
      <c r="F1225" t="s">
        <v>12</v>
      </c>
      <c r="G1225" t="s">
        <v>12</v>
      </c>
      <c r="H1225" s="1">
        <v>9206.4090894928395</v>
      </c>
      <c r="I1225" s="1">
        <v>12486.26931053</v>
      </c>
      <c r="J1225" s="1">
        <v>6568.2815695768504</v>
      </c>
      <c r="K1225" s="1"/>
      <c r="L1225" s="1">
        <v>39046.801429745399</v>
      </c>
      <c r="M1225" s="1">
        <v>44608.016515342002</v>
      </c>
      <c r="N1225" s="1">
        <v>97.025674029921703</v>
      </c>
      <c r="O1225" s="1">
        <v>491.66618810459698</v>
      </c>
      <c r="P1225" s="1">
        <v>473.96522668990201</v>
      </c>
      <c r="Q1225" s="1">
        <v>-13968.9845957123</v>
      </c>
      <c r="R1225" s="1">
        <v>292059</v>
      </c>
      <c r="S1225" t="s">
        <v>11</v>
      </c>
    </row>
    <row r="1226" spans="1:19" x14ac:dyDescent="0.55000000000000004">
      <c r="A1226" t="s">
        <v>29</v>
      </c>
      <c r="B1226">
        <v>2012</v>
      </c>
      <c r="C1226">
        <v>605</v>
      </c>
      <c r="D1226" s="2">
        <v>19</v>
      </c>
      <c r="E1226" s="3">
        <v>624</v>
      </c>
      <c r="F1226" t="s">
        <v>12</v>
      </c>
      <c r="G1226" t="s">
        <v>12</v>
      </c>
      <c r="H1226" s="1">
        <v>71.173201905108797</v>
      </c>
      <c r="I1226" s="1">
        <v>1739.1309965529999</v>
      </c>
      <c r="J1226" s="1">
        <v>3885.2337824169799</v>
      </c>
      <c r="K1226" s="1">
        <v>-5558.1884984025601</v>
      </c>
      <c r="L1226" s="1">
        <v>93.341853035143799</v>
      </c>
      <c r="M1226" s="1">
        <v>-77.0607028753994</v>
      </c>
      <c r="N1226" s="1"/>
      <c r="O1226" s="1">
        <v>3.4249201277955299</v>
      </c>
      <c r="P1226" s="1"/>
      <c r="Q1226" s="1">
        <v>-8641.13040860609</v>
      </c>
      <c r="R1226" s="1">
        <v>781</v>
      </c>
      <c r="S1226" t="s">
        <v>11</v>
      </c>
    </row>
    <row r="1227" spans="1:19" x14ac:dyDescent="0.55000000000000004">
      <c r="A1227" t="s">
        <v>29</v>
      </c>
      <c r="B1227">
        <v>2011</v>
      </c>
      <c r="C1227">
        <v>45433</v>
      </c>
      <c r="D1227" s="2">
        <v>0</v>
      </c>
      <c r="E1227" s="3">
        <v>45433</v>
      </c>
      <c r="F1227" t="s">
        <v>12</v>
      </c>
      <c r="G1227" t="s">
        <v>12</v>
      </c>
      <c r="H1227" s="1">
        <v>129.736438159861</v>
      </c>
      <c r="I1227" s="1">
        <v>31983.172959178701</v>
      </c>
      <c r="J1227" s="1">
        <v>20057.415283250699</v>
      </c>
      <c r="K1227" s="1"/>
      <c r="L1227" s="1">
        <v>6285.9065040650403</v>
      </c>
      <c r="M1227" s="1">
        <v>11148.0688045769</v>
      </c>
      <c r="N1227" s="1">
        <v>-282.58852755194101</v>
      </c>
      <c r="O1227" s="1"/>
      <c r="P1227" s="1"/>
      <c r="Q1227" s="1">
        <v>-13988.946240408401</v>
      </c>
      <c r="R1227" s="1">
        <v>114755</v>
      </c>
      <c r="S1227" t="s">
        <v>11</v>
      </c>
    </row>
    <row r="1228" spans="1:19" x14ac:dyDescent="0.55000000000000004">
      <c r="A1228" t="s">
        <v>29</v>
      </c>
      <c r="B1228">
        <v>2010</v>
      </c>
      <c r="C1228">
        <v>246563</v>
      </c>
      <c r="D1228" s="2">
        <v>21</v>
      </c>
      <c r="E1228" s="3">
        <v>246584</v>
      </c>
      <c r="F1228" t="s">
        <v>12</v>
      </c>
      <c r="G1228" t="s">
        <v>12</v>
      </c>
      <c r="H1228" s="1">
        <v>0</v>
      </c>
      <c r="I1228" s="1">
        <v>275634.78365821502</v>
      </c>
      <c r="J1228" s="1"/>
      <c r="K1228" s="1"/>
      <c r="L1228" s="1">
        <v>27396.0030553283</v>
      </c>
      <c r="M1228" s="1"/>
      <c r="N1228" s="1">
        <v>-2725.43227142565</v>
      </c>
      <c r="O1228" s="1">
        <v>1.9450040908161199</v>
      </c>
      <c r="P1228" s="1"/>
      <c r="Q1228" s="1">
        <v>-96698.217160926099</v>
      </c>
      <c r="R1228" s="1">
        <v>546891</v>
      </c>
      <c r="S1228" t="s">
        <v>11</v>
      </c>
    </row>
    <row r="1229" spans="1:19" x14ac:dyDescent="0.55000000000000004">
      <c r="A1229" t="s">
        <v>29</v>
      </c>
      <c r="B1229">
        <v>2009</v>
      </c>
      <c r="C1229">
        <v>149400</v>
      </c>
      <c r="D1229" s="2">
        <v>67</v>
      </c>
      <c r="E1229" s="3">
        <v>149467</v>
      </c>
      <c r="F1229" t="s">
        <v>12</v>
      </c>
      <c r="G1229" t="s">
        <v>12</v>
      </c>
      <c r="H1229" s="1">
        <v>5154.1625913342696</v>
      </c>
      <c r="I1229" s="1">
        <v>8813.0090001273293</v>
      </c>
      <c r="J1229" s="1">
        <v>2216.0122014368699</v>
      </c>
      <c r="K1229" s="1"/>
      <c r="L1229" s="1">
        <v>37350</v>
      </c>
      <c r="M1229" s="1"/>
      <c r="N1229" s="1">
        <v>-4.17056856187273</v>
      </c>
      <c r="O1229" s="1">
        <v>16.964567883282399</v>
      </c>
      <c r="P1229" s="1"/>
      <c r="Q1229" s="1">
        <v>-33695.812187245399</v>
      </c>
      <c r="R1229" s="1">
        <v>203013</v>
      </c>
      <c r="S1229" t="s">
        <v>11</v>
      </c>
    </row>
    <row r="1230" spans="1:19" x14ac:dyDescent="0.55000000000000004">
      <c r="A1230" t="s">
        <v>29</v>
      </c>
      <c r="B1230">
        <v>2008</v>
      </c>
      <c r="C1230">
        <v>7091</v>
      </c>
      <c r="D1230" s="2">
        <v>0</v>
      </c>
      <c r="E1230" s="3">
        <v>7091</v>
      </c>
      <c r="F1230" t="s">
        <v>12</v>
      </c>
      <c r="G1230" t="s">
        <v>12</v>
      </c>
      <c r="H1230" s="1">
        <v>497.40683069147502</v>
      </c>
      <c r="I1230" s="1">
        <v>8176.3144927510002</v>
      </c>
      <c r="J1230" s="1">
        <v>10993.3787083058</v>
      </c>
      <c r="K1230" s="1"/>
      <c r="L1230" s="1"/>
      <c r="M1230" s="1"/>
      <c r="N1230" s="1"/>
      <c r="O1230" s="1"/>
      <c r="P1230" s="1"/>
      <c r="Q1230" s="1">
        <v>-21077.066046995598</v>
      </c>
      <c r="R1230" s="1">
        <v>47835</v>
      </c>
      <c r="S1230" t="s">
        <v>9</v>
      </c>
    </row>
    <row r="1231" spans="1:19" x14ac:dyDescent="0.55000000000000004">
      <c r="A1231" t="s">
        <v>29</v>
      </c>
      <c r="B1231">
        <v>2007</v>
      </c>
      <c r="C1231">
        <v>74715</v>
      </c>
      <c r="D1231" s="2">
        <v>0</v>
      </c>
      <c r="E1231" s="3">
        <v>74715</v>
      </c>
      <c r="F1231" t="s">
        <v>12</v>
      </c>
      <c r="G1231" t="s">
        <v>12</v>
      </c>
      <c r="H1231" s="1">
        <v>24202.929327285201</v>
      </c>
      <c r="I1231" s="1">
        <v>11469.1750379405</v>
      </c>
      <c r="J1231" s="1">
        <v>17426.525861963499</v>
      </c>
      <c r="K1231" s="1"/>
      <c r="L1231" s="1"/>
      <c r="M1231" s="1"/>
      <c r="N1231" s="1"/>
      <c r="O1231" s="1"/>
      <c r="P1231" s="1"/>
      <c r="Q1231" s="1">
        <v>-44560.225270426599</v>
      </c>
      <c r="R1231" s="1">
        <v>172374</v>
      </c>
      <c r="S1231" t="s">
        <v>9</v>
      </c>
    </row>
    <row r="1232" spans="1:19" x14ac:dyDescent="0.55000000000000004">
      <c r="A1232" t="s">
        <v>29</v>
      </c>
      <c r="B1232">
        <v>2006</v>
      </c>
      <c r="C1232">
        <v>169127</v>
      </c>
      <c r="D1232" s="2">
        <v>0</v>
      </c>
      <c r="E1232" s="3">
        <v>169127</v>
      </c>
      <c r="F1232" t="s">
        <v>12</v>
      </c>
      <c r="G1232" t="s">
        <v>12</v>
      </c>
      <c r="H1232" s="1">
        <v>2257.5277416005101</v>
      </c>
      <c r="I1232" s="1">
        <v>241887.37777505899</v>
      </c>
      <c r="J1232" s="1">
        <v>49489.272171125303</v>
      </c>
      <c r="K1232" s="1"/>
      <c r="L1232" s="1"/>
      <c r="M1232" s="1"/>
      <c r="N1232" s="1"/>
      <c r="O1232" s="1"/>
      <c r="P1232" s="1"/>
      <c r="Q1232" s="1">
        <v>-125342.75070249999</v>
      </c>
      <c r="R1232" s="1">
        <v>588104</v>
      </c>
      <c r="S1232" t="s">
        <v>9</v>
      </c>
    </row>
    <row r="1233" spans="1:19" x14ac:dyDescent="0.55000000000000004">
      <c r="A1233" t="s">
        <v>29</v>
      </c>
      <c r="B1233">
        <v>2005</v>
      </c>
      <c r="C1233">
        <v>1436751</v>
      </c>
      <c r="D1233" s="2">
        <v>38</v>
      </c>
      <c r="E1233" s="3">
        <v>1436789</v>
      </c>
      <c r="F1233" t="s">
        <v>12</v>
      </c>
      <c r="G1233" t="s">
        <v>12</v>
      </c>
      <c r="H1233" s="1">
        <v>166673.66628694901</v>
      </c>
      <c r="I1233" s="1">
        <v>417891.03337768698</v>
      </c>
      <c r="J1233" s="1">
        <v>253490.73428062501</v>
      </c>
      <c r="K1233" s="1"/>
      <c r="L1233" s="1"/>
      <c r="M1233" s="1"/>
      <c r="N1233" s="1"/>
      <c r="O1233" s="1"/>
      <c r="P1233" s="1"/>
      <c r="Q1233" s="1">
        <v>-1204423.8104254301</v>
      </c>
      <c r="R1233" s="1">
        <v>3479268</v>
      </c>
      <c r="S1233" t="s">
        <v>9</v>
      </c>
    </row>
    <row r="1234" spans="1:19" x14ac:dyDescent="0.55000000000000004">
      <c r="A1234" t="s">
        <v>29</v>
      </c>
      <c r="B1234">
        <v>2004</v>
      </c>
      <c r="C1234">
        <v>10222</v>
      </c>
      <c r="D1234" s="2">
        <v>42</v>
      </c>
      <c r="E1234" s="3">
        <v>10264</v>
      </c>
      <c r="F1234" t="s">
        <v>12</v>
      </c>
      <c r="G1234" t="s">
        <v>12</v>
      </c>
      <c r="H1234" s="1">
        <v>4058.8203187138101</v>
      </c>
      <c r="I1234" s="1">
        <v>82563.319280099895</v>
      </c>
      <c r="J1234" s="1">
        <v>33498.422212773701</v>
      </c>
      <c r="K1234" s="1"/>
      <c r="L1234" s="1"/>
      <c r="M1234" s="1"/>
      <c r="N1234" s="1"/>
      <c r="O1234" s="1"/>
      <c r="P1234" s="1"/>
      <c r="Q1234" s="1">
        <v>-102668.35647329999</v>
      </c>
      <c r="R1234" s="1">
        <v>233053</v>
      </c>
      <c r="S1234" t="s">
        <v>9</v>
      </c>
    </row>
    <row r="1235" spans="1:19" x14ac:dyDescent="0.55000000000000004">
      <c r="A1235" t="s">
        <v>29</v>
      </c>
      <c r="B1235">
        <v>2003</v>
      </c>
      <c r="C1235">
        <v>278990</v>
      </c>
      <c r="D1235" s="2">
        <v>0</v>
      </c>
      <c r="E1235" s="3">
        <v>278990</v>
      </c>
      <c r="F1235" t="s">
        <v>12</v>
      </c>
      <c r="G1235" t="s">
        <v>12</v>
      </c>
      <c r="H1235" s="1">
        <v>10793.734299719301</v>
      </c>
      <c r="I1235" s="1">
        <v>276062.046336442</v>
      </c>
      <c r="J1235" s="1">
        <v>72341.0763660425</v>
      </c>
      <c r="K1235" s="1"/>
      <c r="L1235" s="1"/>
      <c r="M1235" s="1"/>
      <c r="N1235" s="1"/>
      <c r="O1235" s="1"/>
      <c r="P1235" s="1"/>
      <c r="Q1235" s="1">
        <v>-96747.504884648501</v>
      </c>
      <c r="R1235" s="1">
        <v>734934</v>
      </c>
      <c r="S1235" t="s">
        <v>9</v>
      </c>
    </row>
    <row r="1236" spans="1:19" x14ac:dyDescent="0.55000000000000004">
      <c r="A1236" t="s">
        <v>29</v>
      </c>
      <c r="B1236">
        <v>2002</v>
      </c>
      <c r="C1236">
        <v>2985212</v>
      </c>
      <c r="D1236" s="2">
        <v>0</v>
      </c>
      <c r="E1236" s="3">
        <v>2985212</v>
      </c>
      <c r="F1236" t="s">
        <v>12</v>
      </c>
      <c r="G1236" t="s">
        <v>12</v>
      </c>
      <c r="H1236" s="1">
        <v>330.75077438972397</v>
      </c>
      <c r="I1236" s="1">
        <v>1479519.6342486001</v>
      </c>
      <c r="J1236" s="1">
        <v>362312.496428193</v>
      </c>
      <c r="K1236" s="1"/>
      <c r="L1236" s="1"/>
      <c r="M1236" s="1"/>
      <c r="N1236" s="1"/>
      <c r="O1236" s="1"/>
      <c r="P1236" s="1"/>
      <c r="Q1236" s="1">
        <v>48133.421544793397</v>
      </c>
      <c r="R1236" s="1">
        <v>4827375</v>
      </c>
      <c r="S1236" t="s">
        <v>9</v>
      </c>
    </row>
    <row r="1237" spans="1:19" x14ac:dyDescent="0.55000000000000004">
      <c r="A1237" t="s">
        <v>29</v>
      </c>
      <c r="B1237">
        <v>2001</v>
      </c>
      <c r="C1237">
        <v>3510920</v>
      </c>
      <c r="D1237" s="2">
        <v>56</v>
      </c>
      <c r="E1237" s="3">
        <v>3510976</v>
      </c>
      <c r="F1237" t="s">
        <v>12</v>
      </c>
      <c r="G1237" t="s">
        <v>12</v>
      </c>
      <c r="H1237" s="1">
        <v>27502.817531348999</v>
      </c>
      <c r="I1237" s="1">
        <v>567474.199046458</v>
      </c>
      <c r="J1237" s="1">
        <v>242566.46535927799</v>
      </c>
      <c r="K1237" s="1"/>
      <c r="L1237" s="1"/>
      <c r="M1237" s="1"/>
      <c r="N1237" s="1"/>
      <c r="O1237" s="1"/>
      <c r="P1237" s="1"/>
      <c r="Q1237" s="1">
        <v>936647.31664013001</v>
      </c>
      <c r="R1237" s="1">
        <v>4348519</v>
      </c>
      <c r="S1237" t="s">
        <v>9</v>
      </c>
    </row>
    <row r="1238" spans="1:19" x14ac:dyDescent="0.55000000000000004">
      <c r="A1238" t="s">
        <v>29</v>
      </c>
      <c r="B1238">
        <v>2000</v>
      </c>
      <c r="C1238">
        <v>63703</v>
      </c>
      <c r="D1238" s="2">
        <v>79</v>
      </c>
      <c r="E1238" s="3">
        <v>63782</v>
      </c>
      <c r="F1238" t="s">
        <v>12</v>
      </c>
      <c r="G1238" t="s">
        <v>12</v>
      </c>
      <c r="H1238" s="1">
        <v>58.2232078582621</v>
      </c>
      <c r="I1238" s="1">
        <v>36867.896855599902</v>
      </c>
      <c r="J1238" s="1">
        <v>8696.3633549271908</v>
      </c>
      <c r="K1238" s="1"/>
      <c r="L1238" s="1"/>
      <c r="M1238" s="1"/>
      <c r="N1238" s="1"/>
      <c r="O1238" s="1"/>
      <c r="P1238" s="1"/>
      <c r="Q1238" s="1">
        <v>23324.039809384802</v>
      </c>
      <c r="R1238" s="1">
        <v>109404</v>
      </c>
      <c r="S1238" t="s">
        <v>9</v>
      </c>
    </row>
    <row r="1239" spans="1:19" x14ac:dyDescent="0.55000000000000004">
      <c r="A1239" t="s">
        <v>29</v>
      </c>
      <c r="B1239">
        <v>1999</v>
      </c>
      <c r="C1239">
        <v>189360</v>
      </c>
      <c r="D1239" s="2">
        <v>0</v>
      </c>
      <c r="E1239" s="3">
        <v>189360</v>
      </c>
      <c r="F1239" t="s">
        <v>12</v>
      </c>
      <c r="G1239" t="s">
        <v>12</v>
      </c>
      <c r="H1239" s="1">
        <v>163.82646912635499</v>
      </c>
      <c r="I1239" s="1">
        <v>26354.651615571998</v>
      </c>
      <c r="J1239" s="1">
        <v>15447.262815727099</v>
      </c>
      <c r="K1239" s="1"/>
      <c r="L1239" s="1"/>
      <c r="M1239" s="1"/>
      <c r="N1239" s="1"/>
      <c r="O1239" s="1"/>
      <c r="P1239" s="1"/>
      <c r="Q1239" s="1">
        <v>-28035.813054167698</v>
      </c>
      <c r="R1239" s="1">
        <v>259362</v>
      </c>
      <c r="S1239" t="s">
        <v>9</v>
      </c>
    </row>
    <row r="1240" spans="1:19" x14ac:dyDescent="0.55000000000000004">
      <c r="A1240" t="s">
        <v>29</v>
      </c>
      <c r="B1240">
        <v>1998</v>
      </c>
      <c r="C1240">
        <v>1179252</v>
      </c>
      <c r="D1240" s="2">
        <v>0</v>
      </c>
      <c r="E1240" s="3">
        <v>1179252</v>
      </c>
      <c r="F1240" t="s">
        <v>12</v>
      </c>
      <c r="G1240" t="s">
        <v>12</v>
      </c>
      <c r="H1240" s="1">
        <v>40188.252410111199</v>
      </c>
      <c r="I1240" s="1">
        <v>662922.62488063297</v>
      </c>
      <c r="J1240" s="1">
        <v>173592.57675017801</v>
      </c>
      <c r="K1240" s="1"/>
      <c r="L1240" s="1"/>
      <c r="M1240" s="1"/>
      <c r="N1240" s="1"/>
      <c r="O1240" s="1"/>
      <c r="P1240" s="1"/>
      <c r="Q1240" s="1">
        <v>-492831.44682758301</v>
      </c>
      <c r="R1240" s="1">
        <v>2548787</v>
      </c>
      <c r="S1240" t="s">
        <v>9</v>
      </c>
    </row>
    <row r="1241" spans="1:19" x14ac:dyDescent="0.55000000000000004">
      <c r="A1241" t="s">
        <v>29</v>
      </c>
      <c r="B1241">
        <v>1997</v>
      </c>
      <c r="C1241">
        <v>1858652</v>
      </c>
      <c r="D1241" s="2">
        <v>157</v>
      </c>
      <c r="E1241" s="3">
        <v>1858809</v>
      </c>
      <c r="F1241" t="s">
        <v>12</v>
      </c>
      <c r="G1241" t="s">
        <v>12</v>
      </c>
      <c r="H1241" s="1">
        <v>90901.979323753505</v>
      </c>
      <c r="I1241" s="1">
        <v>4294687.8466980001</v>
      </c>
      <c r="J1241" s="1">
        <v>159116.80077361499</v>
      </c>
      <c r="K1241" s="1"/>
      <c r="L1241" s="1"/>
      <c r="M1241" s="1"/>
      <c r="N1241" s="1"/>
      <c r="O1241" s="1"/>
      <c r="P1241" s="1"/>
      <c r="Q1241" s="1">
        <v>87596.153726948294</v>
      </c>
      <c r="R1241" s="1">
        <v>6403516</v>
      </c>
      <c r="S1241" t="s">
        <v>9</v>
      </c>
    </row>
    <row r="1242" spans="1:19" x14ac:dyDescent="0.55000000000000004">
      <c r="A1242" t="s">
        <v>29</v>
      </c>
      <c r="B1242">
        <v>1996</v>
      </c>
      <c r="C1242">
        <v>41187</v>
      </c>
      <c r="D1242" s="2">
        <v>1312</v>
      </c>
      <c r="E1242" s="3">
        <v>42499</v>
      </c>
      <c r="F1242" t="s">
        <v>12</v>
      </c>
      <c r="G1242" t="s">
        <v>12</v>
      </c>
      <c r="H1242" s="1">
        <v>403.473675420809</v>
      </c>
      <c r="I1242" s="1">
        <v>24643.552523793802</v>
      </c>
      <c r="J1242" s="1">
        <v>8306.7958202705195</v>
      </c>
      <c r="K1242" s="1"/>
      <c r="L1242" s="1"/>
      <c r="M1242" s="1"/>
      <c r="N1242" s="1"/>
      <c r="O1242" s="1"/>
      <c r="P1242" s="1"/>
      <c r="Q1242" s="1">
        <v>11003.7156398435</v>
      </c>
      <c r="R1242" s="1">
        <v>75853</v>
      </c>
      <c r="S1242" t="s">
        <v>9</v>
      </c>
    </row>
    <row r="1243" spans="1:19" x14ac:dyDescent="0.55000000000000004">
      <c r="A1243" t="s">
        <v>29</v>
      </c>
      <c r="B1243">
        <v>1995</v>
      </c>
      <c r="C1243">
        <v>216109</v>
      </c>
      <c r="D1243" s="2">
        <v>1</v>
      </c>
      <c r="E1243" s="3">
        <v>216110</v>
      </c>
      <c r="F1243" t="s">
        <v>12</v>
      </c>
      <c r="G1243" t="s">
        <v>12</v>
      </c>
      <c r="H1243" s="1">
        <v>700.90277191098698</v>
      </c>
      <c r="I1243" s="1">
        <v>132084.68436615501</v>
      </c>
      <c r="J1243" s="1">
        <v>87525.572479084294</v>
      </c>
      <c r="K1243" s="1"/>
      <c r="L1243" s="1"/>
      <c r="M1243" s="1"/>
      <c r="N1243" s="1"/>
      <c r="O1243" s="1"/>
      <c r="P1243" s="1"/>
      <c r="Q1243" s="1">
        <v>77055.035881337797</v>
      </c>
      <c r="R1243" s="1">
        <v>436421</v>
      </c>
      <c r="S1243" t="s">
        <v>9</v>
      </c>
    </row>
    <row r="1244" spans="1:19" x14ac:dyDescent="0.55000000000000004">
      <c r="A1244" t="s">
        <v>29</v>
      </c>
      <c r="B1244">
        <v>1994</v>
      </c>
      <c r="C1244">
        <v>659499</v>
      </c>
      <c r="D1244" s="2">
        <v>6</v>
      </c>
      <c r="E1244" s="3">
        <v>659505</v>
      </c>
      <c r="F1244" t="s">
        <v>12</v>
      </c>
      <c r="G1244" t="s">
        <v>12</v>
      </c>
      <c r="H1244" s="1">
        <v>35915.254140419303</v>
      </c>
      <c r="I1244" s="1">
        <v>1919221.2164808</v>
      </c>
      <c r="J1244" s="1">
        <v>197766.20455775701</v>
      </c>
      <c r="K1244" s="1"/>
      <c r="L1244" s="1"/>
      <c r="M1244" s="1"/>
      <c r="N1244" s="1"/>
      <c r="O1244" s="1"/>
      <c r="P1244" s="1"/>
      <c r="Q1244" s="1">
        <v>-123121.49711682901</v>
      </c>
      <c r="R1244" s="1">
        <v>2935529</v>
      </c>
      <c r="S1244" t="s">
        <v>9</v>
      </c>
    </row>
    <row r="1245" spans="1:19" x14ac:dyDescent="0.55000000000000004">
      <c r="A1245" t="s">
        <v>29</v>
      </c>
      <c r="B1245">
        <v>1993</v>
      </c>
      <c r="C1245">
        <v>2620454</v>
      </c>
      <c r="D1245" s="2">
        <v>303</v>
      </c>
      <c r="E1245" s="3">
        <v>2620757</v>
      </c>
      <c r="F1245" t="s">
        <v>12</v>
      </c>
      <c r="G1245" t="s">
        <v>12</v>
      </c>
      <c r="H1245" s="1">
        <v>103934.18658360399</v>
      </c>
      <c r="I1245" s="1">
        <v>7470524.9414361501</v>
      </c>
      <c r="J1245" s="1">
        <v>136265</v>
      </c>
      <c r="K1245" s="1"/>
      <c r="L1245" s="1"/>
      <c r="M1245" s="1"/>
      <c r="N1245" s="1"/>
      <c r="O1245" s="1"/>
      <c r="P1245" s="1"/>
      <c r="Q1245" s="1">
        <v>323205.53913420101</v>
      </c>
      <c r="R1245" s="1">
        <v>10331481</v>
      </c>
      <c r="S1245" t="s">
        <v>9</v>
      </c>
    </row>
    <row r="1246" spans="1:19" x14ac:dyDescent="0.55000000000000004">
      <c r="A1246" t="s">
        <v>29</v>
      </c>
      <c r="B1246">
        <v>1992</v>
      </c>
      <c r="C1246">
        <v>5862</v>
      </c>
      <c r="D1246" s="2">
        <v>3039</v>
      </c>
      <c r="E1246" s="3">
        <v>8901</v>
      </c>
      <c r="F1246" t="s">
        <v>12</v>
      </c>
      <c r="G1246" t="s">
        <v>12</v>
      </c>
      <c r="H1246" s="1">
        <v>363.03012718948997</v>
      </c>
      <c r="I1246" s="1">
        <v>61065.951228970502</v>
      </c>
      <c r="J1246" s="1">
        <v>2765.8796668950399</v>
      </c>
      <c r="K1246" s="1"/>
      <c r="L1246" s="1"/>
      <c r="M1246" s="1"/>
      <c r="N1246" s="1"/>
      <c r="O1246" s="1"/>
      <c r="P1246" s="1"/>
      <c r="Q1246" s="1">
        <v>-10763.009193124601</v>
      </c>
      <c r="R1246" s="1">
        <v>83859</v>
      </c>
      <c r="S1246" t="s">
        <v>9</v>
      </c>
    </row>
    <row r="1247" spans="1:19" x14ac:dyDescent="0.55000000000000004">
      <c r="A1247" t="s">
        <v>29</v>
      </c>
      <c r="B1247">
        <v>1991</v>
      </c>
      <c r="C1247">
        <v>46259</v>
      </c>
      <c r="D1247" s="2">
        <v>0</v>
      </c>
      <c r="E1247" s="3">
        <v>46259</v>
      </c>
      <c r="F1247" t="s">
        <v>12</v>
      </c>
      <c r="G1247" t="s">
        <v>12</v>
      </c>
      <c r="H1247" s="1">
        <v>403.31408158708899</v>
      </c>
      <c r="I1247" s="1">
        <v>206166.21648558299</v>
      </c>
      <c r="J1247" s="1">
        <v>8664</v>
      </c>
      <c r="K1247" s="1"/>
      <c r="L1247" s="1"/>
      <c r="M1247" s="1"/>
      <c r="N1247" s="1"/>
      <c r="O1247" s="1"/>
      <c r="P1247" s="1"/>
      <c r="Q1247" s="1">
        <v>-5916.7727716895697</v>
      </c>
      <c r="R1247" s="1">
        <v>267409</v>
      </c>
      <c r="S1247" t="s">
        <v>9</v>
      </c>
    </row>
    <row r="1248" spans="1:19" x14ac:dyDescent="0.55000000000000004">
      <c r="A1248" t="s">
        <v>29</v>
      </c>
      <c r="B1248">
        <v>1990</v>
      </c>
      <c r="C1248">
        <v>487644</v>
      </c>
      <c r="D1248" s="2">
        <v>7</v>
      </c>
      <c r="E1248" s="3">
        <v>487651</v>
      </c>
      <c r="F1248" t="s">
        <v>12</v>
      </c>
      <c r="G1248" t="s">
        <v>12</v>
      </c>
      <c r="H1248" s="1">
        <v>26289.4213799756</v>
      </c>
      <c r="I1248" s="1">
        <v>2061969.17925237</v>
      </c>
      <c r="J1248" s="1">
        <v>119303.538441688</v>
      </c>
      <c r="K1248" s="1"/>
      <c r="L1248" s="1"/>
      <c r="M1248" s="1"/>
      <c r="N1248" s="1"/>
      <c r="O1248" s="1"/>
      <c r="P1248" s="1"/>
      <c r="Q1248" s="1">
        <v>-118065.961809395</v>
      </c>
      <c r="R1248" s="1">
        <v>2813279</v>
      </c>
      <c r="S1248" t="s">
        <v>9</v>
      </c>
    </row>
    <row r="1249" spans="1:19" x14ac:dyDescent="0.55000000000000004">
      <c r="A1249" t="s">
        <v>29</v>
      </c>
      <c r="B1249">
        <v>1989</v>
      </c>
      <c r="C1249">
        <v>1870672</v>
      </c>
      <c r="D1249" s="2">
        <v>13</v>
      </c>
      <c r="E1249" s="3">
        <v>1870685</v>
      </c>
      <c r="F1249" t="s">
        <v>12</v>
      </c>
      <c r="G1249" t="s">
        <v>12</v>
      </c>
      <c r="H1249" s="1">
        <v>138555.79738057</v>
      </c>
      <c r="I1249" s="1">
        <v>9892290.6605469305</v>
      </c>
      <c r="J1249" s="1">
        <v>196370.096644473</v>
      </c>
      <c r="K1249" s="1"/>
      <c r="L1249" s="1"/>
      <c r="M1249" s="1"/>
      <c r="N1249" s="1"/>
      <c r="O1249" s="1"/>
      <c r="P1249" s="1"/>
      <c r="Q1249" s="1">
        <v>-168.455403044137</v>
      </c>
      <c r="R1249" s="1">
        <v>12098070</v>
      </c>
      <c r="S1249" t="s">
        <v>9</v>
      </c>
    </row>
    <row r="1250" spans="1:19" x14ac:dyDescent="0.55000000000000004">
      <c r="A1250" t="s">
        <v>29</v>
      </c>
      <c r="B1250">
        <v>1988</v>
      </c>
      <c r="C1250">
        <v>6832</v>
      </c>
      <c r="D1250" s="2">
        <v>20202</v>
      </c>
      <c r="E1250" s="3">
        <v>27034</v>
      </c>
      <c r="F1250" t="s">
        <v>12</v>
      </c>
      <c r="G1250" t="s">
        <v>12</v>
      </c>
      <c r="H1250" s="1">
        <v>0</v>
      </c>
      <c r="I1250" s="1">
        <v>14956.0165554707</v>
      </c>
      <c r="J1250" s="1">
        <v>2218</v>
      </c>
      <c r="K1250" s="1"/>
      <c r="L1250" s="1"/>
      <c r="M1250" s="1"/>
      <c r="N1250" s="1"/>
      <c r="O1250" s="1"/>
      <c r="P1250" s="1"/>
      <c r="Q1250" s="1">
        <v>21748.912152848501</v>
      </c>
      <c r="R1250" s="1">
        <v>44208</v>
      </c>
      <c r="S1250" t="s">
        <v>9</v>
      </c>
    </row>
    <row r="1251" spans="1:19" x14ac:dyDescent="0.55000000000000004">
      <c r="A1251" t="s">
        <v>29</v>
      </c>
      <c r="B1251">
        <v>1987</v>
      </c>
      <c r="C1251">
        <v>20546</v>
      </c>
      <c r="D1251" s="2">
        <v>13</v>
      </c>
      <c r="E1251" s="3">
        <v>20559</v>
      </c>
      <c r="F1251" t="s">
        <v>12</v>
      </c>
      <c r="G1251" t="s">
        <v>12</v>
      </c>
      <c r="H1251" s="1">
        <v>8.8438950205017992</v>
      </c>
      <c r="I1251" s="1">
        <v>53018.377568003401</v>
      </c>
      <c r="J1251" s="1">
        <v>6171</v>
      </c>
      <c r="K1251" s="1"/>
      <c r="L1251" s="1"/>
      <c r="M1251" s="1"/>
      <c r="N1251" s="1"/>
      <c r="O1251" s="1"/>
      <c r="P1251" s="1"/>
      <c r="Q1251" s="1">
        <v>3364.65349490881</v>
      </c>
      <c r="R1251" s="1">
        <v>79757</v>
      </c>
      <c r="S1251" t="s">
        <v>9</v>
      </c>
    </row>
    <row r="1252" spans="1:19" x14ac:dyDescent="0.55000000000000004">
      <c r="A1252" t="s">
        <v>29</v>
      </c>
      <c r="B1252">
        <v>1986</v>
      </c>
      <c r="C1252">
        <v>181467</v>
      </c>
      <c r="D1252" s="2">
        <v>6</v>
      </c>
      <c r="E1252" s="3">
        <v>181473</v>
      </c>
      <c r="F1252" t="s">
        <v>12</v>
      </c>
      <c r="G1252" t="s">
        <v>12</v>
      </c>
      <c r="H1252" s="1">
        <v>0</v>
      </c>
      <c r="I1252" s="1">
        <v>486868.282176662</v>
      </c>
      <c r="J1252" s="1">
        <v>57124.072545217401</v>
      </c>
      <c r="K1252" s="1"/>
      <c r="L1252" s="1"/>
      <c r="M1252" s="1"/>
      <c r="N1252" s="1"/>
      <c r="O1252" s="1"/>
      <c r="P1252" s="1"/>
      <c r="Q1252" s="1">
        <v>-61514.146163595797</v>
      </c>
      <c r="R1252" s="1">
        <v>786980</v>
      </c>
      <c r="S1252" t="s">
        <v>9</v>
      </c>
    </row>
    <row r="1253" spans="1:19" x14ac:dyDescent="0.55000000000000004">
      <c r="A1253" t="s">
        <v>29</v>
      </c>
      <c r="B1253">
        <v>1985</v>
      </c>
      <c r="C1253">
        <v>1349263</v>
      </c>
      <c r="D1253" s="2">
        <v>0</v>
      </c>
      <c r="E1253" s="3">
        <v>1349263</v>
      </c>
      <c r="F1253" t="s">
        <v>12</v>
      </c>
      <c r="G1253" t="s">
        <v>12</v>
      </c>
      <c r="H1253" s="1">
        <v>4274.0096501210801</v>
      </c>
      <c r="I1253" s="1">
        <v>7981811.8826636197</v>
      </c>
      <c r="J1253" s="1">
        <v>202818.08706560501</v>
      </c>
      <c r="K1253" s="1"/>
      <c r="L1253" s="1"/>
      <c r="M1253" s="1"/>
      <c r="N1253" s="1"/>
      <c r="O1253" s="1"/>
      <c r="P1253" s="1"/>
      <c r="Q1253" s="1">
        <v>60417.624653455998</v>
      </c>
      <c r="R1253" s="1">
        <v>9538167</v>
      </c>
      <c r="S1253" t="s">
        <v>9</v>
      </c>
    </row>
    <row r="1254" spans="1:19" x14ac:dyDescent="0.55000000000000004">
      <c r="A1254" t="s">
        <v>29</v>
      </c>
      <c r="B1254">
        <v>1984</v>
      </c>
      <c r="C1254">
        <v>914</v>
      </c>
      <c r="D1254" s="2">
        <v>5272</v>
      </c>
      <c r="E1254" s="3">
        <v>6186</v>
      </c>
      <c r="F1254" t="s">
        <v>12</v>
      </c>
      <c r="G1254" t="s">
        <v>12</v>
      </c>
      <c r="H1254" s="1">
        <v>0</v>
      </c>
      <c r="I1254" s="1">
        <v>18986.064910884001</v>
      </c>
      <c r="J1254" s="1">
        <v>360.77291635027399</v>
      </c>
      <c r="K1254" s="1"/>
      <c r="L1254" s="1"/>
      <c r="M1254" s="1"/>
      <c r="N1254" s="1"/>
      <c r="O1254" s="1"/>
      <c r="P1254" s="1"/>
      <c r="Q1254" s="1">
        <v>3335.0551912109299</v>
      </c>
      <c r="R1254" s="1">
        <v>25533</v>
      </c>
      <c r="S1254" t="s">
        <v>9</v>
      </c>
    </row>
    <row r="1255" spans="1:19" x14ac:dyDescent="0.55000000000000004">
      <c r="A1255" t="s">
        <v>29</v>
      </c>
      <c r="B1255">
        <v>1983</v>
      </c>
      <c r="C1255">
        <v>2155</v>
      </c>
      <c r="D1255" s="2">
        <v>0</v>
      </c>
      <c r="E1255" s="3">
        <v>2155</v>
      </c>
      <c r="F1255" t="s">
        <v>12</v>
      </c>
      <c r="G1255" t="s">
        <v>12</v>
      </c>
      <c r="H1255" s="1">
        <v>1067.77186767018</v>
      </c>
      <c r="I1255" s="1">
        <v>1953.1064043348899</v>
      </c>
      <c r="J1255" s="1">
        <v>1015.6950845177</v>
      </c>
      <c r="K1255" s="1"/>
      <c r="L1255" s="1"/>
      <c r="M1255" s="1"/>
      <c r="N1255" s="1"/>
      <c r="O1255" s="1"/>
      <c r="P1255" s="1"/>
      <c r="Q1255" s="1">
        <v>2505.1303362243402</v>
      </c>
      <c r="R1255" s="1">
        <v>6192</v>
      </c>
      <c r="S1255" t="s">
        <v>9</v>
      </c>
    </row>
    <row r="1256" spans="1:19" x14ac:dyDescent="0.55000000000000004">
      <c r="A1256" t="s">
        <v>29</v>
      </c>
      <c r="B1256">
        <v>1982</v>
      </c>
      <c r="C1256">
        <v>39841</v>
      </c>
      <c r="D1256" s="2">
        <v>0</v>
      </c>
      <c r="E1256" s="3">
        <v>39841</v>
      </c>
      <c r="F1256" t="s">
        <v>12</v>
      </c>
      <c r="G1256" t="s">
        <v>12</v>
      </c>
      <c r="H1256" s="1"/>
      <c r="I1256" s="1">
        <v>211569.44138089</v>
      </c>
      <c r="J1256" s="1">
        <v>19994.048367424999</v>
      </c>
      <c r="K1256" s="1"/>
      <c r="L1256" s="1"/>
      <c r="M1256" s="1"/>
      <c r="N1256" s="1"/>
      <c r="O1256" s="1"/>
      <c r="P1256" s="1"/>
      <c r="Q1256" s="1">
        <v>-28053.6637991272</v>
      </c>
      <c r="R1256" s="1">
        <v>299458</v>
      </c>
      <c r="S1256" t="s">
        <v>9</v>
      </c>
    </row>
    <row r="1257" spans="1:19" x14ac:dyDescent="0.55000000000000004">
      <c r="A1257" t="s">
        <v>29</v>
      </c>
      <c r="B1257">
        <v>1981</v>
      </c>
      <c r="C1257">
        <v>748621</v>
      </c>
      <c r="D1257" s="2">
        <v>31</v>
      </c>
      <c r="E1257" s="3">
        <v>748652</v>
      </c>
      <c r="F1257" t="s">
        <v>12</v>
      </c>
      <c r="G1257" t="s">
        <v>12</v>
      </c>
      <c r="H1257" s="1"/>
      <c r="I1257" s="1">
        <v>2855209.6191504402</v>
      </c>
      <c r="J1257" s="1">
        <v>160560.64888466499</v>
      </c>
      <c r="K1257" s="1"/>
      <c r="L1257" s="1"/>
      <c r="M1257" s="1"/>
      <c r="N1257" s="1"/>
      <c r="O1257" s="1"/>
      <c r="P1257" s="1"/>
      <c r="Q1257" s="1">
        <v>-69998.390248956304</v>
      </c>
      <c r="R1257" s="1">
        <v>3834421</v>
      </c>
      <c r="S1257" t="s">
        <v>9</v>
      </c>
    </row>
    <row r="1258" spans="1:19" x14ac:dyDescent="0.55000000000000004">
      <c r="A1258" t="s">
        <v>29</v>
      </c>
      <c r="B1258">
        <v>1980</v>
      </c>
      <c r="C1258">
        <v>308</v>
      </c>
      <c r="D1258" s="2">
        <v>2868</v>
      </c>
      <c r="E1258" s="3">
        <v>3176</v>
      </c>
      <c r="F1258" t="s">
        <v>12</v>
      </c>
      <c r="G1258" t="s">
        <v>12</v>
      </c>
      <c r="H1258" s="1"/>
      <c r="I1258" s="1">
        <v>3598.3940337725599</v>
      </c>
      <c r="J1258" s="1">
        <v>189.25568714072199</v>
      </c>
      <c r="K1258" s="1"/>
      <c r="L1258" s="1"/>
      <c r="M1258" s="1"/>
      <c r="N1258" s="1"/>
      <c r="O1258" s="1"/>
      <c r="P1258" s="1"/>
      <c r="Q1258" s="1">
        <v>2975.9422153393498</v>
      </c>
      <c r="R1258" s="1">
        <v>6964</v>
      </c>
      <c r="S1258" t="s">
        <v>9</v>
      </c>
    </row>
    <row r="1259" spans="1:19" x14ac:dyDescent="0.55000000000000004">
      <c r="A1259" t="s">
        <v>29</v>
      </c>
      <c r="B1259">
        <v>1979</v>
      </c>
      <c r="C1259">
        <v>511</v>
      </c>
      <c r="D1259" s="2">
        <v>0</v>
      </c>
      <c r="E1259" s="3">
        <v>511</v>
      </c>
      <c r="F1259" t="s">
        <v>12</v>
      </c>
      <c r="G1259" t="s">
        <v>12</v>
      </c>
      <c r="H1259" s="1"/>
      <c r="I1259" s="1">
        <v>2967.28473445704</v>
      </c>
      <c r="J1259" s="1">
        <v>77.381332301522704</v>
      </c>
      <c r="K1259" s="1"/>
      <c r="L1259" s="1"/>
      <c r="M1259" s="1"/>
      <c r="N1259" s="1"/>
      <c r="O1259" s="1"/>
      <c r="P1259" s="1"/>
      <c r="Q1259" s="1">
        <v>76.260963321541198</v>
      </c>
      <c r="R1259" s="1">
        <v>3556</v>
      </c>
      <c r="S1259" t="s">
        <v>9</v>
      </c>
    </row>
    <row r="1260" spans="1:19" x14ac:dyDescent="0.55000000000000004">
      <c r="A1260" t="s">
        <v>29</v>
      </c>
      <c r="B1260">
        <v>1978</v>
      </c>
      <c r="C1260">
        <v>8614</v>
      </c>
      <c r="D1260" s="2">
        <v>0</v>
      </c>
      <c r="E1260" s="3">
        <v>8614</v>
      </c>
      <c r="F1260" t="s">
        <v>12</v>
      </c>
      <c r="G1260" t="s">
        <v>12</v>
      </c>
      <c r="H1260" s="1"/>
      <c r="I1260" s="1">
        <v>23923.868172246101</v>
      </c>
      <c r="J1260" s="1">
        <v>1728.18250285576</v>
      </c>
      <c r="K1260" s="1"/>
      <c r="L1260" s="1"/>
      <c r="M1260" s="1"/>
      <c r="N1260" s="1"/>
      <c r="O1260" s="1"/>
      <c r="P1260" s="1"/>
      <c r="Q1260" s="1">
        <v>-1728.0957651518399</v>
      </c>
      <c r="R1260" s="1">
        <v>35994</v>
      </c>
      <c r="S1260" t="s">
        <v>9</v>
      </c>
    </row>
    <row r="1261" spans="1:19" x14ac:dyDescent="0.55000000000000004">
      <c r="A1261" t="s">
        <v>29</v>
      </c>
      <c r="B1261">
        <v>1977</v>
      </c>
      <c r="C1261">
        <v>516199</v>
      </c>
      <c r="D1261" s="2">
        <v>24</v>
      </c>
      <c r="E1261" s="3">
        <v>516223</v>
      </c>
      <c r="F1261" t="s">
        <v>12</v>
      </c>
      <c r="G1261" t="s">
        <v>12</v>
      </c>
      <c r="H1261" s="1"/>
      <c r="I1261" s="1">
        <v>1757614.49701708</v>
      </c>
      <c r="J1261" s="1">
        <v>67812.992098778093</v>
      </c>
      <c r="K1261" s="1"/>
      <c r="L1261" s="1"/>
      <c r="M1261" s="1"/>
      <c r="N1261" s="1"/>
      <c r="O1261" s="1"/>
      <c r="P1261" s="1"/>
      <c r="Q1261" s="1">
        <v>-80035.683389713799</v>
      </c>
      <c r="R1261" s="1">
        <v>2421686</v>
      </c>
      <c r="S1261" t="s">
        <v>9</v>
      </c>
    </row>
    <row r="1262" spans="1:19" x14ac:dyDescent="0.55000000000000004">
      <c r="A1262" t="s">
        <v>29</v>
      </c>
      <c r="B1262">
        <v>1976</v>
      </c>
      <c r="C1262">
        <v>305</v>
      </c>
      <c r="D1262" s="2">
        <v>1892</v>
      </c>
      <c r="E1262" s="3">
        <v>2197</v>
      </c>
      <c r="F1262" t="s">
        <v>12</v>
      </c>
      <c r="G1262" t="s">
        <v>12</v>
      </c>
      <c r="H1262" s="1"/>
      <c r="I1262" s="1">
        <v>3919.9665345662702</v>
      </c>
      <c r="J1262" s="1">
        <v>239.918978423602</v>
      </c>
      <c r="K1262" s="1"/>
      <c r="L1262" s="1"/>
      <c r="M1262" s="1"/>
      <c r="N1262" s="1"/>
      <c r="O1262" s="1"/>
      <c r="P1262" s="1"/>
      <c r="Q1262" s="1"/>
      <c r="R1262" s="1">
        <v>6357</v>
      </c>
      <c r="S1262" t="s">
        <v>12</v>
      </c>
    </row>
    <row r="1263" spans="1:19" x14ac:dyDescent="0.55000000000000004">
      <c r="A1263" t="s">
        <v>29</v>
      </c>
      <c r="B1263">
        <v>1975</v>
      </c>
      <c r="C1263">
        <v>193</v>
      </c>
      <c r="D1263" s="2">
        <v>8</v>
      </c>
      <c r="E1263" s="3">
        <v>201</v>
      </c>
      <c r="F1263" t="s">
        <v>12</v>
      </c>
      <c r="G1263" t="s">
        <v>12</v>
      </c>
      <c r="H1263" s="1"/>
      <c r="I1263" s="1">
        <v>508</v>
      </c>
      <c r="J1263" s="1">
        <v>47</v>
      </c>
      <c r="K1263" s="1"/>
      <c r="L1263" s="1"/>
      <c r="M1263" s="1"/>
      <c r="N1263" s="1"/>
      <c r="O1263" s="1"/>
      <c r="P1263" s="1"/>
      <c r="Q1263" s="1"/>
      <c r="R1263" s="1">
        <v>756</v>
      </c>
      <c r="S1263" t="s">
        <v>11</v>
      </c>
    </row>
    <row r="1264" spans="1:19" x14ac:dyDescent="0.55000000000000004">
      <c r="A1264" t="s">
        <v>29</v>
      </c>
      <c r="B1264">
        <v>1974</v>
      </c>
      <c r="C1264">
        <v>4459</v>
      </c>
      <c r="D1264" s="2">
        <v>0</v>
      </c>
      <c r="E1264" s="3">
        <v>4459</v>
      </c>
      <c r="F1264" t="s">
        <v>12</v>
      </c>
      <c r="G1264" t="s">
        <v>12</v>
      </c>
      <c r="H1264" s="1"/>
      <c r="I1264" s="1">
        <v>20496.777088411302</v>
      </c>
      <c r="J1264" s="1">
        <v>2868.26434744073</v>
      </c>
      <c r="K1264" s="1"/>
      <c r="L1264" s="1"/>
      <c r="M1264" s="1"/>
      <c r="N1264" s="1"/>
      <c r="O1264" s="1"/>
      <c r="P1264" s="1"/>
      <c r="Q1264" s="1"/>
      <c r="R1264" s="1">
        <v>27824</v>
      </c>
      <c r="S1264" t="s">
        <v>12</v>
      </c>
    </row>
    <row r="1265" spans="1:19" x14ac:dyDescent="0.55000000000000004">
      <c r="A1265" t="s">
        <v>29</v>
      </c>
      <c r="B1265">
        <v>1973</v>
      </c>
      <c r="C1265">
        <v>278061</v>
      </c>
      <c r="D1265" s="2">
        <v>0</v>
      </c>
      <c r="E1265" s="3">
        <v>278061</v>
      </c>
      <c r="F1265" t="s">
        <v>12</v>
      </c>
      <c r="G1265" t="s">
        <v>12</v>
      </c>
      <c r="H1265" s="1"/>
      <c r="I1265" s="1">
        <v>1315966.5653717399</v>
      </c>
      <c r="J1265" s="1">
        <v>32399.271612605498</v>
      </c>
      <c r="K1265" s="1"/>
      <c r="L1265" s="1"/>
      <c r="M1265" s="1"/>
      <c r="N1265" s="1"/>
      <c r="O1265" s="1"/>
      <c r="P1265" s="1"/>
      <c r="Q1265" s="1"/>
      <c r="R1265" s="1">
        <v>1626427</v>
      </c>
      <c r="S1265" t="s">
        <v>12</v>
      </c>
    </row>
    <row r="1266" spans="1:19" x14ac:dyDescent="0.55000000000000004">
      <c r="A1266" t="s">
        <v>29</v>
      </c>
      <c r="B1266">
        <v>1972</v>
      </c>
      <c r="C1266">
        <v>111</v>
      </c>
      <c r="D1266" s="2">
        <v>3377</v>
      </c>
      <c r="E1266" s="3">
        <v>3488</v>
      </c>
      <c r="F1266" t="s">
        <v>12</v>
      </c>
      <c r="G1266" t="s">
        <v>12</v>
      </c>
      <c r="H1266" s="1"/>
      <c r="I1266" s="1">
        <v>3305</v>
      </c>
      <c r="J1266" s="1">
        <v>117</v>
      </c>
      <c r="K1266" s="1"/>
      <c r="L1266" s="1"/>
      <c r="M1266" s="1"/>
      <c r="N1266" s="1"/>
      <c r="O1266" s="1"/>
      <c r="P1266" s="1"/>
      <c r="Q1266" s="1"/>
      <c r="R1266" s="1">
        <v>6910</v>
      </c>
      <c r="S1266" t="s">
        <v>12</v>
      </c>
    </row>
    <row r="1267" spans="1:19" x14ac:dyDescent="0.55000000000000004">
      <c r="A1267" t="s">
        <v>29</v>
      </c>
      <c r="B1267">
        <v>1971</v>
      </c>
      <c r="C1267">
        <v>171</v>
      </c>
      <c r="D1267" s="2">
        <v>0</v>
      </c>
      <c r="E1267" s="3">
        <v>171</v>
      </c>
      <c r="F1267" t="s">
        <v>12</v>
      </c>
      <c r="G1267" t="s">
        <v>12</v>
      </c>
      <c r="H1267" s="1"/>
      <c r="I1267" s="1">
        <v>1906</v>
      </c>
      <c r="J1267" s="1">
        <v>69</v>
      </c>
      <c r="K1267" s="1"/>
      <c r="L1267" s="1"/>
      <c r="M1267" s="1"/>
      <c r="N1267" s="1"/>
      <c r="O1267" s="1"/>
      <c r="P1267" s="1"/>
      <c r="Q1267" s="1"/>
      <c r="R1267" s="1">
        <v>2146</v>
      </c>
      <c r="S1267" t="s">
        <v>12</v>
      </c>
    </row>
    <row r="1268" spans="1:19" x14ac:dyDescent="0.55000000000000004">
      <c r="A1268" t="s">
        <v>29</v>
      </c>
      <c r="B1268">
        <v>1970</v>
      </c>
      <c r="C1268">
        <v>1368</v>
      </c>
      <c r="D1268" s="2">
        <v>5</v>
      </c>
      <c r="E1268" s="3">
        <v>1373</v>
      </c>
      <c r="F1268" t="s">
        <v>12</v>
      </c>
      <c r="G1268" t="s">
        <v>12</v>
      </c>
      <c r="H1268" s="1"/>
      <c r="I1268" s="1">
        <v>6360</v>
      </c>
      <c r="J1268" s="1">
        <v>220</v>
      </c>
      <c r="K1268" s="1"/>
      <c r="L1268" s="1"/>
      <c r="M1268" s="1"/>
      <c r="N1268" s="1"/>
      <c r="O1268" s="1"/>
      <c r="P1268" s="1"/>
      <c r="Q1268" s="1"/>
      <c r="R1268" s="1">
        <v>7953</v>
      </c>
      <c r="S1268" t="s">
        <v>12</v>
      </c>
    </row>
    <row r="1269" spans="1:19" x14ac:dyDescent="0.55000000000000004">
      <c r="A1269" t="s">
        <v>29</v>
      </c>
      <c r="B1269">
        <v>1969</v>
      </c>
      <c r="C1269">
        <v>273129</v>
      </c>
      <c r="D1269" s="2">
        <v>5</v>
      </c>
      <c r="E1269" s="3">
        <v>273134</v>
      </c>
      <c r="F1269" t="s">
        <v>12</v>
      </c>
      <c r="G1269" t="s">
        <v>12</v>
      </c>
      <c r="H1269" s="1"/>
      <c r="I1269" s="1">
        <v>1334448</v>
      </c>
      <c r="J1269" s="1">
        <v>38721</v>
      </c>
      <c r="K1269" s="1"/>
      <c r="L1269" s="1"/>
      <c r="M1269" s="1"/>
      <c r="N1269" s="1"/>
      <c r="O1269" s="1"/>
      <c r="P1269" s="1"/>
      <c r="Q1269" s="1"/>
      <c r="R1269" s="1">
        <v>1646303</v>
      </c>
      <c r="S1269" t="s">
        <v>12</v>
      </c>
    </row>
    <row r="1270" spans="1:19" x14ac:dyDescent="0.55000000000000004">
      <c r="A1270" t="s">
        <v>29</v>
      </c>
      <c r="B1270">
        <v>1968</v>
      </c>
      <c r="C1270">
        <v>699</v>
      </c>
      <c r="D1270" s="2">
        <v>5064</v>
      </c>
      <c r="E1270" s="3">
        <v>5763</v>
      </c>
      <c r="F1270" t="s">
        <v>12</v>
      </c>
      <c r="G1270" t="s">
        <v>12</v>
      </c>
      <c r="H1270" s="1"/>
      <c r="I1270" s="1">
        <v>11802.556199506</v>
      </c>
      <c r="J1270" s="1">
        <v>156.152949245542</v>
      </c>
      <c r="K1270" s="1"/>
      <c r="L1270" s="1"/>
      <c r="M1270" s="1"/>
      <c r="N1270" s="1"/>
      <c r="O1270" s="1"/>
      <c r="P1270" s="1"/>
      <c r="Q1270" s="1"/>
      <c r="R1270" s="1">
        <v>17722</v>
      </c>
      <c r="S1270" t="s">
        <v>12</v>
      </c>
    </row>
    <row r="1271" spans="1:19" x14ac:dyDescent="0.55000000000000004">
      <c r="A1271" t="s">
        <v>29</v>
      </c>
      <c r="B1271">
        <v>1967</v>
      </c>
      <c r="C1271">
        <v>119</v>
      </c>
      <c r="D1271" s="2">
        <v>0</v>
      </c>
      <c r="E1271" s="3">
        <v>119</v>
      </c>
      <c r="F1271" t="s">
        <v>12</v>
      </c>
      <c r="G1271" t="s">
        <v>12</v>
      </c>
      <c r="H1271" s="1"/>
      <c r="I1271" s="1">
        <v>261.40192548206198</v>
      </c>
      <c r="J1271" s="1">
        <v>4.1253333333333302</v>
      </c>
      <c r="K1271" s="1"/>
      <c r="L1271" s="1"/>
      <c r="M1271" s="1"/>
      <c r="N1271" s="1"/>
      <c r="O1271" s="1"/>
      <c r="P1271" s="1"/>
      <c r="Q1271" s="1"/>
      <c r="R1271" s="1">
        <v>385</v>
      </c>
      <c r="S1271" t="s">
        <v>12</v>
      </c>
    </row>
    <row r="1272" spans="1:19" x14ac:dyDescent="0.55000000000000004">
      <c r="A1272" t="s">
        <v>29</v>
      </c>
      <c r="B1272">
        <v>1966</v>
      </c>
      <c r="C1272">
        <v>1753</v>
      </c>
      <c r="D1272" s="2">
        <v>0</v>
      </c>
      <c r="E1272" s="3">
        <v>1753</v>
      </c>
      <c r="F1272" t="s">
        <v>12</v>
      </c>
      <c r="G1272" t="s">
        <v>12</v>
      </c>
      <c r="H1272" s="1"/>
      <c r="I1272" s="1">
        <v>5892</v>
      </c>
      <c r="J1272" s="1">
        <v>214</v>
      </c>
      <c r="K1272" s="1"/>
      <c r="L1272" s="1"/>
      <c r="M1272" s="1"/>
      <c r="N1272" s="1"/>
      <c r="O1272" s="1"/>
      <c r="P1272" s="1"/>
      <c r="Q1272" s="1"/>
      <c r="R1272" s="1">
        <v>7859</v>
      </c>
      <c r="S1272" t="s">
        <v>12</v>
      </c>
    </row>
    <row r="1273" spans="1:19" x14ac:dyDescent="0.55000000000000004">
      <c r="A1273" t="s">
        <v>29</v>
      </c>
      <c r="B1273">
        <v>1965</v>
      </c>
      <c r="C1273">
        <v>364704</v>
      </c>
      <c r="D1273" s="2">
        <v>10</v>
      </c>
      <c r="E1273" s="3">
        <v>364714</v>
      </c>
      <c r="F1273" t="s">
        <v>12</v>
      </c>
      <c r="G1273" t="s">
        <v>12</v>
      </c>
      <c r="H1273" s="1"/>
      <c r="I1273" s="1">
        <v>782122</v>
      </c>
      <c r="J1273" s="1">
        <v>48999</v>
      </c>
      <c r="K1273" s="1"/>
      <c r="L1273" s="1"/>
      <c r="M1273" s="1"/>
      <c r="N1273" s="1"/>
      <c r="O1273" s="1"/>
      <c r="P1273" s="1"/>
      <c r="Q1273" s="1"/>
      <c r="R1273" s="1">
        <v>1195835</v>
      </c>
      <c r="S1273" t="s">
        <v>12</v>
      </c>
    </row>
    <row r="1274" spans="1:19" x14ac:dyDescent="0.55000000000000004">
      <c r="A1274" t="s">
        <v>29</v>
      </c>
      <c r="B1274">
        <v>1964</v>
      </c>
      <c r="C1274">
        <v>392</v>
      </c>
      <c r="D1274" s="2">
        <v>15447</v>
      </c>
      <c r="E1274" s="3">
        <v>15839</v>
      </c>
      <c r="F1274" t="s">
        <v>12</v>
      </c>
      <c r="G1274" t="s">
        <v>12</v>
      </c>
      <c r="H1274" s="1"/>
      <c r="I1274" s="1">
        <v>12087.7675056068</v>
      </c>
      <c r="J1274" s="1">
        <v>1169</v>
      </c>
      <c r="K1274" s="1"/>
      <c r="L1274" s="1"/>
      <c r="M1274" s="1"/>
      <c r="N1274" s="1"/>
      <c r="O1274" s="1"/>
      <c r="P1274" s="1"/>
      <c r="Q1274" s="1"/>
      <c r="R1274" s="1">
        <v>29096</v>
      </c>
      <c r="S1274" t="s">
        <v>11</v>
      </c>
    </row>
    <row r="1275" spans="1:19" x14ac:dyDescent="0.55000000000000004">
      <c r="A1275" t="s">
        <v>29</v>
      </c>
      <c r="B1275">
        <v>1963</v>
      </c>
      <c r="C1275">
        <v>83</v>
      </c>
      <c r="D1275" s="2">
        <v>3</v>
      </c>
      <c r="E1275" s="3">
        <v>86</v>
      </c>
      <c r="F1275" t="s">
        <v>12</v>
      </c>
      <c r="G1275" t="s">
        <v>12</v>
      </c>
      <c r="H1275" s="1"/>
      <c r="I1275" s="1">
        <v>95.303318584070794</v>
      </c>
      <c r="J1275" s="1">
        <v>14</v>
      </c>
      <c r="K1275" s="1"/>
      <c r="L1275" s="1"/>
      <c r="M1275" s="1"/>
      <c r="N1275" s="1"/>
      <c r="O1275" s="1"/>
      <c r="P1275" s="1"/>
      <c r="Q1275" s="1"/>
      <c r="R1275" s="1">
        <v>195</v>
      </c>
      <c r="S1275" t="s">
        <v>12</v>
      </c>
    </row>
    <row r="1276" spans="1:19" x14ac:dyDescent="0.55000000000000004">
      <c r="A1276" t="s">
        <v>29</v>
      </c>
      <c r="B1276">
        <v>1962</v>
      </c>
      <c r="C1276">
        <v>1078</v>
      </c>
      <c r="D1276" s="2">
        <v>0</v>
      </c>
      <c r="E1276" s="3">
        <v>1078</v>
      </c>
      <c r="F1276" t="s">
        <v>12</v>
      </c>
      <c r="G1276" t="s">
        <v>12</v>
      </c>
      <c r="H1276" s="1"/>
      <c r="I1276" s="1">
        <v>2331</v>
      </c>
      <c r="J1276" s="1">
        <v>127</v>
      </c>
      <c r="K1276" s="1"/>
      <c r="L1276" s="1"/>
      <c r="M1276" s="1"/>
      <c r="N1276" s="1"/>
      <c r="O1276" s="1"/>
      <c r="P1276" s="1"/>
      <c r="Q1276" s="1"/>
      <c r="R1276" s="1">
        <v>3536</v>
      </c>
      <c r="S1276" t="s">
        <v>12</v>
      </c>
    </row>
    <row r="1277" spans="1:19" x14ac:dyDescent="0.55000000000000004">
      <c r="A1277" t="s">
        <v>29</v>
      </c>
      <c r="B1277">
        <v>1961</v>
      </c>
      <c r="C1277">
        <v>302554</v>
      </c>
      <c r="D1277" s="2">
        <v>9</v>
      </c>
      <c r="E1277" s="3">
        <v>302563</v>
      </c>
      <c r="F1277" t="s">
        <v>12</v>
      </c>
      <c r="G1277" t="s">
        <v>12</v>
      </c>
      <c r="H1277" s="1"/>
      <c r="I1277" s="1">
        <v>569566</v>
      </c>
      <c r="J1277" s="1">
        <v>27928</v>
      </c>
      <c r="K1277" s="1"/>
      <c r="L1277" s="1"/>
      <c r="M1277" s="1"/>
      <c r="N1277" s="1"/>
      <c r="O1277" s="1"/>
      <c r="P1277" s="1"/>
      <c r="Q1277" s="1"/>
      <c r="R1277" s="1">
        <v>900057</v>
      </c>
      <c r="S1277" t="s">
        <v>12</v>
      </c>
    </row>
    <row r="1278" spans="1:19" x14ac:dyDescent="0.55000000000000004">
      <c r="A1278" t="s">
        <v>29</v>
      </c>
      <c r="B1278">
        <v>1960</v>
      </c>
      <c r="C1278">
        <v>292</v>
      </c>
      <c r="D1278" s="2">
        <v>2765</v>
      </c>
      <c r="E1278" s="3">
        <v>3057</v>
      </c>
      <c r="F1278" t="s">
        <v>12</v>
      </c>
      <c r="G1278" t="s">
        <v>12</v>
      </c>
      <c r="H1278" s="1"/>
      <c r="I1278" s="1">
        <v>4034</v>
      </c>
      <c r="J1278" s="1">
        <v>213</v>
      </c>
      <c r="K1278" s="1"/>
      <c r="L1278" s="1"/>
      <c r="M1278" s="1"/>
      <c r="N1278" s="1"/>
      <c r="O1278" s="1"/>
      <c r="P1278" s="1"/>
      <c r="Q1278" s="1"/>
      <c r="R1278" s="1">
        <v>7304</v>
      </c>
      <c r="S1278" t="s">
        <v>11</v>
      </c>
    </row>
    <row r="1279" spans="1:19" x14ac:dyDescent="0.55000000000000004">
      <c r="A1279" t="s">
        <v>29</v>
      </c>
      <c r="B1279">
        <v>1959</v>
      </c>
      <c r="C1279">
        <v>65</v>
      </c>
      <c r="D1279" s="2">
        <v>11</v>
      </c>
      <c r="E1279" s="3">
        <v>76</v>
      </c>
      <c r="F1279" t="s">
        <v>12</v>
      </c>
      <c r="G1279" t="s">
        <v>12</v>
      </c>
      <c r="H1279" s="1"/>
      <c r="I1279" s="1">
        <v>54.5</v>
      </c>
      <c r="J1279" s="1"/>
      <c r="K1279" s="1"/>
      <c r="L1279" s="1"/>
      <c r="M1279" s="1"/>
      <c r="N1279" s="1"/>
      <c r="O1279" s="1"/>
      <c r="P1279" s="1"/>
      <c r="Q1279" s="1"/>
      <c r="R1279" s="1">
        <v>130</v>
      </c>
      <c r="S1279" t="s">
        <v>12</v>
      </c>
    </row>
    <row r="1280" spans="1:19" x14ac:dyDescent="0.55000000000000004">
      <c r="A1280" t="s">
        <v>29</v>
      </c>
      <c r="B1280">
        <v>1958</v>
      </c>
      <c r="C1280">
        <v>1863</v>
      </c>
      <c r="D1280" s="2">
        <v>0</v>
      </c>
      <c r="E1280" s="3">
        <v>1863</v>
      </c>
      <c r="F1280" t="s">
        <v>12</v>
      </c>
      <c r="G1280" t="s">
        <v>12</v>
      </c>
      <c r="H1280" s="1"/>
      <c r="I1280" s="1">
        <v>8643.6421799121308</v>
      </c>
      <c r="J1280" s="1">
        <v>251.88483773992201</v>
      </c>
      <c r="K1280" s="1"/>
      <c r="L1280" s="1"/>
      <c r="M1280" s="1"/>
      <c r="N1280" s="1"/>
      <c r="O1280" s="1"/>
      <c r="P1280" s="1"/>
      <c r="Q1280" s="1"/>
      <c r="R1280" s="1">
        <v>10759</v>
      </c>
      <c r="S1280" t="s">
        <v>12</v>
      </c>
    </row>
    <row r="1281" spans="1:19" x14ac:dyDescent="0.55000000000000004">
      <c r="A1281" t="s">
        <v>29</v>
      </c>
      <c r="B1281">
        <v>1957</v>
      </c>
      <c r="C1281">
        <v>223667</v>
      </c>
      <c r="D1281" s="2">
        <v>0</v>
      </c>
      <c r="E1281" s="3">
        <v>223667</v>
      </c>
      <c r="F1281" t="s">
        <v>12</v>
      </c>
      <c r="G1281" t="s">
        <v>12</v>
      </c>
      <c r="H1281" s="1"/>
      <c r="I1281" s="1">
        <v>308553</v>
      </c>
      <c r="J1281" s="1">
        <v>8344</v>
      </c>
      <c r="K1281" s="1"/>
      <c r="L1281" s="1"/>
      <c r="M1281" s="1"/>
      <c r="N1281" s="1"/>
      <c r="O1281" s="1"/>
      <c r="P1281" s="1"/>
      <c r="Q1281" s="1"/>
      <c r="R1281" s="1">
        <v>540564</v>
      </c>
      <c r="S1281" t="s">
        <v>12</v>
      </c>
    </row>
    <row r="1282" spans="1:19" x14ac:dyDescent="0.55000000000000004">
      <c r="A1282" t="s">
        <v>29</v>
      </c>
      <c r="B1282">
        <v>1956</v>
      </c>
      <c r="C1282">
        <v>81</v>
      </c>
      <c r="D1282" s="2">
        <v>2588</v>
      </c>
      <c r="E1282" s="3">
        <v>2669</v>
      </c>
      <c r="F1282" t="s">
        <v>12</v>
      </c>
      <c r="G1282" t="s">
        <v>12</v>
      </c>
      <c r="H1282" s="1"/>
      <c r="I1282" s="1">
        <v>1729</v>
      </c>
      <c r="J1282" s="1">
        <v>73</v>
      </c>
      <c r="K1282" s="1"/>
      <c r="L1282" s="1"/>
      <c r="M1282" s="1"/>
      <c r="N1282" s="1"/>
      <c r="O1282" s="1"/>
      <c r="P1282" s="1"/>
      <c r="Q1282" s="1"/>
      <c r="R1282" s="1">
        <v>4471</v>
      </c>
      <c r="S1282" t="s">
        <v>12</v>
      </c>
    </row>
    <row r="1283" spans="1:19" x14ac:dyDescent="0.55000000000000004">
      <c r="A1283" t="s">
        <v>29</v>
      </c>
      <c r="B1283">
        <v>1955</v>
      </c>
      <c r="C1283">
        <v>63</v>
      </c>
      <c r="D1283" s="2">
        <v>0</v>
      </c>
      <c r="E1283" s="3">
        <v>63</v>
      </c>
      <c r="F1283" t="s">
        <v>12</v>
      </c>
      <c r="G1283" t="s">
        <v>12</v>
      </c>
      <c r="H1283" s="1"/>
      <c r="I1283" s="1">
        <v>317</v>
      </c>
      <c r="J1283" s="1">
        <v>12</v>
      </c>
      <c r="K1283" s="1"/>
      <c r="L1283" s="1"/>
      <c r="M1283" s="1"/>
      <c r="N1283" s="1"/>
      <c r="O1283" s="1"/>
      <c r="P1283" s="1"/>
      <c r="Q1283" s="1"/>
      <c r="R1283" s="1">
        <v>392</v>
      </c>
      <c r="S1283" t="s">
        <v>11</v>
      </c>
    </row>
    <row r="1284" spans="1:19" x14ac:dyDescent="0.55000000000000004">
      <c r="A1284" t="s">
        <v>29</v>
      </c>
      <c r="B1284">
        <v>1954</v>
      </c>
      <c r="C1284">
        <v>299</v>
      </c>
      <c r="D1284" s="2">
        <v>0</v>
      </c>
      <c r="E1284" s="3">
        <v>299</v>
      </c>
      <c r="F1284" t="s">
        <v>12</v>
      </c>
      <c r="G1284" t="s">
        <v>12</v>
      </c>
      <c r="H1284" s="1"/>
      <c r="I1284" s="1">
        <v>1650.2270757496999</v>
      </c>
      <c r="J1284" s="1">
        <v>42.758710348413999</v>
      </c>
      <c r="K1284" s="1"/>
      <c r="L1284" s="1"/>
      <c r="M1284" s="1"/>
      <c r="N1284" s="1"/>
      <c r="O1284" s="1"/>
      <c r="P1284" s="1"/>
      <c r="Q1284" s="1"/>
      <c r="R1284" s="1">
        <v>1992</v>
      </c>
      <c r="S1284" t="s">
        <v>12</v>
      </c>
    </row>
    <row r="1285" spans="1:19" x14ac:dyDescent="0.55000000000000004">
      <c r="A1285" t="s">
        <v>29</v>
      </c>
      <c r="B1285">
        <v>1953</v>
      </c>
      <c r="C1285">
        <v>110919</v>
      </c>
      <c r="D1285" s="2">
        <v>8</v>
      </c>
      <c r="E1285" s="3">
        <v>110927</v>
      </c>
      <c r="F1285" t="s">
        <v>12</v>
      </c>
      <c r="G1285" t="s">
        <v>12</v>
      </c>
      <c r="H1285" s="1"/>
      <c r="I1285" s="1">
        <v>321989</v>
      </c>
      <c r="J1285" s="1">
        <v>6180</v>
      </c>
      <c r="K1285" s="1"/>
      <c r="L1285" s="1"/>
      <c r="M1285" s="1"/>
      <c r="N1285" s="1"/>
      <c r="O1285" s="1"/>
      <c r="P1285" s="1"/>
      <c r="Q1285" s="1"/>
      <c r="R1285" s="1">
        <v>439096</v>
      </c>
      <c r="S1285" t="s">
        <v>12</v>
      </c>
    </row>
    <row r="1286" spans="1:19" x14ac:dyDescent="0.55000000000000004">
      <c r="A1286" t="s">
        <v>29</v>
      </c>
      <c r="B1286">
        <v>1952</v>
      </c>
      <c r="C1286">
        <v>184</v>
      </c>
      <c r="D1286" s="2">
        <v>6833</v>
      </c>
      <c r="E1286" s="3">
        <v>7017</v>
      </c>
      <c r="F1286" t="s">
        <v>12</v>
      </c>
      <c r="G1286" t="s">
        <v>12</v>
      </c>
      <c r="H1286" s="1"/>
      <c r="I1286" s="1">
        <v>6793</v>
      </c>
      <c r="J1286" s="1">
        <v>339</v>
      </c>
      <c r="K1286" s="1"/>
      <c r="L1286" s="1"/>
      <c r="M1286" s="1"/>
      <c r="N1286" s="1"/>
      <c r="O1286" s="1"/>
      <c r="P1286" s="1"/>
      <c r="Q1286" s="1"/>
      <c r="R1286" s="1">
        <v>14149</v>
      </c>
      <c r="S1286" t="s">
        <v>12</v>
      </c>
    </row>
    <row r="1287" spans="1:19" x14ac:dyDescent="0.55000000000000004">
      <c r="A1287" t="s">
        <v>30</v>
      </c>
      <c r="B1287">
        <v>2023</v>
      </c>
      <c r="C1287">
        <v>10625</v>
      </c>
      <c r="D1287" s="2">
        <v>62</v>
      </c>
      <c r="E1287" s="3">
        <v>10687</v>
      </c>
      <c r="F1287" t="s">
        <v>12</v>
      </c>
      <c r="G1287" t="s">
        <v>12</v>
      </c>
      <c r="H1287" s="1">
        <v>0.155288062215555</v>
      </c>
      <c r="I1287" s="1">
        <v>118.081342471789</v>
      </c>
      <c r="J1287" s="1">
        <v>43.020704774436901</v>
      </c>
      <c r="K1287" s="1"/>
      <c r="L1287" s="1">
        <v>6866.4383561643799</v>
      </c>
      <c r="M1287" s="1">
        <v>2126.1415525114198</v>
      </c>
      <c r="N1287" s="1"/>
      <c r="O1287" s="1">
        <v>37.100456621004597</v>
      </c>
      <c r="P1287" s="1">
        <v>10.464231354642299</v>
      </c>
      <c r="Q1287" s="1">
        <v>-1074.10428171116</v>
      </c>
      <c r="R1287" s="1">
        <v>19888</v>
      </c>
      <c r="S1287" t="s">
        <v>11</v>
      </c>
    </row>
    <row r="1288" spans="1:19" x14ac:dyDescent="0.55000000000000004">
      <c r="A1288" t="s">
        <v>30</v>
      </c>
      <c r="B1288">
        <v>2022</v>
      </c>
      <c r="C1288">
        <v>3865</v>
      </c>
      <c r="D1288" s="2">
        <v>3</v>
      </c>
      <c r="E1288" s="3">
        <v>3868</v>
      </c>
      <c r="F1288" t="s">
        <v>12</v>
      </c>
      <c r="G1288" t="s">
        <v>12</v>
      </c>
      <c r="H1288" s="1">
        <v>0</v>
      </c>
      <c r="I1288" s="1">
        <v>825.28957322549797</v>
      </c>
      <c r="J1288" s="1">
        <v>426.22229873147398</v>
      </c>
      <c r="K1288" s="1"/>
      <c r="L1288" s="1">
        <v>1159.9777503090199</v>
      </c>
      <c r="M1288" s="1">
        <v>773.95550061804704</v>
      </c>
      <c r="N1288" s="1"/>
      <c r="O1288" s="1">
        <v>0.95550061804697195</v>
      </c>
      <c r="P1288" s="1"/>
      <c r="Q1288" s="1">
        <v>-2597.90934236769</v>
      </c>
      <c r="R1288" s="1">
        <v>7054</v>
      </c>
      <c r="S1288" t="s">
        <v>11</v>
      </c>
    </row>
    <row r="1289" spans="1:19" x14ac:dyDescent="0.55000000000000004">
      <c r="A1289" t="s">
        <v>30</v>
      </c>
      <c r="B1289">
        <v>2021</v>
      </c>
      <c r="C1289">
        <v>3325</v>
      </c>
      <c r="D1289" s="2">
        <v>0</v>
      </c>
      <c r="E1289" s="3">
        <v>3325</v>
      </c>
      <c r="F1289" t="s">
        <v>12</v>
      </c>
      <c r="G1289" t="s">
        <v>12</v>
      </c>
      <c r="H1289" s="1">
        <v>831.16621972246605</v>
      </c>
      <c r="I1289" s="1">
        <v>32.803099849471899</v>
      </c>
      <c r="J1289" s="1">
        <v>19.800666043102002</v>
      </c>
      <c r="K1289" s="1"/>
      <c r="L1289" s="1">
        <v>417.99167761717001</v>
      </c>
      <c r="M1289" s="1">
        <v>436.196890056943</v>
      </c>
      <c r="N1289" s="1"/>
      <c r="O1289" s="1"/>
      <c r="P1289" s="1"/>
      <c r="Q1289" s="1">
        <v>-1247.62421616656</v>
      </c>
      <c r="R1289" s="1">
        <v>5063</v>
      </c>
      <c r="S1289" t="s">
        <v>11</v>
      </c>
    </row>
    <row r="1290" spans="1:19" x14ac:dyDescent="0.55000000000000004">
      <c r="A1290" t="s">
        <v>30</v>
      </c>
      <c r="B1290">
        <v>2020</v>
      </c>
      <c r="C1290">
        <v>5099</v>
      </c>
      <c r="D1290" s="2">
        <v>0</v>
      </c>
      <c r="E1290" s="3">
        <v>5099</v>
      </c>
      <c r="F1290" t="s">
        <v>12</v>
      </c>
      <c r="G1290" t="s">
        <v>12</v>
      </c>
      <c r="H1290" s="1">
        <v>22.834449064569998</v>
      </c>
      <c r="I1290" s="1">
        <v>41.420003318678802</v>
      </c>
      <c r="J1290" s="1">
        <v>43.3345506062524</v>
      </c>
      <c r="K1290" s="1"/>
      <c r="L1290" s="1">
        <v>620.71471247199395</v>
      </c>
      <c r="M1290" s="1">
        <v>485.52837938760302</v>
      </c>
      <c r="N1290" s="1"/>
      <c r="O1290" s="1"/>
      <c r="P1290" s="1"/>
      <c r="Q1290" s="1">
        <v>2210.9633967905102</v>
      </c>
      <c r="R1290" s="1">
        <v>6313</v>
      </c>
      <c r="S1290" t="s">
        <v>11</v>
      </c>
    </row>
    <row r="1291" spans="1:19" x14ac:dyDescent="0.55000000000000004">
      <c r="A1291" t="s">
        <v>30</v>
      </c>
      <c r="B1291">
        <v>2019</v>
      </c>
      <c r="C1291">
        <v>619</v>
      </c>
      <c r="D1291" s="2">
        <v>0</v>
      </c>
      <c r="E1291" s="3">
        <v>619</v>
      </c>
      <c r="F1291" t="s">
        <v>12</v>
      </c>
      <c r="G1291" t="s">
        <v>12</v>
      </c>
      <c r="H1291" s="1">
        <v>239.423501528375</v>
      </c>
      <c r="I1291" s="1">
        <v>13.384315948055001</v>
      </c>
      <c r="J1291" s="1">
        <v>1.36894957990722</v>
      </c>
      <c r="K1291" s="1"/>
      <c r="L1291" s="1">
        <v>180.29932885906001</v>
      </c>
      <c r="M1291" s="1">
        <v>103.02818791946299</v>
      </c>
      <c r="N1291" s="1"/>
      <c r="O1291" s="1"/>
      <c r="P1291" s="1"/>
      <c r="Q1291" s="1">
        <v>317.42067228869098</v>
      </c>
      <c r="R1291" s="1">
        <v>1157</v>
      </c>
      <c r="S1291" t="s">
        <v>11</v>
      </c>
    </row>
    <row r="1292" spans="1:19" x14ac:dyDescent="0.55000000000000004">
      <c r="A1292" t="s">
        <v>30</v>
      </c>
      <c r="B1292">
        <v>2018</v>
      </c>
      <c r="C1292">
        <v>3544</v>
      </c>
      <c r="D1292" s="2">
        <v>0</v>
      </c>
      <c r="E1292" s="3">
        <v>3544</v>
      </c>
      <c r="F1292" t="s">
        <v>12</v>
      </c>
      <c r="G1292" t="s">
        <v>12</v>
      </c>
      <c r="H1292" s="1">
        <v>118.107869227999</v>
      </c>
      <c r="I1292" s="1">
        <v>2883.05864883083</v>
      </c>
      <c r="J1292" s="1">
        <v>819.10625308412602</v>
      </c>
      <c r="K1292" s="1"/>
      <c r="L1292" s="1">
        <v>1063.2972824595099</v>
      </c>
      <c r="M1292" s="1">
        <v>709.18912983804603</v>
      </c>
      <c r="N1292" s="1">
        <v>4550.8734559429004</v>
      </c>
      <c r="O1292" s="1"/>
      <c r="P1292" s="1"/>
      <c r="Q1292" s="1">
        <v>-2233.4583423229201</v>
      </c>
      <c r="R1292" s="1">
        <v>13688</v>
      </c>
      <c r="S1292" t="s">
        <v>11</v>
      </c>
    </row>
    <row r="1293" spans="1:19" x14ac:dyDescent="0.55000000000000004">
      <c r="A1293" t="s">
        <v>30</v>
      </c>
      <c r="B1293">
        <v>2017</v>
      </c>
      <c r="C1293">
        <v>4516</v>
      </c>
      <c r="D1293" s="2">
        <v>2</v>
      </c>
      <c r="E1293" s="3">
        <v>4518</v>
      </c>
      <c r="F1293" t="s">
        <v>12</v>
      </c>
      <c r="G1293" t="s">
        <v>12</v>
      </c>
      <c r="H1293" s="1">
        <v>107.119672811114</v>
      </c>
      <c r="I1293" s="1">
        <v>124.36254206271499</v>
      </c>
      <c r="J1293" s="1">
        <v>297.85135873348599</v>
      </c>
      <c r="K1293" s="1"/>
      <c r="L1293" s="1">
        <v>954.75527284901204</v>
      </c>
      <c r="M1293" s="1">
        <v>895.79176431201904</v>
      </c>
      <c r="N1293" s="1">
        <v>262.31201874790798</v>
      </c>
      <c r="O1293" s="1">
        <v>0.75594241714094401</v>
      </c>
      <c r="P1293" s="1">
        <v>0.75594241714094401</v>
      </c>
      <c r="Q1293" s="1">
        <v>-6784.7059460083401</v>
      </c>
      <c r="R1293" s="1">
        <v>7162</v>
      </c>
      <c r="S1293" t="s">
        <v>11</v>
      </c>
    </row>
    <row r="1294" spans="1:19" x14ac:dyDescent="0.55000000000000004">
      <c r="A1294" t="s">
        <v>30</v>
      </c>
      <c r="B1294">
        <v>2016</v>
      </c>
      <c r="C1294">
        <v>8147</v>
      </c>
      <c r="D1294" s="2">
        <v>3</v>
      </c>
      <c r="E1294" s="3">
        <v>8150</v>
      </c>
      <c r="F1294" t="s">
        <v>12</v>
      </c>
      <c r="G1294" t="s">
        <v>12</v>
      </c>
      <c r="H1294" s="1">
        <v>919.45865076391101</v>
      </c>
      <c r="I1294" s="1">
        <v>2292.5818362884902</v>
      </c>
      <c r="J1294" s="1">
        <v>1879.21695387715</v>
      </c>
      <c r="K1294" s="1"/>
      <c r="L1294" s="1">
        <v>4623.9729729729697</v>
      </c>
      <c r="M1294" s="1">
        <v>2641.3292908292901</v>
      </c>
      <c r="N1294" s="1">
        <v>1120.7065142065101</v>
      </c>
      <c r="O1294" s="1">
        <v>1.8819588819588799</v>
      </c>
      <c r="P1294" s="1">
        <v>0.94097944097944097</v>
      </c>
      <c r="Q1294" s="1">
        <v>-5017.3732849158496</v>
      </c>
      <c r="R1294" s="1">
        <v>21630</v>
      </c>
      <c r="S1294" t="s">
        <v>11</v>
      </c>
    </row>
    <row r="1295" spans="1:19" x14ac:dyDescent="0.55000000000000004">
      <c r="A1295" t="s">
        <v>30</v>
      </c>
      <c r="B1295">
        <v>2015</v>
      </c>
      <c r="C1295">
        <v>16054</v>
      </c>
      <c r="D1295" s="2">
        <v>0</v>
      </c>
      <c r="E1295" s="3">
        <v>16054</v>
      </c>
      <c r="F1295" t="s">
        <v>12</v>
      </c>
      <c r="G1295" t="s">
        <v>12</v>
      </c>
      <c r="H1295" s="1">
        <v>601.09029268836298</v>
      </c>
      <c r="I1295" s="1">
        <v>2293.5232307309702</v>
      </c>
      <c r="J1295" s="1">
        <v>1353.6833008409999</v>
      </c>
      <c r="K1295" s="1"/>
      <c r="L1295" s="1">
        <v>4067.84504886377</v>
      </c>
      <c r="M1295" s="1">
        <v>215.489932885906</v>
      </c>
      <c r="N1295" s="1">
        <v>-482.96208642411398</v>
      </c>
      <c r="O1295" s="1"/>
      <c r="P1295" s="1"/>
      <c r="Q1295" s="1">
        <v>-16647.843180010601</v>
      </c>
      <c r="R1295" s="1">
        <v>24103</v>
      </c>
      <c r="S1295" t="s">
        <v>11</v>
      </c>
    </row>
    <row r="1296" spans="1:19" x14ac:dyDescent="0.55000000000000004">
      <c r="A1296" t="s">
        <v>30</v>
      </c>
      <c r="B1296">
        <v>2014</v>
      </c>
      <c r="C1296">
        <v>17078</v>
      </c>
      <c r="D1296" s="2">
        <v>24</v>
      </c>
      <c r="E1296" s="3">
        <v>17102</v>
      </c>
      <c r="F1296" t="s">
        <v>12</v>
      </c>
      <c r="G1296" t="s">
        <v>12</v>
      </c>
      <c r="H1296" s="1">
        <v>30.023516593560199</v>
      </c>
      <c r="I1296" s="1">
        <v>15952.377231273</v>
      </c>
      <c r="J1296" s="1">
        <v>3071.1436034365602</v>
      </c>
      <c r="K1296" s="1"/>
      <c r="L1296" s="1">
        <v>6708.77974461555</v>
      </c>
      <c r="M1296" s="1">
        <v>3449.8552090754602</v>
      </c>
      <c r="N1296" s="1">
        <v>6509.4256590124396</v>
      </c>
      <c r="O1296" s="1">
        <v>9.3593467419301799</v>
      </c>
      <c r="P1296" s="1">
        <v>4.67967337096509</v>
      </c>
      <c r="Q1296" s="1">
        <v>-4698.3725983437698</v>
      </c>
      <c r="R1296" s="1">
        <v>52838</v>
      </c>
      <c r="S1296" t="s">
        <v>11</v>
      </c>
    </row>
    <row r="1297" spans="1:19" x14ac:dyDescent="0.55000000000000004">
      <c r="A1297" t="s">
        <v>30</v>
      </c>
      <c r="B1297">
        <v>2013</v>
      </c>
      <c r="C1297">
        <v>16368</v>
      </c>
      <c r="D1297" s="2">
        <v>26</v>
      </c>
      <c r="E1297" s="3">
        <v>16394</v>
      </c>
      <c r="F1297" t="s">
        <v>12</v>
      </c>
      <c r="G1297" t="s">
        <v>12</v>
      </c>
      <c r="H1297" s="1">
        <v>78.276237265055002</v>
      </c>
      <c r="I1297" s="1">
        <v>3018.6421293398598</v>
      </c>
      <c r="J1297" s="1">
        <v>1465.1736269236501</v>
      </c>
      <c r="K1297" s="1"/>
      <c r="L1297" s="1">
        <v>4202.9224904701396</v>
      </c>
      <c r="M1297" s="1">
        <v>441.95679796696299</v>
      </c>
      <c r="N1297" s="1">
        <v>-950.64040660736998</v>
      </c>
      <c r="O1297" s="1">
        <v>6.9326556543837397</v>
      </c>
      <c r="P1297" s="1">
        <v>0.86658195679796701</v>
      </c>
      <c r="Q1297" s="1">
        <v>-6449.4724820390302</v>
      </c>
      <c r="R1297" s="1">
        <v>24658</v>
      </c>
      <c r="S1297" t="s">
        <v>11</v>
      </c>
    </row>
    <row r="1298" spans="1:19" x14ac:dyDescent="0.55000000000000004">
      <c r="A1298" t="s">
        <v>30</v>
      </c>
      <c r="B1298">
        <v>2012</v>
      </c>
      <c r="C1298">
        <v>10003</v>
      </c>
      <c r="D1298" s="2">
        <v>5</v>
      </c>
      <c r="E1298" s="3">
        <v>10008</v>
      </c>
      <c r="F1298" t="s">
        <v>12</v>
      </c>
      <c r="G1298" t="s">
        <v>12</v>
      </c>
      <c r="H1298" s="1">
        <v>99.624056678243903</v>
      </c>
      <c r="I1298" s="1">
        <v>5908.7797586264696</v>
      </c>
      <c r="J1298" s="1">
        <v>6719.2118623105098</v>
      </c>
      <c r="K1298" s="1">
        <v>-4117.9658237126596</v>
      </c>
      <c r="L1298" s="1">
        <v>1765.23529411765</v>
      </c>
      <c r="M1298" s="1"/>
      <c r="N1298" s="1"/>
      <c r="O1298" s="1">
        <v>0.916529228513835</v>
      </c>
      <c r="P1298" s="1"/>
      <c r="Q1298" s="1">
        <v>-13401.3672303025</v>
      </c>
      <c r="R1298" s="1">
        <v>20384</v>
      </c>
      <c r="S1298" t="s">
        <v>11</v>
      </c>
    </row>
    <row r="1299" spans="1:19" x14ac:dyDescent="0.55000000000000004">
      <c r="A1299" t="s">
        <v>30</v>
      </c>
      <c r="B1299">
        <v>2011</v>
      </c>
      <c r="C1299">
        <v>9241</v>
      </c>
      <c r="D1299" s="2">
        <v>2</v>
      </c>
      <c r="E1299" s="3">
        <v>9243</v>
      </c>
      <c r="F1299" t="s">
        <v>12</v>
      </c>
      <c r="G1299" t="s">
        <v>12</v>
      </c>
      <c r="H1299" s="1">
        <v>18.712777774601701</v>
      </c>
      <c r="I1299" s="1">
        <v>5515.9544884911302</v>
      </c>
      <c r="J1299" s="1">
        <v>3846.3467875692299</v>
      </c>
      <c r="K1299" s="1"/>
      <c r="L1299" s="1">
        <v>1037.6998494731599</v>
      </c>
      <c r="M1299" s="1">
        <v>96.443953838434496</v>
      </c>
      <c r="N1299" s="1">
        <v>-4214.78625188159</v>
      </c>
      <c r="O1299" s="1"/>
      <c r="P1299" s="1"/>
      <c r="Q1299" s="1">
        <v>-10748.051809946999</v>
      </c>
      <c r="R1299" s="1">
        <v>15543</v>
      </c>
      <c r="S1299" t="s">
        <v>11</v>
      </c>
    </row>
    <row r="1300" spans="1:19" x14ac:dyDescent="0.55000000000000004">
      <c r="A1300" t="s">
        <v>30</v>
      </c>
      <c r="B1300">
        <v>2010</v>
      </c>
      <c r="C1300">
        <v>5119</v>
      </c>
      <c r="D1300" s="2">
        <v>0</v>
      </c>
      <c r="E1300" s="3">
        <v>5119</v>
      </c>
      <c r="F1300" t="s">
        <v>12</v>
      </c>
      <c r="G1300" t="s">
        <v>12</v>
      </c>
      <c r="H1300" s="1">
        <v>0</v>
      </c>
      <c r="I1300" s="1">
        <v>7056.4356451806998</v>
      </c>
      <c r="J1300" s="1"/>
      <c r="K1300" s="1"/>
      <c r="L1300" s="1">
        <v>569.14437640992605</v>
      </c>
      <c r="M1300" s="1"/>
      <c r="N1300" s="1">
        <v>-4068.9698678698001</v>
      </c>
      <c r="O1300" s="1"/>
      <c r="P1300" s="1"/>
      <c r="Q1300" s="1">
        <v>-7508.3240629158099</v>
      </c>
      <c r="R1300" s="1">
        <v>8676</v>
      </c>
      <c r="S1300" t="s">
        <v>11</v>
      </c>
    </row>
    <row r="1301" spans="1:19" x14ac:dyDescent="0.55000000000000004">
      <c r="A1301" t="s">
        <v>30</v>
      </c>
      <c r="B1301">
        <v>2009</v>
      </c>
      <c r="C1301">
        <v>11464</v>
      </c>
      <c r="D1301" s="2">
        <v>0</v>
      </c>
      <c r="E1301" s="3">
        <v>11464</v>
      </c>
      <c r="F1301" t="s">
        <v>12</v>
      </c>
      <c r="G1301" t="s">
        <v>12</v>
      </c>
      <c r="H1301" s="1">
        <v>65.583098216394603</v>
      </c>
      <c r="I1301" s="1">
        <v>746.57081568582396</v>
      </c>
      <c r="J1301" s="1">
        <v>218.04653659814201</v>
      </c>
      <c r="K1301" s="1"/>
      <c r="L1301" s="1">
        <v>2865.7840729300101</v>
      </c>
      <c r="M1301" s="1"/>
      <c r="N1301" s="1">
        <v>131.28365855496099</v>
      </c>
      <c r="O1301" s="1"/>
      <c r="P1301" s="1"/>
      <c r="Q1301" s="1">
        <v>2343.4684199671701</v>
      </c>
      <c r="R1301" s="1">
        <v>15491</v>
      </c>
      <c r="S1301" t="s">
        <v>11</v>
      </c>
    </row>
    <row r="1302" spans="1:19" x14ac:dyDescent="0.55000000000000004">
      <c r="A1302" t="s">
        <v>30</v>
      </c>
      <c r="B1302">
        <v>2008</v>
      </c>
      <c r="C1302">
        <v>10406</v>
      </c>
      <c r="D1302" s="2">
        <v>0</v>
      </c>
      <c r="E1302" s="3">
        <v>10406</v>
      </c>
      <c r="F1302" t="s">
        <v>12</v>
      </c>
      <c r="G1302" t="s">
        <v>12</v>
      </c>
      <c r="H1302" s="1">
        <v>241.93364197690499</v>
      </c>
      <c r="I1302" s="1">
        <v>3934.2669131724601</v>
      </c>
      <c r="J1302" s="1">
        <v>3783.8315420758599</v>
      </c>
      <c r="K1302" s="1"/>
      <c r="L1302" s="1"/>
      <c r="M1302" s="1"/>
      <c r="N1302" s="1"/>
      <c r="O1302" s="1"/>
      <c r="P1302" s="1"/>
      <c r="Q1302" s="1">
        <v>-2131.6303866419598</v>
      </c>
      <c r="R1302" s="1">
        <v>20498</v>
      </c>
      <c r="S1302" t="s">
        <v>9</v>
      </c>
    </row>
    <row r="1303" spans="1:19" x14ac:dyDescent="0.55000000000000004">
      <c r="A1303" t="s">
        <v>30</v>
      </c>
      <c r="B1303">
        <v>2007</v>
      </c>
      <c r="C1303">
        <v>14353</v>
      </c>
      <c r="D1303" s="2">
        <v>4</v>
      </c>
      <c r="E1303" s="3">
        <v>14357</v>
      </c>
      <c r="F1303" t="s">
        <v>12</v>
      </c>
      <c r="G1303" t="s">
        <v>12</v>
      </c>
      <c r="H1303" s="1">
        <v>8236.05048799014</v>
      </c>
      <c r="I1303" s="1">
        <v>855.274060890501</v>
      </c>
      <c r="J1303" s="1">
        <v>322.12961962487901</v>
      </c>
      <c r="K1303" s="1"/>
      <c r="L1303" s="1"/>
      <c r="M1303" s="1"/>
      <c r="N1303" s="1"/>
      <c r="O1303" s="1"/>
      <c r="P1303" s="1"/>
      <c r="Q1303" s="1">
        <v>10895.183619646399</v>
      </c>
      <c r="R1303" s="1">
        <v>23770</v>
      </c>
      <c r="S1303" t="s">
        <v>9</v>
      </c>
    </row>
    <row r="1304" spans="1:19" x14ac:dyDescent="0.55000000000000004">
      <c r="A1304" t="s">
        <v>30</v>
      </c>
      <c r="B1304">
        <v>2006</v>
      </c>
      <c r="C1304">
        <v>6073</v>
      </c>
      <c r="D1304" s="2">
        <v>0</v>
      </c>
      <c r="E1304" s="3">
        <v>6073</v>
      </c>
      <c r="F1304" t="s">
        <v>12</v>
      </c>
      <c r="G1304" t="s">
        <v>12</v>
      </c>
      <c r="H1304" s="1">
        <v>331.43256686212197</v>
      </c>
      <c r="I1304" s="1">
        <v>12497.489172821901</v>
      </c>
      <c r="J1304" s="1">
        <v>2841.8391187338998</v>
      </c>
      <c r="K1304" s="1"/>
      <c r="L1304" s="1"/>
      <c r="M1304" s="1"/>
      <c r="N1304" s="1"/>
      <c r="O1304" s="1"/>
      <c r="P1304" s="1"/>
      <c r="Q1304" s="1">
        <v>-24780.9319922389</v>
      </c>
      <c r="R1304" s="1">
        <v>46525</v>
      </c>
      <c r="S1304" t="s">
        <v>9</v>
      </c>
    </row>
    <row r="1305" spans="1:19" x14ac:dyDescent="0.55000000000000004">
      <c r="A1305" t="s">
        <v>30</v>
      </c>
      <c r="B1305">
        <v>2005</v>
      </c>
      <c r="C1305">
        <v>26456</v>
      </c>
      <c r="D1305" s="2">
        <v>45</v>
      </c>
      <c r="E1305" s="3">
        <v>26501</v>
      </c>
      <c r="F1305" t="s">
        <v>12</v>
      </c>
      <c r="G1305" t="s">
        <v>12</v>
      </c>
      <c r="H1305" s="1">
        <v>3550.99281015409</v>
      </c>
      <c r="I1305" s="1">
        <v>17578.780456506702</v>
      </c>
      <c r="J1305" s="1">
        <v>12725.1528731786</v>
      </c>
      <c r="K1305" s="1"/>
      <c r="L1305" s="1"/>
      <c r="M1305" s="1"/>
      <c r="N1305" s="1"/>
      <c r="O1305" s="1"/>
      <c r="P1305" s="1"/>
      <c r="Q1305" s="1">
        <v>-68580.591226605902</v>
      </c>
      <c r="R1305" s="1">
        <v>128937</v>
      </c>
      <c r="S1305" t="s">
        <v>9</v>
      </c>
    </row>
    <row r="1306" spans="1:19" x14ac:dyDescent="0.55000000000000004">
      <c r="A1306" t="s">
        <v>30</v>
      </c>
      <c r="B1306">
        <v>2004</v>
      </c>
      <c r="C1306">
        <v>5611</v>
      </c>
      <c r="D1306" s="2">
        <v>0</v>
      </c>
      <c r="E1306" s="3">
        <v>5611</v>
      </c>
      <c r="F1306" t="s">
        <v>12</v>
      </c>
      <c r="G1306" t="s">
        <v>12</v>
      </c>
      <c r="H1306" s="1">
        <v>1078.4452717499601</v>
      </c>
      <c r="I1306" s="1">
        <v>49259.437258904298</v>
      </c>
      <c r="J1306" s="1">
        <v>14443.0623812677</v>
      </c>
      <c r="K1306" s="1"/>
      <c r="L1306" s="1"/>
      <c r="M1306" s="1"/>
      <c r="N1306" s="1"/>
      <c r="O1306" s="1"/>
      <c r="P1306" s="1"/>
      <c r="Q1306" s="1">
        <v>-49473.109521069899</v>
      </c>
      <c r="R1306" s="1">
        <v>119865</v>
      </c>
      <c r="S1306" t="s">
        <v>9</v>
      </c>
    </row>
    <row r="1307" spans="1:19" x14ac:dyDescent="0.55000000000000004">
      <c r="A1307" t="s">
        <v>30</v>
      </c>
      <c r="B1307">
        <v>2003</v>
      </c>
      <c r="C1307">
        <v>10040</v>
      </c>
      <c r="D1307" s="2">
        <v>53</v>
      </c>
      <c r="E1307" s="3">
        <v>10093</v>
      </c>
      <c r="F1307" t="s">
        <v>12</v>
      </c>
      <c r="G1307" t="s">
        <v>12</v>
      </c>
      <c r="H1307" s="1">
        <v>524.90436566306903</v>
      </c>
      <c r="I1307" s="1">
        <v>20618.6067836492</v>
      </c>
      <c r="J1307" s="1">
        <v>3666.2759340242701</v>
      </c>
      <c r="K1307" s="1"/>
      <c r="L1307" s="1"/>
      <c r="M1307" s="1"/>
      <c r="N1307" s="1"/>
      <c r="O1307" s="1"/>
      <c r="P1307" s="1"/>
      <c r="Q1307" s="1">
        <v>-3438.82668003246</v>
      </c>
      <c r="R1307" s="1">
        <v>38342</v>
      </c>
      <c r="S1307" t="s">
        <v>9</v>
      </c>
    </row>
    <row r="1308" spans="1:19" x14ac:dyDescent="0.55000000000000004">
      <c r="A1308" t="s">
        <v>30</v>
      </c>
      <c r="B1308">
        <v>2002</v>
      </c>
      <c r="C1308">
        <v>18369</v>
      </c>
      <c r="D1308" s="2">
        <v>92</v>
      </c>
      <c r="E1308" s="3">
        <v>18461</v>
      </c>
      <c r="F1308" t="s">
        <v>12</v>
      </c>
      <c r="G1308" t="s">
        <v>12</v>
      </c>
      <c r="H1308" s="1">
        <v>1.19438438070621</v>
      </c>
      <c r="I1308" s="1">
        <v>6793.7114097571302</v>
      </c>
      <c r="J1308" s="1">
        <v>7132.6053221432403</v>
      </c>
      <c r="K1308" s="1"/>
      <c r="L1308" s="1"/>
      <c r="M1308" s="1"/>
      <c r="N1308" s="1"/>
      <c r="O1308" s="1"/>
      <c r="P1308" s="1"/>
      <c r="Q1308" s="1">
        <v>-40775.171882132097</v>
      </c>
      <c r="R1308" s="1">
        <v>73164</v>
      </c>
      <c r="S1308" t="s">
        <v>9</v>
      </c>
    </row>
    <row r="1309" spans="1:19" x14ac:dyDescent="0.55000000000000004">
      <c r="A1309" t="s">
        <v>30</v>
      </c>
      <c r="B1309">
        <v>2001</v>
      </c>
      <c r="C1309">
        <v>32498</v>
      </c>
      <c r="D1309" s="2">
        <v>8</v>
      </c>
      <c r="E1309" s="3">
        <v>32506</v>
      </c>
      <c r="F1309" t="s">
        <v>12</v>
      </c>
      <c r="G1309" t="s">
        <v>12</v>
      </c>
      <c r="H1309" s="1">
        <v>79.099950725579802</v>
      </c>
      <c r="I1309" s="1">
        <v>5605.9461156363604</v>
      </c>
      <c r="J1309" s="1">
        <v>4897.6148722849703</v>
      </c>
      <c r="K1309" s="1"/>
      <c r="L1309" s="1"/>
      <c r="M1309" s="1"/>
      <c r="N1309" s="1"/>
      <c r="O1309" s="1"/>
      <c r="P1309" s="1"/>
      <c r="Q1309" s="1">
        <v>-25437.895384175001</v>
      </c>
      <c r="R1309" s="1">
        <v>68527</v>
      </c>
      <c r="S1309" t="s">
        <v>9</v>
      </c>
    </row>
    <row r="1310" spans="1:19" x14ac:dyDescent="0.55000000000000004">
      <c r="A1310" t="s">
        <v>30</v>
      </c>
      <c r="B1310">
        <v>2000</v>
      </c>
      <c r="C1310">
        <v>66292</v>
      </c>
      <c r="D1310" s="2">
        <v>0</v>
      </c>
      <c r="E1310" s="3">
        <v>66292</v>
      </c>
      <c r="F1310" t="s">
        <v>12</v>
      </c>
      <c r="G1310" t="s">
        <v>12</v>
      </c>
      <c r="H1310" s="1">
        <v>74.580249625053398</v>
      </c>
      <c r="I1310" s="1">
        <v>41556.171892621402</v>
      </c>
      <c r="J1310" s="1">
        <v>15875.277865632101</v>
      </c>
      <c r="K1310" s="1"/>
      <c r="L1310" s="1"/>
      <c r="M1310" s="1"/>
      <c r="N1310" s="1"/>
      <c r="O1310" s="1"/>
      <c r="P1310" s="1"/>
      <c r="Q1310" s="1">
        <v>-27.1805683057901</v>
      </c>
      <c r="R1310" s="1">
        <v>123825</v>
      </c>
      <c r="S1310" t="s">
        <v>9</v>
      </c>
    </row>
    <row r="1311" spans="1:19" x14ac:dyDescent="0.55000000000000004">
      <c r="A1311" t="s">
        <v>30</v>
      </c>
      <c r="B1311">
        <v>1999</v>
      </c>
      <c r="C1311">
        <v>6979</v>
      </c>
      <c r="D1311" s="2">
        <v>0</v>
      </c>
      <c r="E1311" s="3">
        <v>6979</v>
      </c>
      <c r="F1311" t="s">
        <v>12</v>
      </c>
      <c r="G1311" t="s">
        <v>12</v>
      </c>
      <c r="H1311" s="1">
        <v>1.8687700219779899</v>
      </c>
      <c r="I1311" s="1">
        <v>4430.55160672905</v>
      </c>
      <c r="J1311" s="1">
        <v>9584.4108373756899</v>
      </c>
      <c r="K1311" s="1"/>
      <c r="L1311" s="1"/>
      <c r="M1311" s="1"/>
      <c r="N1311" s="1"/>
      <c r="O1311" s="1"/>
      <c r="P1311" s="1"/>
      <c r="Q1311" s="1">
        <v>-43824.905592557501</v>
      </c>
      <c r="R1311" s="1">
        <v>64821</v>
      </c>
      <c r="S1311" t="s">
        <v>9</v>
      </c>
    </row>
    <row r="1312" spans="1:19" x14ac:dyDescent="0.55000000000000004">
      <c r="A1312" t="s">
        <v>30</v>
      </c>
      <c r="B1312">
        <v>1998</v>
      </c>
      <c r="C1312">
        <v>7198</v>
      </c>
      <c r="D1312" s="2">
        <v>31</v>
      </c>
      <c r="E1312" s="3">
        <v>7229</v>
      </c>
      <c r="F1312" t="s">
        <v>12</v>
      </c>
      <c r="G1312" t="s">
        <v>12</v>
      </c>
      <c r="H1312" s="1">
        <v>29.0574707669081</v>
      </c>
      <c r="I1312" s="1">
        <v>4361.3465413249896</v>
      </c>
      <c r="J1312" s="1">
        <v>1109.36907418244</v>
      </c>
      <c r="K1312" s="1"/>
      <c r="L1312" s="1"/>
      <c r="M1312" s="1"/>
      <c r="N1312" s="1"/>
      <c r="O1312" s="1"/>
      <c r="P1312" s="1"/>
      <c r="Q1312" s="1">
        <v>-19961.277857553701</v>
      </c>
      <c r="R1312" s="1">
        <v>32690</v>
      </c>
      <c r="S1312" t="s">
        <v>9</v>
      </c>
    </row>
    <row r="1313" spans="1:19" x14ac:dyDescent="0.55000000000000004">
      <c r="A1313" t="s">
        <v>30</v>
      </c>
      <c r="B1313">
        <v>1997</v>
      </c>
      <c r="C1313">
        <v>6093</v>
      </c>
      <c r="D1313" s="2">
        <v>0</v>
      </c>
      <c r="E1313" s="3">
        <v>6093</v>
      </c>
      <c r="F1313" t="s">
        <v>12</v>
      </c>
      <c r="G1313" t="s">
        <v>12</v>
      </c>
      <c r="H1313" s="1">
        <v>1185.78155726248</v>
      </c>
      <c r="I1313" s="1">
        <v>36728.959449530703</v>
      </c>
      <c r="J1313" s="1">
        <v>4433.8267509960397</v>
      </c>
      <c r="K1313" s="1"/>
      <c r="L1313" s="1"/>
      <c r="M1313" s="1"/>
      <c r="N1313" s="1"/>
      <c r="O1313" s="1"/>
      <c r="P1313" s="1"/>
      <c r="Q1313" s="1">
        <v>-35013.521688462999</v>
      </c>
      <c r="R1313" s="1">
        <v>83455</v>
      </c>
      <c r="S1313" t="s">
        <v>9</v>
      </c>
    </row>
    <row r="1314" spans="1:19" x14ac:dyDescent="0.55000000000000004">
      <c r="A1314" t="s">
        <v>30</v>
      </c>
      <c r="B1314">
        <v>1996</v>
      </c>
      <c r="C1314">
        <v>46592</v>
      </c>
      <c r="D1314" s="2">
        <v>23</v>
      </c>
      <c r="E1314" s="3">
        <v>46615</v>
      </c>
      <c r="F1314" t="s">
        <v>12</v>
      </c>
      <c r="G1314" t="s">
        <v>12</v>
      </c>
      <c r="H1314" s="1">
        <v>2.38948587548848</v>
      </c>
      <c r="I1314" s="1">
        <v>15364.7484136934</v>
      </c>
      <c r="J1314" s="1">
        <v>17011.175214610401</v>
      </c>
      <c r="K1314" s="1"/>
      <c r="L1314" s="1"/>
      <c r="M1314" s="1"/>
      <c r="N1314" s="1"/>
      <c r="O1314" s="1"/>
      <c r="P1314" s="1"/>
      <c r="Q1314" s="1">
        <v>-34208.617302857798</v>
      </c>
      <c r="R1314" s="1">
        <v>113202</v>
      </c>
      <c r="S1314" t="s">
        <v>9</v>
      </c>
    </row>
    <row r="1315" spans="1:19" x14ac:dyDescent="0.55000000000000004">
      <c r="A1315" t="s">
        <v>30</v>
      </c>
      <c r="B1315">
        <v>1995</v>
      </c>
      <c r="C1315">
        <v>1040</v>
      </c>
      <c r="D1315" s="2">
        <v>6</v>
      </c>
      <c r="E1315" s="3">
        <v>1046</v>
      </c>
      <c r="F1315" t="s">
        <v>12</v>
      </c>
      <c r="G1315" t="s">
        <v>12</v>
      </c>
      <c r="H1315" s="1">
        <v>1.1228074928287701E-15</v>
      </c>
      <c r="I1315" s="1">
        <v>295.86942413980597</v>
      </c>
      <c r="J1315" s="1">
        <v>313.75205529496299</v>
      </c>
      <c r="K1315" s="1"/>
      <c r="L1315" s="1"/>
      <c r="M1315" s="1"/>
      <c r="N1315" s="1"/>
      <c r="O1315" s="1"/>
      <c r="P1315" s="1"/>
      <c r="Q1315" s="1">
        <v>-1062.80158544698</v>
      </c>
      <c r="R1315" s="1">
        <v>2718</v>
      </c>
      <c r="S1315" t="s">
        <v>9</v>
      </c>
    </row>
    <row r="1316" spans="1:19" x14ac:dyDescent="0.55000000000000004">
      <c r="A1316" t="s">
        <v>30</v>
      </c>
      <c r="B1316">
        <v>1994</v>
      </c>
      <c r="C1316">
        <v>1712</v>
      </c>
      <c r="D1316" s="2">
        <v>0</v>
      </c>
      <c r="E1316" s="3">
        <v>1712</v>
      </c>
      <c r="F1316" t="s">
        <v>12</v>
      </c>
      <c r="G1316" t="s">
        <v>12</v>
      </c>
      <c r="H1316" s="1">
        <v>0.26024905857734398</v>
      </c>
      <c r="I1316" s="1">
        <v>1140.68414917375</v>
      </c>
      <c r="J1316" s="1">
        <v>1310.14230682831</v>
      </c>
      <c r="K1316" s="1"/>
      <c r="L1316" s="1"/>
      <c r="M1316" s="1"/>
      <c r="N1316" s="1"/>
      <c r="O1316" s="1"/>
      <c r="P1316" s="1"/>
      <c r="Q1316" s="1">
        <v>-3477.65127835355</v>
      </c>
      <c r="R1316" s="1">
        <v>7641</v>
      </c>
      <c r="S1316" t="s">
        <v>9</v>
      </c>
    </row>
    <row r="1317" spans="1:19" x14ac:dyDescent="0.55000000000000004">
      <c r="A1317" t="s">
        <v>30</v>
      </c>
      <c r="B1317">
        <v>1993</v>
      </c>
      <c r="C1317">
        <v>5047</v>
      </c>
      <c r="D1317" s="2">
        <v>0</v>
      </c>
      <c r="E1317" s="3">
        <v>5047</v>
      </c>
      <c r="F1317" t="s">
        <v>12</v>
      </c>
      <c r="G1317" t="s">
        <v>12</v>
      </c>
      <c r="H1317" s="1">
        <v>83.696885354314404</v>
      </c>
      <c r="I1317" s="1">
        <v>11747.526231108999</v>
      </c>
      <c r="J1317" s="1">
        <v>391.35463847594798</v>
      </c>
      <c r="K1317" s="1"/>
      <c r="L1317" s="1"/>
      <c r="M1317" s="1"/>
      <c r="N1317" s="1"/>
      <c r="O1317" s="1"/>
      <c r="P1317" s="1"/>
      <c r="Q1317" s="1">
        <v>-4491.2129721768097</v>
      </c>
      <c r="R1317" s="1">
        <v>21761</v>
      </c>
      <c r="S1317" t="s">
        <v>9</v>
      </c>
    </row>
    <row r="1318" spans="1:19" x14ac:dyDescent="0.55000000000000004">
      <c r="A1318" t="s">
        <v>30</v>
      </c>
      <c r="B1318">
        <v>1992</v>
      </c>
      <c r="C1318">
        <v>8236</v>
      </c>
      <c r="D1318" s="2">
        <v>6</v>
      </c>
      <c r="E1318" s="3">
        <v>8242</v>
      </c>
      <c r="F1318" t="s">
        <v>12</v>
      </c>
      <c r="G1318" t="s">
        <v>12</v>
      </c>
      <c r="H1318" s="1">
        <v>9.2995744894306895</v>
      </c>
      <c r="I1318" s="1">
        <v>11657.412337174999</v>
      </c>
      <c r="J1318" s="1">
        <v>19358.558863382299</v>
      </c>
      <c r="K1318" s="1"/>
      <c r="L1318" s="1"/>
      <c r="M1318" s="1"/>
      <c r="N1318" s="1"/>
      <c r="O1318" s="1"/>
      <c r="P1318" s="1"/>
      <c r="Q1318" s="1">
        <v>2488.1306987233102</v>
      </c>
      <c r="R1318" s="1">
        <v>39267</v>
      </c>
      <c r="S1318" t="s">
        <v>9</v>
      </c>
    </row>
    <row r="1319" spans="1:19" x14ac:dyDescent="0.55000000000000004">
      <c r="A1319" t="s">
        <v>30</v>
      </c>
      <c r="B1319">
        <v>1991</v>
      </c>
      <c r="C1319">
        <v>464</v>
      </c>
      <c r="D1319" s="2">
        <v>0</v>
      </c>
      <c r="E1319" s="3">
        <v>464</v>
      </c>
      <c r="F1319" t="s">
        <v>12</v>
      </c>
      <c r="G1319" t="s">
        <v>12</v>
      </c>
      <c r="H1319" s="1">
        <v>0</v>
      </c>
      <c r="I1319" s="1">
        <v>820.86911780663604</v>
      </c>
      <c r="J1319" s="1">
        <v>215.25542464810201</v>
      </c>
      <c r="K1319" s="1"/>
      <c r="L1319" s="1"/>
      <c r="M1319" s="1"/>
      <c r="N1319" s="1"/>
      <c r="O1319" s="1"/>
      <c r="P1319" s="1"/>
      <c r="Q1319" s="1">
        <v>-689.39389167306797</v>
      </c>
      <c r="R1319" s="1">
        <v>2190</v>
      </c>
      <c r="S1319" t="s">
        <v>9</v>
      </c>
    </row>
    <row r="1320" spans="1:19" x14ac:dyDescent="0.55000000000000004">
      <c r="A1320" t="s">
        <v>30</v>
      </c>
      <c r="B1320">
        <v>1990</v>
      </c>
      <c r="C1320">
        <v>630</v>
      </c>
      <c r="D1320" s="2">
        <v>0</v>
      </c>
      <c r="E1320" s="3">
        <v>630</v>
      </c>
      <c r="F1320" t="s">
        <v>12</v>
      </c>
      <c r="G1320" t="s">
        <v>12</v>
      </c>
      <c r="H1320" s="1">
        <v>5.1972055164545399</v>
      </c>
      <c r="I1320" s="1">
        <v>1755.9169202481701</v>
      </c>
      <c r="J1320" s="1">
        <v>923.44905658735195</v>
      </c>
      <c r="K1320" s="1"/>
      <c r="L1320" s="1"/>
      <c r="M1320" s="1"/>
      <c r="N1320" s="1"/>
      <c r="O1320" s="1"/>
      <c r="P1320" s="1"/>
      <c r="Q1320" s="1">
        <v>33.740654091789303</v>
      </c>
      <c r="R1320" s="1">
        <v>3315</v>
      </c>
      <c r="S1320" t="s">
        <v>9</v>
      </c>
    </row>
    <row r="1321" spans="1:19" x14ac:dyDescent="0.55000000000000004">
      <c r="A1321" t="s">
        <v>30</v>
      </c>
      <c r="B1321">
        <v>1989</v>
      </c>
      <c r="C1321">
        <v>1647</v>
      </c>
      <c r="D1321" s="2">
        <v>0</v>
      </c>
      <c r="E1321" s="3">
        <v>1647</v>
      </c>
      <c r="F1321" t="s">
        <v>12</v>
      </c>
      <c r="G1321" t="s">
        <v>12</v>
      </c>
      <c r="H1321" s="1">
        <v>23.573210692400899</v>
      </c>
      <c r="I1321" s="1">
        <v>11591.346044305301</v>
      </c>
      <c r="J1321" s="1">
        <v>915.69234737747195</v>
      </c>
      <c r="K1321" s="1"/>
      <c r="L1321" s="1"/>
      <c r="M1321" s="1"/>
      <c r="N1321" s="1"/>
      <c r="O1321" s="1"/>
      <c r="P1321" s="1"/>
      <c r="Q1321" s="1">
        <v>-342.87862511819998</v>
      </c>
      <c r="R1321" s="1">
        <v>14520</v>
      </c>
      <c r="S1321" t="s">
        <v>9</v>
      </c>
    </row>
    <row r="1322" spans="1:19" x14ac:dyDescent="0.55000000000000004">
      <c r="A1322" t="s">
        <v>30</v>
      </c>
      <c r="B1322">
        <v>1988</v>
      </c>
      <c r="C1322">
        <v>19851</v>
      </c>
      <c r="D1322" s="2">
        <v>6</v>
      </c>
      <c r="E1322" s="3">
        <v>19857</v>
      </c>
      <c r="F1322" t="s">
        <v>12</v>
      </c>
      <c r="G1322" t="s">
        <v>12</v>
      </c>
      <c r="H1322" s="1">
        <v>0</v>
      </c>
      <c r="I1322" s="1">
        <v>16738.2483579008</v>
      </c>
      <c r="J1322" s="1">
        <v>2054.0674759313501</v>
      </c>
      <c r="K1322" s="1"/>
      <c r="L1322" s="1"/>
      <c r="M1322" s="1"/>
      <c r="N1322" s="1"/>
      <c r="O1322" s="1"/>
      <c r="P1322" s="1"/>
      <c r="Q1322" s="1">
        <v>3008.4767842757501</v>
      </c>
      <c r="R1322" s="1">
        <v>38649</v>
      </c>
      <c r="S1322" t="s">
        <v>9</v>
      </c>
    </row>
    <row r="1323" spans="1:19" x14ac:dyDescent="0.55000000000000004">
      <c r="A1323" t="s">
        <v>30</v>
      </c>
      <c r="B1323">
        <v>1987</v>
      </c>
      <c r="C1323">
        <v>1436</v>
      </c>
      <c r="D1323" s="2">
        <v>76</v>
      </c>
      <c r="E1323" s="3">
        <v>1512</v>
      </c>
      <c r="F1323" t="s">
        <v>12</v>
      </c>
      <c r="G1323" t="s">
        <v>12</v>
      </c>
      <c r="H1323" s="1">
        <v>0</v>
      </c>
      <c r="I1323" s="1">
        <v>1709.0816373918999</v>
      </c>
      <c r="J1323" s="1">
        <v>418.25058376757698</v>
      </c>
      <c r="K1323" s="1"/>
      <c r="L1323" s="1"/>
      <c r="M1323" s="1"/>
      <c r="N1323" s="1"/>
      <c r="O1323" s="1"/>
      <c r="P1323" s="1"/>
      <c r="Q1323" s="1">
        <v>-70.639130854147197</v>
      </c>
      <c r="R1323" s="1">
        <v>3710</v>
      </c>
      <c r="S1323" t="s">
        <v>9</v>
      </c>
    </row>
    <row r="1324" spans="1:19" x14ac:dyDescent="0.55000000000000004">
      <c r="A1324" t="s">
        <v>30</v>
      </c>
      <c r="B1324">
        <v>1986</v>
      </c>
      <c r="C1324">
        <v>2095</v>
      </c>
      <c r="D1324" s="2">
        <v>31</v>
      </c>
      <c r="E1324" s="3">
        <v>2126</v>
      </c>
      <c r="F1324" t="s">
        <v>12</v>
      </c>
      <c r="G1324" t="s">
        <v>12</v>
      </c>
      <c r="H1324" s="1">
        <v>0</v>
      </c>
      <c r="I1324" s="1">
        <v>763.08198596250099</v>
      </c>
      <c r="J1324" s="1">
        <v>775.60160488481802</v>
      </c>
      <c r="K1324" s="1"/>
      <c r="L1324" s="1"/>
      <c r="M1324" s="1"/>
      <c r="N1324" s="1"/>
      <c r="O1324" s="1"/>
      <c r="P1324" s="1"/>
      <c r="Q1324" s="1">
        <v>-790.90964818639304</v>
      </c>
      <c r="R1324" s="1">
        <v>4456</v>
      </c>
      <c r="S1324" t="s">
        <v>9</v>
      </c>
    </row>
    <row r="1325" spans="1:19" x14ac:dyDescent="0.55000000000000004">
      <c r="A1325" t="s">
        <v>30</v>
      </c>
      <c r="B1325">
        <v>1985</v>
      </c>
      <c r="C1325">
        <v>3638</v>
      </c>
      <c r="D1325" s="2">
        <v>0</v>
      </c>
      <c r="E1325" s="3">
        <v>3638</v>
      </c>
      <c r="F1325" t="s">
        <v>12</v>
      </c>
      <c r="G1325" t="s">
        <v>12</v>
      </c>
      <c r="H1325" s="1">
        <v>0</v>
      </c>
      <c r="I1325" s="1">
        <v>10845.4402108372</v>
      </c>
      <c r="J1325" s="1">
        <v>789.74704878432101</v>
      </c>
      <c r="K1325" s="1"/>
      <c r="L1325" s="1"/>
      <c r="M1325" s="1"/>
      <c r="N1325" s="1"/>
      <c r="O1325" s="1"/>
      <c r="P1325" s="1"/>
      <c r="Q1325" s="1">
        <v>1807.9348066114901</v>
      </c>
      <c r="R1325" s="1">
        <v>15273</v>
      </c>
      <c r="S1325" t="s">
        <v>9</v>
      </c>
    </row>
    <row r="1326" spans="1:19" x14ac:dyDescent="0.55000000000000004">
      <c r="A1326" t="s">
        <v>30</v>
      </c>
      <c r="B1326">
        <v>1984</v>
      </c>
      <c r="C1326">
        <v>19086</v>
      </c>
      <c r="D1326" s="2">
        <v>12</v>
      </c>
      <c r="E1326" s="3">
        <v>19098</v>
      </c>
      <c r="F1326" t="s">
        <v>12</v>
      </c>
      <c r="G1326" t="s">
        <v>12</v>
      </c>
      <c r="H1326" s="1">
        <v>0</v>
      </c>
      <c r="I1326" s="1">
        <v>26589.422006689001</v>
      </c>
      <c r="J1326" s="1">
        <v>4788.3390294439596</v>
      </c>
      <c r="K1326" s="1"/>
      <c r="L1326" s="1"/>
      <c r="M1326" s="1"/>
      <c r="N1326" s="1"/>
      <c r="O1326" s="1"/>
      <c r="P1326" s="1"/>
      <c r="Q1326" s="1">
        <v>-3531.8140549064701</v>
      </c>
      <c r="R1326" s="1">
        <v>54008</v>
      </c>
      <c r="S1326" t="s">
        <v>9</v>
      </c>
    </row>
    <row r="1327" spans="1:19" x14ac:dyDescent="0.55000000000000004">
      <c r="A1327" t="s">
        <v>30</v>
      </c>
      <c r="B1327">
        <v>1983</v>
      </c>
      <c r="C1327">
        <v>2780</v>
      </c>
      <c r="D1327" s="2">
        <v>77</v>
      </c>
      <c r="E1327" s="3">
        <v>2857</v>
      </c>
      <c r="F1327" t="s">
        <v>12</v>
      </c>
      <c r="G1327" t="s">
        <v>12</v>
      </c>
      <c r="H1327" s="1">
        <v>0.22714578908004299</v>
      </c>
      <c r="I1327" s="1">
        <v>4567.8778722366196</v>
      </c>
      <c r="J1327" s="1">
        <v>726.21919376003598</v>
      </c>
      <c r="K1327" s="1"/>
      <c r="L1327" s="1"/>
      <c r="M1327" s="1"/>
      <c r="N1327" s="1"/>
      <c r="O1327" s="1"/>
      <c r="P1327" s="1"/>
      <c r="Q1327" s="1">
        <v>-691.294358353544</v>
      </c>
      <c r="R1327" s="1">
        <v>8843</v>
      </c>
      <c r="S1327" t="s">
        <v>9</v>
      </c>
    </row>
    <row r="1328" spans="1:19" x14ac:dyDescent="0.55000000000000004">
      <c r="A1328" t="s">
        <v>30</v>
      </c>
      <c r="B1328">
        <v>1982</v>
      </c>
      <c r="C1328">
        <v>2992</v>
      </c>
      <c r="D1328" s="2">
        <v>0</v>
      </c>
      <c r="E1328" s="3">
        <v>2992</v>
      </c>
      <c r="F1328" t="s">
        <v>12</v>
      </c>
      <c r="G1328" t="s">
        <v>12</v>
      </c>
      <c r="H1328" s="1"/>
      <c r="I1328" s="1">
        <v>9700.9731378133001</v>
      </c>
      <c r="J1328" s="1">
        <v>943.26588908704696</v>
      </c>
      <c r="K1328" s="1"/>
      <c r="L1328" s="1"/>
      <c r="M1328" s="1"/>
      <c r="N1328" s="1"/>
      <c r="O1328" s="1"/>
      <c r="P1328" s="1"/>
      <c r="Q1328" s="1">
        <v>-122.80132896692</v>
      </c>
      <c r="R1328" s="1">
        <v>13759</v>
      </c>
      <c r="S1328" t="s">
        <v>9</v>
      </c>
    </row>
    <row r="1329" spans="1:19" x14ac:dyDescent="0.55000000000000004">
      <c r="A1329" t="s">
        <v>30</v>
      </c>
      <c r="B1329">
        <v>1981</v>
      </c>
      <c r="C1329">
        <v>815</v>
      </c>
      <c r="D1329" s="2">
        <v>58</v>
      </c>
      <c r="E1329" s="3">
        <v>873</v>
      </c>
      <c r="F1329" t="s">
        <v>12</v>
      </c>
      <c r="G1329" t="s">
        <v>12</v>
      </c>
      <c r="H1329" s="1"/>
      <c r="I1329" s="1">
        <v>2813.86329520665</v>
      </c>
      <c r="J1329" s="1">
        <v>89.796448962482401</v>
      </c>
      <c r="K1329" s="1"/>
      <c r="L1329" s="1"/>
      <c r="M1329" s="1"/>
      <c r="N1329" s="1"/>
      <c r="O1329" s="1"/>
      <c r="P1329" s="1"/>
      <c r="Q1329" s="1">
        <v>-231.666356304375</v>
      </c>
      <c r="R1329" s="1">
        <v>4008</v>
      </c>
      <c r="S1329" t="s">
        <v>9</v>
      </c>
    </row>
    <row r="1330" spans="1:19" x14ac:dyDescent="0.55000000000000004">
      <c r="A1330" t="s">
        <v>30</v>
      </c>
      <c r="B1330">
        <v>1980</v>
      </c>
      <c r="C1330">
        <v>5418</v>
      </c>
      <c r="D1330" s="2">
        <v>0</v>
      </c>
      <c r="E1330" s="3">
        <v>5418</v>
      </c>
      <c r="F1330" t="s">
        <v>12</v>
      </c>
      <c r="G1330" t="s">
        <v>12</v>
      </c>
      <c r="H1330" s="1"/>
      <c r="I1330" s="1">
        <v>9855.6621852583994</v>
      </c>
      <c r="J1330" s="1">
        <v>1086.93829646737</v>
      </c>
      <c r="K1330" s="1"/>
      <c r="L1330" s="1"/>
      <c r="M1330" s="1"/>
      <c r="N1330" s="1"/>
      <c r="O1330" s="1"/>
      <c r="P1330" s="1"/>
      <c r="Q1330" s="1">
        <v>364.522741820882</v>
      </c>
      <c r="R1330" s="1">
        <v>16361</v>
      </c>
      <c r="S1330" t="s">
        <v>9</v>
      </c>
    </row>
    <row r="1331" spans="1:19" x14ac:dyDescent="0.55000000000000004">
      <c r="A1331" t="s">
        <v>30</v>
      </c>
      <c r="B1331">
        <v>1979</v>
      </c>
      <c r="C1331">
        <v>1758</v>
      </c>
      <c r="D1331" s="2">
        <v>22</v>
      </c>
      <c r="E1331" s="3">
        <v>1780</v>
      </c>
      <c r="F1331" t="s">
        <v>12</v>
      </c>
      <c r="G1331" t="s">
        <v>12</v>
      </c>
      <c r="H1331" s="1"/>
      <c r="I1331" s="1">
        <v>4055.8998873272499</v>
      </c>
      <c r="J1331" s="1">
        <v>322.29600998701397</v>
      </c>
      <c r="K1331" s="1"/>
      <c r="L1331" s="1"/>
      <c r="M1331" s="1"/>
      <c r="N1331" s="1"/>
      <c r="O1331" s="1"/>
      <c r="P1331" s="1"/>
      <c r="Q1331" s="1">
        <v>-779.64848385538903</v>
      </c>
      <c r="R1331" s="1">
        <v>6938</v>
      </c>
      <c r="S1331" t="s">
        <v>9</v>
      </c>
    </row>
    <row r="1332" spans="1:19" x14ac:dyDescent="0.55000000000000004">
      <c r="A1332" t="s">
        <v>30</v>
      </c>
      <c r="B1332">
        <v>1978</v>
      </c>
      <c r="C1332">
        <v>2493</v>
      </c>
      <c r="D1332" s="2">
        <v>7</v>
      </c>
      <c r="E1332" s="3">
        <v>2500</v>
      </c>
      <c r="F1332" t="s">
        <v>12</v>
      </c>
      <c r="G1332" t="s">
        <v>12</v>
      </c>
      <c r="H1332" s="1"/>
      <c r="I1332" s="1">
        <v>9045.3638463139105</v>
      </c>
      <c r="J1332" s="1">
        <v>437.94089701323003</v>
      </c>
      <c r="K1332" s="1"/>
      <c r="L1332" s="1"/>
      <c r="M1332" s="1"/>
      <c r="N1332" s="1"/>
      <c r="O1332" s="1"/>
      <c r="P1332" s="1"/>
      <c r="Q1332" s="1">
        <v>161.444010007911</v>
      </c>
      <c r="R1332" s="1">
        <v>11983</v>
      </c>
      <c r="S1332" t="s">
        <v>9</v>
      </c>
    </row>
    <row r="1333" spans="1:19" x14ac:dyDescent="0.55000000000000004">
      <c r="A1333" t="s">
        <v>30</v>
      </c>
      <c r="B1333">
        <v>1977</v>
      </c>
      <c r="C1333">
        <v>617</v>
      </c>
      <c r="D1333" s="2">
        <v>31</v>
      </c>
      <c r="E1333" s="3">
        <v>648</v>
      </c>
      <c r="F1333" t="s">
        <v>12</v>
      </c>
      <c r="G1333" t="s">
        <v>12</v>
      </c>
      <c r="H1333" s="1"/>
      <c r="I1333" s="1">
        <v>1693.6598319566201</v>
      </c>
      <c r="J1333" s="1">
        <v>77.403829701615095</v>
      </c>
      <c r="K1333" s="1"/>
      <c r="L1333" s="1"/>
      <c r="M1333" s="1"/>
      <c r="N1333" s="1"/>
      <c r="O1333" s="1"/>
      <c r="P1333" s="1"/>
      <c r="Q1333" s="1">
        <v>457.82131909244299</v>
      </c>
      <c r="R1333" s="1">
        <v>2419</v>
      </c>
      <c r="S1333" t="s">
        <v>9</v>
      </c>
    </row>
    <row r="1334" spans="1:19" x14ac:dyDescent="0.55000000000000004">
      <c r="A1334" t="s">
        <v>30</v>
      </c>
      <c r="B1334">
        <v>1976</v>
      </c>
      <c r="C1334">
        <v>8665</v>
      </c>
      <c r="D1334" s="2">
        <v>19</v>
      </c>
      <c r="E1334" s="3">
        <v>8684</v>
      </c>
      <c r="F1334" t="s">
        <v>12</v>
      </c>
      <c r="G1334" t="s">
        <v>12</v>
      </c>
      <c r="H1334" s="1"/>
      <c r="I1334" s="1">
        <v>45479.2762973352</v>
      </c>
      <c r="J1334" s="1">
        <v>1847.5399719495099</v>
      </c>
      <c r="K1334" s="1"/>
      <c r="L1334" s="1"/>
      <c r="M1334" s="1"/>
      <c r="N1334" s="1"/>
      <c r="O1334" s="1"/>
      <c r="P1334" s="1"/>
      <c r="Q1334" s="1"/>
      <c r="R1334" s="1">
        <v>56011</v>
      </c>
      <c r="S1334" t="s">
        <v>12</v>
      </c>
    </row>
    <row r="1335" spans="1:19" x14ac:dyDescent="0.55000000000000004">
      <c r="A1335" t="s">
        <v>30</v>
      </c>
      <c r="B1335">
        <v>1975</v>
      </c>
      <c r="C1335">
        <v>2609</v>
      </c>
      <c r="D1335" s="2">
        <v>55</v>
      </c>
      <c r="E1335" s="3">
        <v>2664</v>
      </c>
      <c r="F1335" t="s">
        <v>12</v>
      </c>
      <c r="G1335" t="s">
        <v>12</v>
      </c>
      <c r="H1335" s="1"/>
      <c r="I1335" s="1">
        <v>6892</v>
      </c>
      <c r="J1335" s="1">
        <v>601</v>
      </c>
      <c r="K1335" s="1"/>
      <c r="L1335" s="1"/>
      <c r="M1335" s="1"/>
      <c r="N1335" s="1"/>
      <c r="O1335" s="1"/>
      <c r="P1335" s="1"/>
      <c r="Q1335" s="1"/>
      <c r="R1335" s="1">
        <v>10157</v>
      </c>
      <c r="S1335" t="s">
        <v>11</v>
      </c>
    </row>
    <row r="1336" spans="1:19" x14ac:dyDescent="0.55000000000000004">
      <c r="A1336" t="s">
        <v>30</v>
      </c>
      <c r="B1336">
        <v>1974</v>
      </c>
      <c r="C1336">
        <v>2383</v>
      </c>
      <c r="D1336" s="2">
        <v>13</v>
      </c>
      <c r="E1336" s="3">
        <v>2396</v>
      </c>
      <c r="F1336" t="s">
        <v>12</v>
      </c>
      <c r="G1336" t="s">
        <v>12</v>
      </c>
      <c r="H1336" s="1"/>
      <c r="I1336" s="1">
        <v>8866.1983333333392</v>
      </c>
      <c r="J1336" s="1">
        <v>782</v>
      </c>
      <c r="K1336" s="1"/>
      <c r="L1336" s="1"/>
      <c r="M1336" s="1"/>
      <c r="N1336" s="1"/>
      <c r="O1336" s="1"/>
      <c r="P1336" s="1"/>
      <c r="Q1336" s="1"/>
      <c r="R1336" s="1">
        <v>12044</v>
      </c>
      <c r="S1336" t="s">
        <v>12</v>
      </c>
    </row>
    <row r="1337" spans="1:19" x14ac:dyDescent="0.55000000000000004">
      <c r="A1337" t="s">
        <v>30</v>
      </c>
      <c r="B1337">
        <v>1973</v>
      </c>
      <c r="C1337">
        <v>2714</v>
      </c>
      <c r="D1337" s="2">
        <v>15</v>
      </c>
      <c r="E1337" s="3">
        <v>2729</v>
      </c>
      <c r="F1337" t="s">
        <v>12</v>
      </c>
      <c r="G1337" t="s">
        <v>12</v>
      </c>
      <c r="H1337" s="1"/>
      <c r="I1337" s="1">
        <v>12808.7415485278</v>
      </c>
      <c r="J1337" s="1">
        <v>184</v>
      </c>
      <c r="K1337" s="1"/>
      <c r="L1337" s="1"/>
      <c r="M1337" s="1"/>
      <c r="N1337" s="1"/>
      <c r="O1337" s="1"/>
      <c r="P1337" s="1"/>
      <c r="Q1337" s="1"/>
      <c r="R1337" s="1">
        <v>15722</v>
      </c>
      <c r="S1337" t="s">
        <v>12</v>
      </c>
    </row>
    <row r="1338" spans="1:19" x14ac:dyDescent="0.55000000000000004">
      <c r="A1338" t="s">
        <v>30</v>
      </c>
      <c r="B1338">
        <v>1972</v>
      </c>
      <c r="C1338">
        <v>11048</v>
      </c>
      <c r="D1338" s="2">
        <v>103</v>
      </c>
      <c r="E1338" s="3">
        <v>11151</v>
      </c>
      <c r="F1338" t="s">
        <v>12</v>
      </c>
      <c r="G1338" t="s">
        <v>12</v>
      </c>
      <c r="H1338" s="1"/>
      <c r="I1338" s="1">
        <v>84580</v>
      </c>
      <c r="J1338" s="1">
        <v>6933</v>
      </c>
      <c r="K1338" s="1"/>
      <c r="L1338" s="1"/>
      <c r="M1338" s="1"/>
      <c r="N1338" s="1"/>
      <c r="O1338" s="1"/>
      <c r="P1338" s="1"/>
      <c r="Q1338" s="1"/>
      <c r="R1338" s="1">
        <v>102664</v>
      </c>
      <c r="S1338" t="s">
        <v>12</v>
      </c>
    </row>
    <row r="1339" spans="1:19" x14ac:dyDescent="0.55000000000000004">
      <c r="A1339" t="s">
        <v>30</v>
      </c>
      <c r="B1339">
        <v>1971</v>
      </c>
      <c r="C1339">
        <v>801</v>
      </c>
      <c r="D1339" s="2">
        <v>39</v>
      </c>
      <c r="E1339" s="3">
        <v>840</v>
      </c>
      <c r="F1339" t="s">
        <v>12</v>
      </c>
      <c r="G1339" t="s">
        <v>12</v>
      </c>
      <c r="H1339" s="1"/>
      <c r="I1339" s="1">
        <v>9900.0710059171597</v>
      </c>
      <c r="J1339" s="1">
        <v>317</v>
      </c>
      <c r="K1339" s="1"/>
      <c r="L1339" s="1"/>
      <c r="M1339" s="1"/>
      <c r="N1339" s="1"/>
      <c r="O1339" s="1"/>
      <c r="P1339" s="1"/>
      <c r="Q1339" s="1"/>
      <c r="R1339" s="1">
        <v>11057</v>
      </c>
      <c r="S1339" t="s">
        <v>12</v>
      </c>
    </row>
    <row r="1340" spans="1:19" x14ac:dyDescent="0.55000000000000004">
      <c r="A1340" t="s">
        <v>30</v>
      </c>
      <c r="B1340">
        <v>1970</v>
      </c>
      <c r="C1340">
        <v>4462</v>
      </c>
      <c r="D1340" s="2">
        <v>12</v>
      </c>
      <c r="E1340" s="3">
        <v>4474</v>
      </c>
      <c r="F1340" t="s">
        <v>12</v>
      </c>
      <c r="G1340" t="s">
        <v>12</v>
      </c>
      <c r="H1340" s="1"/>
      <c r="I1340" s="1">
        <v>16311.8947603121</v>
      </c>
      <c r="J1340" s="1">
        <v>1421</v>
      </c>
      <c r="K1340" s="1"/>
      <c r="L1340" s="1"/>
      <c r="M1340" s="1"/>
      <c r="N1340" s="1"/>
      <c r="O1340" s="1"/>
      <c r="P1340" s="1"/>
      <c r="Q1340" s="1"/>
      <c r="R1340" s="1">
        <v>22207</v>
      </c>
      <c r="S1340" t="s">
        <v>12</v>
      </c>
    </row>
    <row r="1341" spans="1:19" x14ac:dyDescent="0.55000000000000004">
      <c r="A1341" t="s">
        <v>30</v>
      </c>
      <c r="B1341">
        <v>1969</v>
      </c>
      <c r="C1341">
        <v>5537</v>
      </c>
      <c r="D1341" s="2">
        <v>56</v>
      </c>
      <c r="E1341" s="3">
        <v>5593</v>
      </c>
      <c r="F1341" t="s">
        <v>12</v>
      </c>
      <c r="G1341" t="s">
        <v>12</v>
      </c>
      <c r="H1341" s="1"/>
      <c r="I1341" s="1">
        <v>21275.8395171312</v>
      </c>
      <c r="J1341" s="1">
        <v>678</v>
      </c>
      <c r="K1341" s="1"/>
      <c r="L1341" s="1"/>
      <c r="M1341" s="1"/>
      <c r="N1341" s="1"/>
      <c r="O1341" s="1"/>
      <c r="P1341" s="1"/>
      <c r="Q1341" s="1"/>
      <c r="R1341" s="1">
        <v>27547</v>
      </c>
      <c r="S1341" t="s">
        <v>12</v>
      </c>
    </row>
    <row r="1342" spans="1:19" x14ac:dyDescent="0.55000000000000004">
      <c r="A1342" t="s">
        <v>30</v>
      </c>
      <c r="B1342">
        <v>1968</v>
      </c>
      <c r="C1342">
        <v>8089</v>
      </c>
      <c r="D1342" s="2">
        <v>32</v>
      </c>
      <c r="E1342" s="3">
        <v>8121</v>
      </c>
      <c r="F1342" t="s">
        <v>12</v>
      </c>
      <c r="G1342" t="s">
        <v>12</v>
      </c>
      <c r="H1342" s="1"/>
      <c r="I1342" s="1">
        <v>28908.293598050899</v>
      </c>
      <c r="J1342" s="1">
        <v>1496</v>
      </c>
      <c r="K1342" s="1"/>
      <c r="L1342" s="1"/>
      <c r="M1342" s="1"/>
      <c r="N1342" s="1"/>
      <c r="O1342" s="1"/>
      <c r="P1342" s="1"/>
      <c r="Q1342" s="1"/>
      <c r="R1342" s="1">
        <v>38525</v>
      </c>
      <c r="S1342" t="s">
        <v>12</v>
      </c>
    </row>
    <row r="1343" spans="1:19" x14ac:dyDescent="0.55000000000000004">
      <c r="A1343" t="s">
        <v>30</v>
      </c>
      <c r="B1343">
        <v>1967</v>
      </c>
      <c r="C1343">
        <v>1279</v>
      </c>
      <c r="D1343" s="2">
        <v>24</v>
      </c>
      <c r="E1343" s="3">
        <v>1303</v>
      </c>
      <c r="F1343" t="s">
        <v>12</v>
      </c>
      <c r="G1343" t="s">
        <v>12</v>
      </c>
      <c r="H1343" s="1"/>
      <c r="I1343" s="1">
        <v>18009.850644427599</v>
      </c>
      <c r="J1343" s="1">
        <v>486.031842304777</v>
      </c>
      <c r="K1343" s="1"/>
      <c r="L1343" s="1"/>
      <c r="M1343" s="1"/>
      <c r="N1343" s="1"/>
      <c r="O1343" s="1"/>
      <c r="P1343" s="1"/>
      <c r="Q1343" s="1"/>
      <c r="R1343" s="1">
        <v>19799</v>
      </c>
      <c r="S1343" t="s">
        <v>12</v>
      </c>
    </row>
    <row r="1344" spans="1:19" x14ac:dyDescent="0.55000000000000004">
      <c r="A1344" t="s">
        <v>30</v>
      </c>
      <c r="B1344">
        <v>1966</v>
      </c>
      <c r="C1344">
        <v>6244</v>
      </c>
      <c r="D1344" s="2">
        <v>6</v>
      </c>
      <c r="E1344" s="3">
        <v>6250</v>
      </c>
      <c r="F1344" t="s">
        <v>12</v>
      </c>
      <c r="G1344" t="s">
        <v>12</v>
      </c>
      <c r="H1344" s="1"/>
      <c r="I1344" s="1">
        <v>32448.4126984127</v>
      </c>
      <c r="J1344" s="1">
        <v>1041.6666666666699</v>
      </c>
      <c r="K1344" s="1"/>
      <c r="L1344" s="1"/>
      <c r="M1344" s="1"/>
      <c r="N1344" s="1"/>
      <c r="O1344" s="1"/>
      <c r="P1344" s="1"/>
      <c r="Q1344" s="1"/>
      <c r="R1344" s="1">
        <v>39740</v>
      </c>
      <c r="S1344" t="s">
        <v>12</v>
      </c>
    </row>
    <row r="1345" spans="1:19" x14ac:dyDescent="0.55000000000000004">
      <c r="A1345" t="s">
        <v>30</v>
      </c>
      <c r="B1345">
        <v>1965</v>
      </c>
      <c r="C1345">
        <v>6624</v>
      </c>
      <c r="D1345" s="2">
        <v>0</v>
      </c>
      <c r="E1345" s="3">
        <v>6624</v>
      </c>
      <c r="F1345" t="s">
        <v>12</v>
      </c>
      <c r="G1345" t="s">
        <v>12</v>
      </c>
      <c r="H1345" s="1"/>
      <c r="I1345" s="1">
        <v>16246.9155766944</v>
      </c>
      <c r="J1345" s="1">
        <v>1436.44708680143</v>
      </c>
      <c r="K1345" s="1"/>
      <c r="L1345" s="1"/>
      <c r="M1345" s="1"/>
      <c r="N1345" s="1"/>
      <c r="O1345" s="1"/>
      <c r="P1345" s="1"/>
      <c r="Q1345" s="1"/>
      <c r="R1345" s="1">
        <v>24307</v>
      </c>
      <c r="S1345" t="s">
        <v>12</v>
      </c>
    </row>
    <row r="1346" spans="1:19" x14ac:dyDescent="0.55000000000000004">
      <c r="A1346" t="s">
        <v>30</v>
      </c>
      <c r="B1346">
        <v>1964</v>
      </c>
      <c r="C1346">
        <v>5177</v>
      </c>
      <c r="D1346" s="2">
        <v>24</v>
      </c>
      <c r="E1346" s="3">
        <v>5201</v>
      </c>
      <c r="F1346" t="s">
        <v>12</v>
      </c>
      <c r="G1346" t="s">
        <v>12</v>
      </c>
      <c r="H1346" s="1"/>
      <c r="I1346" s="1">
        <v>11323.213936889601</v>
      </c>
      <c r="J1346" s="1">
        <v>1773.0681818181799</v>
      </c>
      <c r="K1346" s="1"/>
      <c r="L1346" s="1"/>
      <c r="M1346" s="1"/>
      <c r="N1346" s="1"/>
      <c r="O1346" s="1"/>
      <c r="P1346" s="1"/>
      <c r="Q1346" s="1"/>
      <c r="R1346" s="1">
        <v>18297</v>
      </c>
      <c r="S1346" t="s">
        <v>11</v>
      </c>
    </row>
    <row r="1347" spans="1:19" x14ac:dyDescent="0.55000000000000004">
      <c r="A1347" t="s">
        <v>30</v>
      </c>
      <c r="B1347">
        <v>1963</v>
      </c>
      <c r="C1347">
        <v>8683</v>
      </c>
      <c r="D1347" s="2">
        <v>41</v>
      </c>
      <c r="E1347" s="3">
        <v>8724</v>
      </c>
      <c r="F1347" t="s">
        <v>12</v>
      </c>
      <c r="G1347" t="s">
        <v>12</v>
      </c>
      <c r="H1347" s="1"/>
      <c r="I1347" s="1">
        <v>11753.739365293701</v>
      </c>
      <c r="J1347" s="1">
        <v>1138.8521269412599</v>
      </c>
      <c r="K1347" s="1"/>
      <c r="L1347" s="1"/>
      <c r="M1347" s="1"/>
      <c r="N1347" s="1"/>
      <c r="O1347" s="1"/>
      <c r="P1347" s="1"/>
      <c r="Q1347" s="1"/>
      <c r="R1347" s="1">
        <v>21617</v>
      </c>
      <c r="S1347" t="s">
        <v>12</v>
      </c>
    </row>
    <row r="1348" spans="1:19" x14ac:dyDescent="0.55000000000000004">
      <c r="A1348" t="s">
        <v>30</v>
      </c>
      <c r="B1348">
        <v>1962</v>
      </c>
      <c r="C1348">
        <v>7613</v>
      </c>
      <c r="D1348" s="2">
        <v>0</v>
      </c>
      <c r="E1348" s="3">
        <v>7613</v>
      </c>
      <c r="F1348" t="s">
        <v>12</v>
      </c>
      <c r="G1348" t="s">
        <v>12</v>
      </c>
      <c r="H1348" s="1"/>
      <c r="I1348" s="1">
        <v>16153.331864714301</v>
      </c>
      <c r="J1348" s="1">
        <v>834.59867824284004</v>
      </c>
      <c r="K1348" s="1"/>
      <c r="L1348" s="1"/>
      <c r="M1348" s="1"/>
      <c r="N1348" s="1"/>
      <c r="O1348" s="1"/>
      <c r="P1348" s="1"/>
      <c r="Q1348" s="1"/>
      <c r="R1348" s="1">
        <v>24601</v>
      </c>
      <c r="S1348" t="s">
        <v>12</v>
      </c>
    </row>
    <row r="1349" spans="1:19" x14ac:dyDescent="0.55000000000000004">
      <c r="A1349" t="s">
        <v>30</v>
      </c>
      <c r="B1349">
        <v>1961</v>
      </c>
      <c r="C1349">
        <v>7293</v>
      </c>
      <c r="D1349" s="2">
        <v>8</v>
      </c>
      <c r="E1349" s="3">
        <v>7301</v>
      </c>
      <c r="F1349" t="s">
        <v>12</v>
      </c>
      <c r="G1349" t="s">
        <v>12</v>
      </c>
      <c r="H1349" s="1"/>
      <c r="I1349" s="1">
        <v>16199.471059661601</v>
      </c>
      <c r="J1349" s="1">
        <v>1094.08192341941</v>
      </c>
      <c r="K1349" s="1"/>
      <c r="L1349" s="1"/>
      <c r="M1349" s="1"/>
      <c r="N1349" s="1"/>
      <c r="O1349" s="1"/>
      <c r="P1349" s="1"/>
      <c r="Q1349" s="1"/>
      <c r="R1349" s="1">
        <v>24595</v>
      </c>
      <c r="S1349" t="s">
        <v>12</v>
      </c>
    </row>
    <row r="1350" spans="1:19" x14ac:dyDescent="0.55000000000000004">
      <c r="A1350" t="s">
        <v>30</v>
      </c>
      <c r="B1350">
        <v>1960</v>
      </c>
      <c r="C1350">
        <v>5513</v>
      </c>
      <c r="D1350" s="2">
        <v>40</v>
      </c>
      <c r="E1350" s="3">
        <v>5553</v>
      </c>
      <c r="F1350" t="s">
        <v>12</v>
      </c>
      <c r="G1350" t="s">
        <v>12</v>
      </c>
      <c r="H1350" s="1"/>
      <c r="I1350" s="1">
        <v>17046.989681603802</v>
      </c>
      <c r="J1350" s="1">
        <v>948.69206957547203</v>
      </c>
      <c r="K1350" s="1"/>
      <c r="L1350" s="1"/>
      <c r="M1350" s="1"/>
      <c r="N1350" s="1"/>
      <c r="O1350" s="1"/>
      <c r="P1350" s="1"/>
      <c r="Q1350" s="1"/>
      <c r="R1350" s="1">
        <v>23549</v>
      </c>
      <c r="S1350" t="s">
        <v>11</v>
      </c>
    </row>
    <row r="1351" spans="1:19" x14ac:dyDescent="0.55000000000000004">
      <c r="A1351" t="s">
        <v>30</v>
      </c>
      <c r="B1351">
        <v>1959</v>
      </c>
      <c r="C1351">
        <v>10210</v>
      </c>
      <c r="D1351" s="2">
        <v>0</v>
      </c>
      <c r="E1351" s="3">
        <v>10210</v>
      </c>
      <c r="F1351" t="s">
        <v>12</v>
      </c>
      <c r="G1351" t="s">
        <v>12</v>
      </c>
      <c r="H1351" s="1"/>
      <c r="I1351" s="1">
        <v>47599.602420051902</v>
      </c>
      <c r="J1351" s="1">
        <v>834.40987227504104</v>
      </c>
      <c r="K1351" s="1"/>
      <c r="L1351" s="1"/>
      <c r="M1351" s="1"/>
      <c r="N1351" s="1"/>
      <c r="O1351" s="1"/>
      <c r="P1351" s="1"/>
      <c r="Q1351" s="1"/>
      <c r="R1351" s="1">
        <v>58644</v>
      </c>
      <c r="S1351" t="s">
        <v>12</v>
      </c>
    </row>
    <row r="1352" spans="1:19" x14ac:dyDescent="0.55000000000000004">
      <c r="A1352" t="s">
        <v>30</v>
      </c>
      <c r="B1352">
        <v>1958</v>
      </c>
      <c r="C1352">
        <v>10214</v>
      </c>
      <c r="D1352" s="2">
        <v>1</v>
      </c>
      <c r="E1352" s="3">
        <v>10215</v>
      </c>
      <c r="F1352" t="s">
        <v>12</v>
      </c>
      <c r="G1352" t="s">
        <v>12</v>
      </c>
      <c r="H1352" s="1"/>
      <c r="I1352" s="1">
        <v>30238</v>
      </c>
      <c r="J1352" s="1">
        <v>372</v>
      </c>
      <c r="K1352" s="1"/>
      <c r="L1352" s="1"/>
      <c r="M1352" s="1"/>
      <c r="N1352" s="1"/>
      <c r="O1352" s="1"/>
      <c r="P1352" s="1"/>
      <c r="Q1352" s="1"/>
      <c r="R1352" s="1">
        <v>40825</v>
      </c>
      <c r="S1352" t="s">
        <v>12</v>
      </c>
    </row>
    <row r="1353" spans="1:19" x14ac:dyDescent="0.55000000000000004">
      <c r="A1353" t="s">
        <v>30</v>
      </c>
      <c r="B1353">
        <v>1957</v>
      </c>
      <c r="C1353">
        <v>6860</v>
      </c>
      <c r="D1353" s="2">
        <v>21</v>
      </c>
      <c r="E1353" s="3">
        <v>6881</v>
      </c>
      <c r="F1353" t="s">
        <v>12</v>
      </c>
      <c r="G1353" t="s">
        <v>12</v>
      </c>
      <c r="H1353" s="1"/>
      <c r="I1353" s="1">
        <v>24443.014597485198</v>
      </c>
      <c r="J1353" s="1">
        <v>412</v>
      </c>
      <c r="K1353" s="1"/>
      <c r="L1353" s="1"/>
      <c r="M1353" s="1"/>
      <c r="N1353" s="1"/>
      <c r="O1353" s="1"/>
      <c r="P1353" s="1"/>
      <c r="Q1353" s="1"/>
      <c r="R1353" s="1">
        <v>31736</v>
      </c>
      <c r="S1353" t="s">
        <v>12</v>
      </c>
    </row>
    <row r="1354" spans="1:19" x14ac:dyDescent="0.55000000000000004">
      <c r="A1354" t="s">
        <v>30</v>
      </c>
      <c r="B1354">
        <v>1956</v>
      </c>
      <c r="C1354">
        <v>9037</v>
      </c>
      <c r="D1354" s="2">
        <v>0</v>
      </c>
      <c r="E1354" s="3">
        <v>9037</v>
      </c>
      <c r="F1354" t="s">
        <v>12</v>
      </c>
      <c r="G1354" t="s">
        <v>12</v>
      </c>
      <c r="H1354" s="1"/>
      <c r="I1354" s="1">
        <v>43483.376590330801</v>
      </c>
      <c r="J1354" s="1">
        <v>2156.5227348158</v>
      </c>
      <c r="K1354" s="1"/>
      <c r="L1354" s="1"/>
      <c r="M1354" s="1"/>
      <c r="N1354" s="1"/>
      <c r="O1354" s="1"/>
      <c r="P1354" s="1"/>
      <c r="Q1354" s="1"/>
      <c r="R1354" s="1">
        <v>54677</v>
      </c>
      <c r="S1354" t="s">
        <v>12</v>
      </c>
    </row>
    <row r="1355" spans="1:19" x14ac:dyDescent="0.55000000000000004">
      <c r="A1355" t="s">
        <v>30</v>
      </c>
      <c r="B1355">
        <v>1955</v>
      </c>
      <c r="C1355">
        <v>5079</v>
      </c>
      <c r="D1355" s="2">
        <v>2</v>
      </c>
      <c r="E1355" s="3">
        <v>5081</v>
      </c>
      <c r="F1355" t="s">
        <v>12</v>
      </c>
      <c r="G1355" t="s">
        <v>12</v>
      </c>
      <c r="H1355" s="1"/>
      <c r="I1355" s="1">
        <v>31788</v>
      </c>
      <c r="J1355" s="1">
        <v>1269.7593665508</v>
      </c>
      <c r="K1355" s="1"/>
      <c r="L1355" s="1"/>
      <c r="M1355" s="1"/>
      <c r="N1355" s="1"/>
      <c r="O1355" s="1"/>
      <c r="P1355" s="1"/>
      <c r="Q1355" s="1"/>
      <c r="R1355" s="1">
        <v>38139</v>
      </c>
      <c r="S1355" t="s">
        <v>11</v>
      </c>
    </row>
    <row r="1356" spans="1:19" x14ac:dyDescent="0.55000000000000004">
      <c r="A1356" t="s">
        <v>30</v>
      </c>
      <c r="B1356">
        <v>1954</v>
      </c>
      <c r="C1356">
        <v>9988</v>
      </c>
      <c r="D1356" s="2">
        <v>7</v>
      </c>
      <c r="E1356" s="3">
        <v>9995</v>
      </c>
      <c r="F1356" t="s">
        <v>12</v>
      </c>
      <c r="G1356" t="s">
        <v>12</v>
      </c>
      <c r="H1356" s="1"/>
      <c r="I1356" s="1">
        <v>31007.160172735301</v>
      </c>
      <c r="J1356" s="1">
        <v>341.37403081754798</v>
      </c>
      <c r="K1356" s="1"/>
      <c r="L1356" s="1"/>
      <c r="M1356" s="1"/>
      <c r="N1356" s="1"/>
      <c r="O1356" s="1"/>
      <c r="P1356" s="1"/>
      <c r="Q1356" s="1"/>
      <c r="R1356" s="1">
        <v>41344</v>
      </c>
      <c r="S1356" t="s">
        <v>12</v>
      </c>
    </row>
    <row r="1357" spans="1:19" x14ac:dyDescent="0.55000000000000004">
      <c r="A1357" t="s">
        <v>30</v>
      </c>
      <c r="B1357">
        <v>1953</v>
      </c>
      <c r="C1357">
        <v>7904</v>
      </c>
      <c r="D1357" s="2">
        <v>5</v>
      </c>
      <c r="E1357" s="3">
        <v>7909</v>
      </c>
      <c r="F1357" t="s">
        <v>12</v>
      </c>
      <c r="G1357" t="s">
        <v>12</v>
      </c>
      <c r="H1357" s="1"/>
      <c r="I1357" s="1">
        <v>26924</v>
      </c>
      <c r="J1357" s="1">
        <v>490</v>
      </c>
      <c r="K1357" s="1"/>
      <c r="L1357" s="1"/>
      <c r="M1357" s="1"/>
      <c r="N1357" s="1"/>
      <c r="O1357" s="1"/>
      <c r="P1357" s="1"/>
      <c r="Q1357" s="1"/>
      <c r="R1357" s="1">
        <v>35323</v>
      </c>
      <c r="S1357" t="s">
        <v>12</v>
      </c>
    </row>
    <row r="1358" spans="1:19" x14ac:dyDescent="0.55000000000000004">
      <c r="A1358" t="s">
        <v>30</v>
      </c>
      <c r="B1358">
        <v>1952</v>
      </c>
      <c r="C1358">
        <v>15617</v>
      </c>
      <c r="D1358" s="2">
        <v>0</v>
      </c>
      <c r="E1358" s="3">
        <v>15617</v>
      </c>
      <c r="F1358" t="s">
        <v>12</v>
      </c>
      <c r="G1358" t="s">
        <v>12</v>
      </c>
      <c r="H1358" s="1"/>
      <c r="I1358" s="1">
        <v>50964</v>
      </c>
      <c r="J1358" s="1">
        <v>1091</v>
      </c>
      <c r="K1358" s="1"/>
      <c r="L1358" s="1"/>
      <c r="M1358" s="1"/>
      <c r="N1358" s="1"/>
      <c r="O1358" s="1"/>
      <c r="P1358" s="1"/>
      <c r="Q1358" s="1"/>
      <c r="R1358" s="1">
        <v>67672</v>
      </c>
      <c r="S1358" t="s">
        <v>12</v>
      </c>
    </row>
    <row r="1359" spans="1:19" x14ac:dyDescent="0.55000000000000004">
      <c r="A1359" t="s">
        <v>31</v>
      </c>
      <c r="B1359">
        <v>2023</v>
      </c>
      <c r="C1359">
        <v>5341</v>
      </c>
      <c r="D1359" s="2">
        <v>46</v>
      </c>
      <c r="E1359" s="3">
        <v>5387</v>
      </c>
      <c r="F1359" t="s">
        <v>12</v>
      </c>
      <c r="G1359" t="s">
        <v>12</v>
      </c>
      <c r="H1359" s="1">
        <v>1.6289216069719501</v>
      </c>
      <c r="I1359" s="1">
        <v>262.56884461316503</v>
      </c>
      <c r="J1359" s="1">
        <v>98.155568519135997</v>
      </c>
      <c r="K1359" s="1"/>
      <c r="L1359" s="1">
        <v>4589.1131372211703</v>
      </c>
      <c r="M1359" s="1">
        <v>1542.66970583176</v>
      </c>
      <c r="N1359" s="1"/>
      <c r="O1359" s="1">
        <v>12.2507024485349</v>
      </c>
      <c r="P1359" s="1">
        <v>4.2877458569872102</v>
      </c>
      <c r="Q1359" s="1">
        <v>-19676.3711709251</v>
      </c>
      <c r="R1359" s="1">
        <v>11898</v>
      </c>
      <c r="S1359" t="s">
        <v>11</v>
      </c>
    </row>
    <row r="1360" spans="1:19" x14ac:dyDescent="0.55000000000000004">
      <c r="A1360" t="s">
        <v>31</v>
      </c>
      <c r="B1360">
        <v>2022</v>
      </c>
      <c r="C1360">
        <v>65257</v>
      </c>
      <c r="D1360" s="2">
        <v>17</v>
      </c>
      <c r="E1360" s="3">
        <v>65274</v>
      </c>
      <c r="F1360" t="s">
        <v>12</v>
      </c>
      <c r="G1360" t="s">
        <v>12</v>
      </c>
      <c r="H1360" s="1">
        <v>196.92767632613899</v>
      </c>
      <c r="I1360" s="1">
        <v>12387.3194589785</v>
      </c>
      <c r="J1360" s="1">
        <v>10032.5035563581</v>
      </c>
      <c r="K1360" s="1"/>
      <c r="L1360" s="1">
        <v>35768.914205060399</v>
      </c>
      <c r="M1360" s="1">
        <v>1171.2118634727001</v>
      </c>
      <c r="N1360" s="1"/>
      <c r="O1360" s="1">
        <v>3.59635167903593</v>
      </c>
      <c r="P1360" s="1"/>
      <c r="Q1360" s="1">
        <v>-73262.206046322201</v>
      </c>
      <c r="R1360" s="1">
        <v>124834</v>
      </c>
      <c r="S1360" t="s">
        <v>11</v>
      </c>
    </row>
    <row r="1361" spans="1:19" x14ac:dyDescent="0.55000000000000004">
      <c r="A1361" t="s">
        <v>31</v>
      </c>
      <c r="B1361">
        <v>2021</v>
      </c>
      <c r="C1361">
        <v>14144</v>
      </c>
      <c r="D1361" s="2">
        <v>321</v>
      </c>
      <c r="E1361" s="3">
        <v>14465</v>
      </c>
      <c r="F1361" t="s">
        <v>12</v>
      </c>
      <c r="G1361" t="s">
        <v>12</v>
      </c>
      <c r="H1361" s="1">
        <v>2595.3698749059899</v>
      </c>
      <c r="I1361" s="1">
        <v>142.27297901039</v>
      </c>
      <c r="J1361" s="1">
        <v>134.503258639135</v>
      </c>
      <c r="K1361" s="1"/>
      <c r="L1361" s="1">
        <v>3909.3697167432902</v>
      </c>
      <c r="M1361" s="1">
        <v>1492.95447130357</v>
      </c>
      <c r="N1361" s="1"/>
      <c r="O1361" s="1">
        <v>76.037372089574404</v>
      </c>
      <c r="P1361" s="1">
        <v>26.219783479163599</v>
      </c>
      <c r="Q1361" s="1">
        <v>3026.0947294940102</v>
      </c>
      <c r="R1361" s="1">
        <v>22842</v>
      </c>
      <c r="S1361" t="s">
        <v>11</v>
      </c>
    </row>
    <row r="1362" spans="1:19" x14ac:dyDescent="0.55000000000000004">
      <c r="A1362" t="s">
        <v>31</v>
      </c>
      <c r="B1362">
        <v>2020</v>
      </c>
      <c r="C1362">
        <v>1410</v>
      </c>
      <c r="D1362" s="2">
        <v>33</v>
      </c>
      <c r="E1362" s="3">
        <v>1443</v>
      </c>
      <c r="F1362" t="s">
        <v>12</v>
      </c>
      <c r="G1362" t="s">
        <v>12</v>
      </c>
      <c r="H1362" s="1">
        <v>35.784947219189696</v>
      </c>
      <c r="I1362" s="1">
        <v>17.674357982085802</v>
      </c>
      <c r="J1362" s="1">
        <v>2.8424532032549599</v>
      </c>
      <c r="K1362" s="1"/>
      <c r="L1362" s="1">
        <v>383.43083003952597</v>
      </c>
      <c r="M1362" s="1">
        <v>123.166007905138</v>
      </c>
      <c r="N1362" s="1"/>
      <c r="O1362" s="1">
        <v>4.4584980237154204</v>
      </c>
      <c r="P1362" s="1"/>
      <c r="Q1362" s="1">
        <v>1212.1185323336599</v>
      </c>
      <c r="R1362" s="1">
        <v>2010</v>
      </c>
      <c r="S1362" t="s">
        <v>11</v>
      </c>
    </row>
    <row r="1363" spans="1:19" x14ac:dyDescent="0.55000000000000004">
      <c r="A1363" t="s">
        <v>31</v>
      </c>
      <c r="B1363">
        <v>2019</v>
      </c>
      <c r="C1363">
        <v>1719</v>
      </c>
      <c r="D1363" s="2">
        <v>0</v>
      </c>
      <c r="E1363" s="3">
        <v>1719</v>
      </c>
      <c r="F1363" t="s">
        <v>12</v>
      </c>
      <c r="G1363" t="s">
        <v>12</v>
      </c>
      <c r="H1363" s="1">
        <v>209.9924336995</v>
      </c>
      <c r="I1363" s="1">
        <v>92.623144292684998</v>
      </c>
      <c r="J1363" s="1">
        <v>12.654119961850499</v>
      </c>
      <c r="K1363" s="1"/>
      <c r="L1363" s="1">
        <v>884.05714285714305</v>
      </c>
      <c r="M1363" s="1">
        <v>343.8</v>
      </c>
      <c r="N1363" s="1"/>
      <c r="O1363" s="1"/>
      <c r="P1363" s="1"/>
      <c r="Q1363" s="1">
        <v>-2547.5419484845302</v>
      </c>
      <c r="R1363" s="1">
        <v>3262</v>
      </c>
      <c r="S1363" t="s">
        <v>11</v>
      </c>
    </row>
    <row r="1364" spans="1:19" x14ac:dyDescent="0.55000000000000004">
      <c r="A1364" t="s">
        <v>31</v>
      </c>
      <c r="B1364">
        <v>2018</v>
      </c>
      <c r="C1364">
        <v>82192</v>
      </c>
      <c r="D1364" s="2">
        <v>0</v>
      </c>
      <c r="E1364" s="3">
        <v>82192</v>
      </c>
      <c r="F1364" t="s">
        <v>12</v>
      </c>
      <c r="G1364" t="s">
        <v>12</v>
      </c>
      <c r="H1364" s="1">
        <v>3808.6017332070201</v>
      </c>
      <c r="I1364" s="1">
        <v>206652.666502437</v>
      </c>
      <c r="J1364" s="1">
        <v>26729.853951012901</v>
      </c>
      <c r="K1364" s="1"/>
      <c r="L1364" s="1">
        <v>44662.553644041298</v>
      </c>
      <c r="M1364" s="1">
        <v>752.74248179096503</v>
      </c>
      <c r="N1364" s="1">
        <v>1294.30305196836</v>
      </c>
      <c r="O1364" s="1"/>
      <c r="P1364" s="1"/>
      <c r="Q1364" s="1">
        <v>-145200.81037442599</v>
      </c>
      <c r="R1364" s="1">
        <v>366093</v>
      </c>
      <c r="S1364" t="s">
        <v>11</v>
      </c>
    </row>
    <row r="1365" spans="1:19" x14ac:dyDescent="0.55000000000000004">
      <c r="A1365" t="s">
        <v>31</v>
      </c>
      <c r="B1365">
        <v>2017</v>
      </c>
      <c r="C1365">
        <v>4975</v>
      </c>
      <c r="D1365" s="2">
        <v>679</v>
      </c>
      <c r="E1365" s="3">
        <v>5654</v>
      </c>
      <c r="F1365" t="s">
        <v>12</v>
      </c>
      <c r="G1365" t="s">
        <v>12</v>
      </c>
      <c r="H1365" s="1">
        <v>47.682017480058001</v>
      </c>
      <c r="I1365" s="1">
        <v>165.987988365126</v>
      </c>
      <c r="J1365" s="1">
        <v>187.35400041204801</v>
      </c>
      <c r="K1365" s="1"/>
      <c r="L1365" s="1">
        <v>1353.6004675271899</v>
      </c>
      <c r="M1365" s="1">
        <v>439.90751092590699</v>
      </c>
      <c r="N1365" s="1">
        <v>33.3722939323102</v>
      </c>
      <c r="O1365" s="1">
        <v>364.06138835247498</v>
      </c>
      <c r="P1365" s="1">
        <v>218.43683301148499</v>
      </c>
      <c r="Q1365" s="1">
        <v>-909.74516227640902</v>
      </c>
      <c r="R1365" s="1">
        <v>8464</v>
      </c>
      <c r="S1365" t="s">
        <v>11</v>
      </c>
    </row>
    <row r="1366" spans="1:19" x14ac:dyDescent="0.55000000000000004">
      <c r="A1366" t="s">
        <v>31</v>
      </c>
      <c r="B1366">
        <v>2016</v>
      </c>
      <c r="C1366">
        <v>961</v>
      </c>
      <c r="D1366" s="2">
        <v>29</v>
      </c>
      <c r="E1366" s="3">
        <v>990</v>
      </c>
      <c r="F1366" t="s">
        <v>12</v>
      </c>
      <c r="G1366" t="s">
        <v>12</v>
      </c>
      <c r="H1366" s="1">
        <v>126.88532248910001</v>
      </c>
      <c r="I1366" s="1">
        <v>415.935335686256</v>
      </c>
      <c r="J1366" s="1">
        <v>355.46126802575299</v>
      </c>
      <c r="K1366" s="1"/>
      <c r="L1366" s="1">
        <v>270.76824324324298</v>
      </c>
      <c r="M1366" s="1">
        <v>122.07297297297301</v>
      </c>
      <c r="N1366" s="1">
        <v>-126.618243243243</v>
      </c>
      <c r="O1366" s="1">
        <v>5.1945945945945899</v>
      </c>
      <c r="P1366" s="1"/>
      <c r="Q1366" s="1">
        <v>-823.13640953133802</v>
      </c>
      <c r="R1366" s="1">
        <v>2160</v>
      </c>
      <c r="S1366" t="s">
        <v>11</v>
      </c>
    </row>
    <row r="1367" spans="1:19" x14ac:dyDescent="0.55000000000000004">
      <c r="A1367" t="s">
        <v>31</v>
      </c>
      <c r="B1367">
        <v>2015</v>
      </c>
      <c r="C1367">
        <v>6614</v>
      </c>
      <c r="D1367" s="2">
        <v>0</v>
      </c>
      <c r="E1367" s="3">
        <v>6614</v>
      </c>
      <c r="F1367" t="s">
        <v>12</v>
      </c>
      <c r="G1367" t="s">
        <v>12</v>
      </c>
      <c r="H1367" s="1">
        <v>4765.4339164413996</v>
      </c>
      <c r="I1367" s="1">
        <v>3066.5201849086702</v>
      </c>
      <c r="J1367" s="1">
        <v>1491.9768543641401</v>
      </c>
      <c r="K1367" s="1"/>
      <c r="L1367" s="1">
        <v>5399.6640100826598</v>
      </c>
      <c r="M1367" s="1">
        <v>1485.49601512399</v>
      </c>
      <c r="N1367" s="1">
        <v>36.775771953886597</v>
      </c>
      <c r="O1367" s="1"/>
      <c r="P1367" s="1"/>
      <c r="Q1367" s="1">
        <v>-18140.581533619999</v>
      </c>
      <c r="R1367" s="1">
        <v>22860</v>
      </c>
      <c r="S1367" t="s">
        <v>11</v>
      </c>
    </row>
    <row r="1368" spans="1:19" x14ac:dyDescent="0.55000000000000004">
      <c r="A1368" t="s">
        <v>31</v>
      </c>
      <c r="B1368">
        <v>2014</v>
      </c>
      <c r="C1368">
        <v>135100</v>
      </c>
      <c r="D1368" s="2">
        <v>34</v>
      </c>
      <c r="E1368" s="3">
        <v>135134</v>
      </c>
      <c r="F1368" t="s">
        <v>12</v>
      </c>
      <c r="G1368" t="s">
        <v>12</v>
      </c>
      <c r="H1368" s="1">
        <v>8579.1374918745405</v>
      </c>
      <c r="I1368" s="1">
        <v>170487.42894498201</v>
      </c>
      <c r="J1368" s="1">
        <v>42444.193624610802</v>
      </c>
      <c r="K1368" s="1"/>
      <c r="L1368" s="1">
        <v>57899.961058797198</v>
      </c>
      <c r="M1368" s="1"/>
      <c r="N1368" s="1"/>
      <c r="O1368" s="1">
        <v>13.0842441472179</v>
      </c>
      <c r="P1368" s="1"/>
      <c r="Q1368" s="1">
        <v>-73359.404321055001</v>
      </c>
      <c r="R1368" s="1">
        <v>414558</v>
      </c>
      <c r="S1368" t="s">
        <v>11</v>
      </c>
    </row>
    <row r="1369" spans="1:19" x14ac:dyDescent="0.55000000000000004">
      <c r="A1369" t="s">
        <v>31</v>
      </c>
      <c r="B1369">
        <v>2013</v>
      </c>
      <c r="C1369">
        <v>23867</v>
      </c>
      <c r="D1369" s="2">
        <v>841</v>
      </c>
      <c r="E1369" s="3">
        <v>24708</v>
      </c>
      <c r="F1369" t="s">
        <v>12</v>
      </c>
      <c r="G1369" t="s">
        <v>12</v>
      </c>
      <c r="H1369" s="1">
        <v>291.02718272529103</v>
      </c>
      <c r="I1369" s="1">
        <v>5451.1557176554597</v>
      </c>
      <c r="J1369" s="1">
        <v>4851.3463159217999</v>
      </c>
      <c r="K1369" s="1"/>
      <c r="L1369" s="1">
        <v>12851.4939454918</v>
      </c>
      <c r="M1369" s="1"/>
      <c r="N1369" s="1"/>
      <c r="O1369" s="1">
        <v>574.64146014262496</v>
      </c>
      <c r="P1369" s="1"/>
      <c r="Q1369" s="1">
        <v>-26912.0393902383</v>
      </c>
      <c r="R1369" s="1">
        <v>48728</v>
      </c>
      <c r="S1369" t="s">
        <v>11</v>
      </c>
    </row>
    <row r="1370" spans="1:19" x14ac:dyDescent="0.55000000000000004">
      <c r="A1370" t="s">
        <v>31</v>
      </c>
      <c r="B1370">
        <v>2012</v>
      </c>
      <c r="C1370">
        <v>2005</v>
      </c>
      <c r="D1370" s="2">
        <v>2</v>
      </c>
      <c r="E1370" s="3">
        <v>2007</v>
      </c>
      <c r="F1370" t="s">
        <v>12</v>
      </c>
      <c r="G1370" t="s">
        <v>12</v>
      </c>
      <c r="H1370" s="1">
        <v>0</v>
      </c>
      <c r="I1370" s="1">
        <v>307.29330658841798</v>
      </c>
      <c r="J1370" s="1">
        <v>657.53846137161599</v>
      </c>
      <c r="K1370" s="1">
        <v>1540.090625</v>
      </c>
      <c r="L1370" s="1">
        <v>360.2734375</v>
      </c>
      <c r="M1370" s="1">
        <v>35.087499999999999</v>
      </c>
      <c r="N1370" s="1"/>
      <c r="O1370" s="1">
        <v>0.62656250000000002</v>
      </c>
      <c r="P1370" s="1"/>
      <c r="Q1370" s="1">
        <v>-128.01536398205101</v>
      </c>
      <c r="R1370" s="1">
        <v>4908</v>
      </c>
      <c r="S1370" t="s">
        <v>11</v>
      </c>
    </row>
    <row r="1371" spans="1:19" x14ac:dyDescent="0.55000000000000004">
      <c r="A1371" t="s">
        <v>31</v>
      </c>
      <c r="B1371">
        <v>2011</v>
      </c>
      <c r="C1371">
        <v>33807</v>
      </c>
      <c r="D1371" s="2">
        <v>0</v>
      </c>
      <c r="E1371" s="3">
        <v>33807</v>
      </c>
      <c r="F1371" t="s">
        <v>12</v>
      </c>
      <c r="G1371" t="s">
        <v>12</v>
      </c>
      <c r="H1371" s="1">
        <v>104.665212479888</v>
      </c>
      <c r="I1371" s="1">
        <v>20953.766078726101</v>
      </c>
      <c r="J1371" s="1">
        <v>20012.3213380983</v>
      </c>
      <c r="K1371" s="1"/>
      <c r="L1371" s="1">
        <v>3917.4610751117998</v>
      </c>
      <c r="M1371" s="1">
        <v>1448.0927261111599</v>
      </c>
      <c r="N1371" s="1">
        <v>797.58232180341304</v>
      </c>
      <c r="O1371" s="1"/>
      <c r="P1371" s="1"/>
      <c r="Q1371" s="1">
        <v>-37517.0953863584</v>
      </c>
      <c r="R1371" s="1">
        <v>81041</v>
      </c>
      <c r="S1371" t="s">
        <v>11</v>
      </c>
    </row>
    <row r="1372" spans="1:19" x14ac:dyDescent="0.55000000000000004">
      <c r="A1372" t="s">
        <v>31</v>
      </c>
      <c r="B1372">
        <v>2010</v>
      </c>
      <c r="C1372">
        <v>522367</v>
      </c>
      <c r="D1372" s="2">
        <v>0</v>
      </c>
      <c r="E1372" s="3">
        <v>522367</v>
      </c>
      <c r="F1372" t="s">
        <v>12</v>
      </c>
      <c r="G1372" t="s">
        <v>12</v>
      </c>
      <c r="H1372" s="1">
        <v>0</v>
      </c>
      <c r="I1372" s="1">
        <v>422509.21148591198</v>
      </c>
      <c r="J1372" s="1"/>
      <c r="K1372" s="1"/>
      <c r="L1372" s="1">
        <v>58040.9411447639</v>
      </c>
      <c r="M1372" s="1"/>
      <c r="N1372" s="1"/>
      <c r="O1372" s="1"/>
      <c r="P1372" s="1"/>
      <c r="Q1372" s="1">
        <v>-989443.91754433804</v>
      </c>
      <c r="R1372" s="1">
        <v>1002917</v>
      </c>
      <c r="S1372" t="s">
        <v>11</v>
      </c>
    </row>
    <row r="1373" spans="1:19" x14ac:dyDescent="0.55000000000000004">
      <c r="A1373" t="s">
        <v>31</v>
      </c>
      <c r="B1373">
        <v>2009</v>
      </c>
      <c r="C1373">
        <v>4672</v>
      </c>
      <c r="D1373" s="2">
        <v>1098</v>
      </c>
      <c r="E1373" s="3">
        <v>5770</v>
      </c>
      <c r="F1373" t="s">
        <v>12</v>
      </c>
      <c r="G1373" t="s">
        <v>12</v>
      </c>
      <c r="H1373" s="1">
        <v>0.44730399999999998</v>
      </c>
      <c r="I1373" s="1">
        <v>289.79273819442398</v>
      </c>
      <c r="J1373" s="1">
        <v>218.89586194387499</v>
      </c>
      <c r="K1373" s="1"/>
      <c r="L1373" s="1">
        <v>1261.16042298549</v>
      </c>
      <c r="M1373" s="1">
        <v>372.25870973030601</v>
      </c>
      <c r="N1373" s="1">
        <v>166.597262070662</v>
      </c>
      <c r="O1373" s="1">
        <v>178.469710632019</v>
      </c>
      <c r="P1373" s="1">
        <v>34.468399049102402</v>
      </c>
      <c r="Q1373" s="1">
        <v>-727.082741495758</v>
      </c>
      <c r="R1373" s="1">
        <v>8292</v>
      </c>
      <c r="S1373" t="s">
        <v>11</v>
      </c>
    </row>
    <row r="1374" spans="1:19" x14ac:dyDescent="0.55000000000000004">
      <c r="A1374" t="s">
        <v>31</v>
      </c>
      <c r="B1374">
        <v>2008</v>
      </c>
      <c r="C1374">
        <v>654</v>
      </c>
      <c r="D1374" s="2">
        <v>0</v>
      </c>
      <c r="E1374" s="3">
        <v>654</v>
      </c>
      <c r="F1374" t="s">
        <v>12</v>
      </c>
      <c r="G1374" t="s">
        <v>12</v>
      </c>
      <c r="H1374" s="1">
        <v>7.3170747207655998E-2</v>
      </c>
      <c r="I1374" s="1">
        <v>783.85597534630494</v>
      </c>
      <c r="J1374" s="1">
        <v>1094.07178268743</v>
      </c>
      <c r="K1374" s="1"/>
      <c r="L1374" s="1"/>
      <c r="M1374" s="1"/>
      <c r="N1374" s="1"/>
      <c r="O1374" s="1"/>
      <c r="P1374" s="1"/>
      <c r="Q1374" s="1">
        <v>-3308.0421559665201</v>
      </c>
      <c r="R1374" s="1">
        <v>5840</v>
      </c>
      <c r="S1374" t="s">
        <v>9</v>
      </c>
    </row>
    <row r="1375" spans="1:19" x14ac:dyDescent="0.55000000000000004">
      <c r="A1375" t="s">
        <v>31</v>
      </c>
      <c r="B1375">
        <v>2007</v>
      </c>
      <c r="C1375">
        <v>8272</v>
      </c>
      <c r="D1375" s="2">
        <v>2</v>
      </c>
      <c r="E1375" s="3">
        <v>8274</v>
      </c>
      <c r="F1375" t="s">
        <v>12</v>
      </c>
      <c r="G1375" t="s">
        <v>12</v>
      </c>
      <c r="H1375" s="1">
        <v>3707.7533539767001</v>
      </c>
      <c r="I1375" s="1">
        <v>761.68701127567999</v>
      </c>
      <c r="J1375" s="1">
        <v>933.97645171441002</v>
      </c>
      <c r="K1375" s="1"/>
      <c r="L1375" s="1"/>
      <c r="M1375" s="1"/>
      <c r="N1375" s="1"/>
      <c r="O1375" s="1"/>
      <c r="P1375" s="1"/>
      <c r="Q1375" s="1">
        <v>-3517.8893172395901</v>
      </c>
      <c r="R1375" s="1">
        <v>17195</v>
      </c>
      <c r="S1375" t="s">
        <v>9</v>
      </c>
    </row>
    <row r="1376" spans="1:19" x14ac:dyDescent="0.55000000000000004">
      <c r="A1376" t="s">
        <v>31</v>
      </c>
      <c r="B1376">
        <v>2006</v>
      </c>
      <c r="C1376">
        <v>144199</v>
      </c>
      <c r="D1376" s="2">
        <v>0</v>
      </c>
      <c r="E1376" s="3">
        <v>144199</v>
      </c>
      <c r="F1376" t="s">
        <v>12</v>
      </c>
      <c r="G1376" t="s">
        <v>12</v>
      </c>
      <c r="H1376" s="1">
        <v>4072.7382484776699</v>
      </c>
      <c r="I1376" s="1">
        <v>337821.27200212202</v>
      </c>
      <c r="J1376" s="1">
        <v>76178.394630703595</v>
      </c>
      <c r="K1376" s="1"/>
      <c r="L1376" s="1"/>
      <c r="M1376" s="1"/>
      <c r="N1376" s="1"/>
      <c r="O1376" s="1"/>
      <c r="P1376" s="1"/>
      <c r="Q1376" s="1">
        <v>-376977.112004583</v>
      </c>
      <c r="R1376" s="1">
        <v>939249</v>
      </c>
      <c r="S1376" t="s">
        <v>9</v>
      </c>
    </row>
    <row r="1377" spans="1:19" x14ac:dyDescent="0.55000000000000004">
      <c r="A1377" t="s">
        <v>31</v>
      </c>
      <c r="B1377">
        <v>2005</v>
      </c>
      <c r="C1377">
        <v>4163</v>
      </c>
      <c r="D1377" s="2">
        <v>1008</v>
      </c>
      <c r="E1377" s="3">
        <v>5171</v>
      </c>
      <c r="F1377" t="s">
        <v>12</v>
      </c>
      <c r="G1377" t="s">
        <v>12</v>
      </c>
      <c r="H1377" s="1">
        <v>56.550998456499997</v>
      </c>
      <c r="I1377" s="1">
        <v>1855.9971457291899</v>
      </c>
      <c r="J1377" s="1">
        <v>3371.5161059464399</v>
      </c>
      <c r="K1377" s="1"/>
      <c r="L1377" s="1"/>
      <c r="M1377" s="1"/>
      <c r="N1377" s="1"/>
      <c r="O1377" s="1"/>
      <c r="P1377" s="1"/>
      <c r="Q1377" s="1">
        <v>-12139.708484245</v>
      </c>
      <c r="R1377" s="1">
        <v>22595</v>
      </c>
      <c r="S1377" t="s">
        <v>9</v>
      </c>
    </row>
    <row r="1378" spans="1:19" x14ac:dyDescent="0.55000000000000004">
      <c r="A1378" t="s">
        <v>31</v>
      </c>
      <c r="B1378">
        <v>2004</v>
      </c>
      <c r="C1378">
        <v>783</v>
      </c>
      <c r="D1378" s="2">
        <v>0</v>
      </c>
      <c r="E1378" s="3">
        <v>783</v>
      </c>
      <c r="F1378" t="s">
        <v>12</v>
      </c>
      <c r="G1378" t="s">
        <v>12</v>
      </c>
      <c r="H1378" s="1">
        <v>30.116020148099501</v>
      </c>
      <c r="I1378" s="1">
        <v>7986.2747479053296</v>
      </c>
      <c r="J1378" s="1">
        <v>1099.35619889194</v>
      </c>
      <c r="K1378" s="1"/>
      <c r="L1378" s="1"/>
      <c r="M1378" s="1"/>
      <c r="N1378" s="1"/>
      <c r="O1378" s="1"/>
      <c r="P1378" s="1"/>
      <c r="Q1378" s="1">
        <v>-3347.1599635785201</v>
      </c>
      <c r="R1378" s="1">
        <v>13246</v>
      </c>
      <c r="S1378" t="s">
        <v>9</v>
      </c>
    </row>
    <row r="1379" spans="1:19" x14ac:dyDescent="0.55000000000000004">
      <c r="A1379" t="s">
        <v>31</v>
      </c>
      <c r="B1379">
        <v>2003</v>
      </c>
      <c r="C1379">
        <v>5089</v>
      </c>
      <c r="D1379" s="2">
        <v>2</v>
      </c>
      <c r="E1379" s="3">
        <v>5091</v>
      </c>
      <c r="F1379" t="s">
        <v>12</v>
      </c>
      <c r="G1379" t="s">
        <v>12</v>
      </c>
      <c r="H1379" s="1">
        <v>467.73048592088099</v>
      </c>
      <c r="I1379" s="1">
        <v>20898.438987074798</v>
      </c>
      <c r="J1379" s="1">
        <v>2096.0449433908602</v>
      </c>
      <c r="K1379" s="1"/>
      <c r="L1379" s="1"/>
      <c r="M1379" s="1"/>
      <c r="N1379" s="1"/>
      <c r="O1379" s="1"/>
      <c r="P1379" s="1"/>
      <c r="Q1379" s="1">
        <v>-3604.1288411618302</v>
      </c>
      <c r="R1379" s="1">
        <v>32157</v>
      </c>
      <c r="S1379" t="s">
        <v>9</v>
      </c>
    </row>
    <row r="1380" spans="1:19" x14ac:dyDescent="0.55000000000000004">
      <c r="A1380" t="s">
        <v>31</v>
      </c>
      <c r="B1380">
        <v>2002</v>
      </c>
      <c r="C1380">
        <v>101269</v>
      </c>
      <c r="D1380" s="2">
        <v>0</v>
      </c>
      <c r="E1380" s="3">
        <v>101269</v>
      </c>
      <c r="F1380" t="s">
        <v>12</v>
      </c>
      <c r="G1380" t="s">
        <v>12</v>
      </c>
      <c r="H1380" s="1">
        <v>9.2174607092480603</v>
      </c>
      <c r="I1380" s="1">
        <v>51735.7239153993</v>
      </c>
      <c r="J1380" s="1">
        <v>14787.708800513199</v>
      </c>
      <c r="K1380" s="1"/>
      <c r="L1380" s="1"/>
      <c r="M1380" s="1"/>
      <c r="N1380" s="1"/>
      <c r="O1380" s="1"/>
      <c r="P1380" s="1"/>
      <c r="Q1380" s="1">
        <v>-19447.607887104299</v>
      </c>
      <c r="R1380" s="1">
        <v>187249</v>
      </c>
      <c r="S1380" t="s">
        <v>9</v>
      </c>
    </row>
    <row r="1381" spans="1:19" x14ac:dyDescent="0.55000000000000004">
      <c r="A1381" t="s">
        <v>31</v>
      </c>
      <c r="B1381">
        <v>2001</v>
      </c>
      <c r="C1381">
        <v>2449</v>
      </c>
      <c r="D1381" s="2">
        <v>148</v>
      </c>
      <c r="E1381" s="3">
        <v>2597</v>
      </c>
      <c r="F1381" t="s">
        <v>12</v>
      </c>
      <c r="G1381" t="s">
        <v>12</v>
      </c>
      <c r="H1381" s="1">
        <v>9.3557795839091291</v>
      </c>
      <c r="I1381" s="1">
        <v>622.68435093772996</v>
      </c>
      <c r="J1381" s="1">
        <v>478.28679679611201</v>
      </c>
      <c r="K1381" s="1"/>
      <c r="L1381" s="1"/>
      <c r="M1381" s="1"/>
      <c r="N1381" s="1"/>
      <c r="O1381" s="1"/>
      <c r="P1381" s="1"/>
      <c r="Q1381" s="1">
        <v>-4744.4971796053696</v>
      </c>
      <c r="R1381" s="1">
        <v>8452</v>
      </c>
      <c r="S1381" t="s">
        <v>9</v>
      </c>
    </row>
    <row r="1382" spans="1:19" x14ac:dyDescent="0.55000000000000004">
      <c r="A1382" t="s">
        <v>31</v>
      </c>
      <c r="B1382">
        <v>2000</v>
      </c>
      <c r="C1382">
        <v>3765</v>
      </c>
      <c r="D1382" s="2">
        <v>4</v>
      </c>
      <c r="E1382" s="3">
        <v>3769</v>
      </c>
      <c r="F1382" t="s">
        <v>12</v>
      </c>
      <c r="G1382" t="s">
        <v>12</v>
      </c>
      <c r="H1382" s="1">
        <v>2.90776872319393</v>
      </c>
      <c r="I1382" s="1">
        <v>1475.36451244911</v>
      </c>
      <c r="J1382" s="1">
        <v>656.85204209799804</v>
      </c>
      <c r="K1382" s="1"/>
      <c r="L1382" s="1"/>
      <c r="M1382" s="1"/>
      <c r="N1382" s="1"/>
      <c r="O1382" s="1"/>
      <c r="P1382" s="1"/>
      <c r="Q1382" s="1">
        <v>1358.5124117143901</v>
      </c>
      <c r="R1382" s="1">
        <v>5904</v>
      </c>
      <c r="S1382" t="s">
        <v>9</v>
      </c>
    </row>
    <row r="1383" spans="1:19" x14ac:dyDescent="0.55000000000000004">
      <c r="A1383" t="s">
        <v>31</v>
      </c>
      <c r="B1383">
        <v>1999</v>
      </c>
      <c r="C1383">
        <v>4093</v>
      </c>
      <c r="D1383" s="2">
        <v>0</v>
      </c>
      <c r="E1383" s="3">
        <v>4093</v>
      </c>
      <c r="F1383" t="s">
        <v>12</v>
      </c>
      <c r="G1383" t="s">
        <v>12</v>
      </c>
      <c r="H1383" s="1">
        <v>0.21557043708611801</v>
      </c>
      <c r="I1383" s="1">
        <v>1282.9011245688901</v>
      </c>
      <c r="J1383" s="1">
        <v>2769.3968561008301</v>
      </c>
      <c r="K1383" s="1"/>
      <c r="L1383" s="1"/>
      <c r="M1383" s="1"/>
      <c r="N1383" s="1"/>
      <c r="O1383" s="1"/>
      <c r="P1383" s="1"/>
      <c r="Q1383" s="1">
        <v>-8579.7568812680001</v>
      </c>
      <c r="R1383" s="1">
        <v>16725</v>
      </c>
      <c r="S1383" t="s">
        <v>9</v>
      </c>
    </row>
    <row r="1384" spans="1:19" x14ac:dyDescent="0.55000000000000004">
      <c r="A1384" t="s">
        <v>31</v>
      </c>
      <c r="B1384">
        <v>1998</v>
      </c>
      <c r="C1384">
        <v>35981</v>
      </c>
      <c r="D1384" s="2">
        <v>12</v>
      </c>
      <c r="E1384" s="3">
        <v>35993</v>
      </c>
      <c r="F1384" t="s">
        <v>12</v>
      </c>
      <c r="G1384" t="s">
        <v>12</v>
      </c>
      <c r="H1384" s="1">
        <v>154.47370472603299</v>
      </c>
      <c r="I1384" s="1">
        <v>43789.934176218601</v>
      </c>
      <c r="J1384" s="1">
        <v>10184.132036782899</v>
      </c>
      <c r="K1384" s="1"/>
      <c r="L1384" s="1"/>
      <c r="M1384" s="1"/>
      <c r="N1384" s="1"/>
      <c r="O1384" s="1"/>
      <c r="P1384" s="1"/>
      <c r="Q1384" s="1">
        <v>-57310.895971162099</v>
      </c>
      <c r="R1384" s="1">
        <v>147432</v>
      </c>
      <c r="S1384" t="s">
        <v>9</v>
      </c>
    </row>
    <row r="1385" spans="1:19" x14ac:dyDescent="0.55000000000000004">
      <c r="A1385" t="s">
        <v>31</v>
      </c>
      <c r="B1385">
        <v>1997</v>
      </c>
      <c r="C1385">
        <v>3085</v>
      </c>
      <c r="D1385" s="2">
        <v>10</v>
      </c>
      <c r="E1385" s="3">
        <v>3095</v>
      </c>
      <c r="F1385" t="s">
        <v>12</v>
      </c>
      <c r="G1385" t="s">
        <v>12</v>
      </c>
      <c r="H1385" s="1">
        <v>265.85643118414703</v>
      </c>
      <c r="I1385" s="1">
        <v>4796.8246897935196</v>
      </c>
      <c r="J1385" s="1">
        <v>358.29686433938798</v>
      </c>
      <c r="K1385" s="1"/>
      <c r="L1385" s="1"/>
      <c r="M1385" s="1"/>
      <c r="N1385" s="1"/>
      <c r="O1385" s="1"/>
      <c r="P1385" s="1"/>
      <c r="Q1385" s="1">
        <v>-2804.5455766193099</v>
      </c>
      <c r="R1385" s="1">
        <v>11321</v>
      </c>
      <c r="S1385" t="s">
        <v>9</v>
      </c>
    </row>
    <row r="1386" spans="1:19" x14ac:dyDescent="0.55000000000000004">
      <c r="A1386" t="s">
        <v>31</v>
      </c>
      <c r="B1386">
        <v>1996</v>
      </c>
      <c r="C1386">
        <v>4609</v>
      </c>
      <c r="D1386" s="2">
        <v>56</v>
      </c>
      <c r="E1386" s="3">
        <v>4665</v>
      </c>
      <c r="F1386" t="s">
        <v>12</v>
      </c>
      <c r="G1386" t="s">
        <v>12</v>
      </c>
      <c r="H1386" s="1">
        <v>0.15033066420742999</v>
      </c>
      <c r="I1386" s="1">
        <v>466.82815125940601</v>
      </c>
      <c r="J1386" s="1">
        <v>476.95535736501103</v>
      </c>
      <c r="K1386" s="1"/>
      <c r="L1386" s="1"/>
      <c r="M1386" s="1"/>
      <c r="N1386" s="1"/>
      <c r="O1386" s="1"/>
      <c r="P1386" s="1"/>
      <c r="Q1386" s="1">
        <v>2872.9916618553498</v>
      </c>
      <c r="R1386" s="1">
        <v>5609</v>
      </c>
      <c r="S1386" t="s">
        <v>9</v>
      </c>
    </row>
    <row r="1387" spans="1:19" x14ac:dyDescent="0.55000000000000004">
      <c r="A1387" t="s">
        <v>31</v>
      </c>
      <c r="B1387">
        <v>1995</v>
      </c>
      <c r="C1387">
        <v>14772</v>
      </c>
      <c r="D1387" s="2">
        <v>1</v>
      </c>
      <c r="E1387" s="3">
        <v>14773</v>
      </c>
      <c r="F1387" t="s">
        <v>12</v>
      </c>
      <c r="G1387" t="s">
        <v>12</v>
      </c>
      <c r="H1387" s="1">
        <v>1.4481160020944201E-11</v>
      </c>
      <c r="I1387" s="1">
        <v>6237.0226641819399</v>
      </c>
      <c r="J1387" s="1">
        <v>5906.7061453345596</v>
      </c>
      <c r="K1387" s="1"/>
      <c r="L1387" s="1"/>
      <c r="M1387" s="1"/>
      <c r="N1387" s="1"/>
      <c r="O1387" s="1"/>
      <c r="P1387" s="1"/>
      <c r="Q1387" s="1">
        <v>6525.3607622755299</v>
      </c>
      <c r="R1387" s="1">
        <v>26917</v>
      </c>
      <c r="S1387" t="s">
        <v>9</v>
      </c>
    </row>
    <row r="1388" spans="1:19" x14ac:dyDescent="0.55000000000000004">
      <c r="A1388" t="s">
        <v>31</v>
      </c>
      <c r="B1388">
        <v>1994</v>
      </c>
      <c r="C1388">
        <v>73180</v>
      </c>
      <c r="D1388" s="2">
        <v>3</v>
      </c>
      <c r="E1388" s="3">
        <v>73183</v>
      </c>
      <c r="F1388" t="s">
        <v>12</v>
      </c>
      <c r="G1388" t="s">
        <v>12</v>
      </c>
      <c r="H1388" s="1">
        <v>321.53109886150702</v>
      </c>
      <c r="I1388" s="1">
        <v>157404.062067483</v>
      </c>
      <c r="J1388" s="1">
        <v>21525.4227424975</v>
      </c>
      <c r="K1388" s="1"/>
      <c r="L1388" s="1"/>
      <c r="M1388" s="1"/>
      <c r="N1388" s="1"/>
      <c r="O1388" s="1"/>
      <c r="P1388" s="1"/>
      <c r="Q1388" s="1">
        <v>-36779.153246187998</v>
      </c>
      <c r="R1388" s="1">
        <v>289213</v>
      </c>
      <c r="S1388" t="s">
        <v>9</v>
      </c>
    </row>
    <row r="1389" spans="1:19" x14ac:dyDescent="0.55000000000000004">
      <c r="A1389" t="s">
        <v>31</v>
      </c>
      <c r="B1389">
        <v>1993</v>
      </c>
      <c r="C1389">
        <v>8359</v>
      </c>
      <c r="D1389" s="2">
        <v>169</v>
      </c>
      <c r="E1389" s="3">
        <v>8528</v>
      </c>
      <c r="F1389" t="s">
        <v>12</v>
      </c>
      <c r="G1389" t="s">
        <v>12</v>
      </c>
      <c r="H1389" s="1">
        <v>52.896847734508697</v>
      </c>
      <c r="I1389" s="1">
        <v>7458.5354455750503</v>
      </c>
      <c r="J1389" s="1">
        <v>648.17385041023397</v>
      </c>
      <c r="K1389" s="1"/>
      <c r="L1389" s="1"/>
      <c r="M1389" s="1"/>
      <c r="N1389" s="1"/>
      <c r="O1389" s="1"/>
      <c r="P1389" s="1"/>
      <c r="Q1389" s="1">
        <v>-1596.9355438843399</v>
      </c>
      <c r="R1389" s="1">
        <v>18285</v>
      </c>
      <c r="S1389" t="s">
        <v>9</v>
      </c>
    </row>
    <row r="1390" spans="1:19" x14ac:dyDescent="0.55000000000000004">
      <c r="A1390" t="s">
        <v>31</v>
      </c>
      <c r="B1390">
        <v>1992</v>
      </c>
      <c r="C1390">
        <v>2156</v>
      </c>
      <c r="D1390" s="2">
        <v>125</v>
      </c>
      <c r="E1390" s="3">
        <v>2281</v>
      </c>
      <c r="F1390" t="s">
        <v>12</v>
      </c>
      <c r="G1390" t="s">
        <v>12</v>
      </c>
      <c r="H1390" s="1">
        <v>34.425008145018701</v>
      </c>
      <c r="I1390" s="1">
        <v>9166.8153908979402</v>
      </c>
      <c r="J1390" s="1">
        <v>5329.0734198400896</v>
      </c>
      <c r="K1390" s="1"/>
      <c r="L1390" s="1"/>
      <c r="M1390" s="1"/>
      <c r="N1390" s="1"/>
      <c r="O1390" s="1"/>
      <c r="P1390" s="1"/>
      <c r="Q1390" s="1">
        <v>-584.50114427204096</v>
      </c>
      <c r="R1390" s="1">
        <v>17396</v>
      </c>
      <c r="S1390" t="s">
        <v>9</v>
      </c>
    </row>
    <row r="1391" spans="1:19" x14ac:dyDescent="0.55000000000000004">
      <c r="A1391" t="s">
        <v>31</v>
      </c>
      <c r="B1391">
        <v>1991</v>
      </c>
      <c r="C1391" s="4"/>
      <c r="D1391" s="5"/>
      <c r="E1391" s="6"/>
      <c r="F1391" s="4"/>
      <c r="G1391" s="4"/>
      <c r="H1391" s="1">
        <v>0.65514535576400101</v>
      </c>
      <c r="I1391" s="1">
        <v>15733.891781847</v>
      </c>
      <c r="J1391" s="1">
        <v>1256.7833754174501</v>
      </c>
      <c r="K1391" s="1"/>
      <c r="L1391" s="1"/>
      <c r="M1391" s="1"/>
      <c r="N1391" s="1"/>
      <c r="O1391" s="1"/>
      <c r="P1391" s="1"/>
      <c r="Q1391" s="1">
        <v>-13589.3750798319</v>
      </c>
      <c r="R1391" s="1">
        <v>30581</v>
      </c>
      <c r="S1391" t="s">
        <v>9</v>
      </c>
    </row>
    <row r="1392" spans="1:19" x14ac:dyDescent="0.55000000000000004">
      <c r="A1392" t="s">
        <v>31</v>
      </c>
      <c r="B1392">
        <v>1990</v>
      </c>
      <c r="C1392">
        <v>83388</v>
      </c>
      <c r="D1392" s="2">
        <v>18</v>
      </c>
      <c r="E1392" s="3">
        <v>83406</v>
      </c>
      <c r="F1392" t="s">
        <v>12</v>
      </c>
      <c r="G1392" t="s">
        <v>12</v>
      </c>
      <c r="H1392" s="1">
        <v>450.91195238585698</v>
      </c>
      <c r="I1392" s="1">
        <v>149427.20027238599</v>
      </c>
      <c r="J1392" s="1">
        <v>15539.021203592099</v>
      </c>
      <c r="K1392" s="1"/>
      <c r="L1392" s="1"/>
      <c r="M1392" s="1"/>
      <c r="N1392" s="1"/>
      <c r="O1392" s="1"/>
      <c r="P1392" s="1"/>
      <c r="Q1392" s="1">
        <v>9792.7027033289305</v>
      </c>
      <c r="R1392" s="1">
        <v>248823</v>
      </c>
      <c r="S1392" t="s">
        <v>9</v>
      </c>
    </row>
    <row r="1393" spans="1:19" x14ac:dyDescent="0.55000000000000004">
      <c r="A1393" t="s">
        <v>31</v>
      </c>
      <c r="B1393">
        <v>1989</v>
      </c>
      <c r="C1393">
        <v>7236</v>
      </c>
      <c r="D1393" s="2">
        <v>0</v>
      </c>
      <c r="E1393" s="3">
        <v>7236</v>
      </c>
      <c r="F1393" t="s">
        <v>12</v>
      </c>
      <c r="G1393" t="s">
        <v>12</v>
      </c>
      <c r="H1393" s="1">
        <v>0</v>
      </c>
      <c r="I1393" s="1">
        <v>184.95455941050099</v>
      </c>
      <c r="J1393" s="1">
        <v>1089.7322689591599</v>
      </c>
      <c r="K1393" s="1"/>
      <c r="L1393" s="1"/>
      <c r="M1393" s="1"/>
      <c r="N1393" s="1"/>
      <c r="O1393" s="1"/>
      <c r="P1393" s="1"/>
      <c r="Q1393" s="1">
        <v>8325.7322689591601</v>
      </c>
      <c r="R1393" s="1">
        <v>8511</v>
      </c>
      <c r="S1393" t="s">
        <v>9</v>
      </c>
    </row>
    <row r="1394" spans="1:19" x14ac:dyDescent="0.55000000000000004">
      <c r="A1394" t="s">
        <v>31</v>
      </c>
      <c r="B1394">
        <v>1988</v>
      </c>
      <c r="C1394">
        <v>1060</v>
      </c>
      <c r="D1394" s="2">
        <v>1033</v>
      </c>
      <c r="E1394" s="3">
        <v>2093</v>
      </c>
      <c r="F1394" t="s">
        <v>12</v>
      </c>
      <c r="G1394" t="s">
        <v>12</v>
      </c>
      <c r="H1394" s="1">
        <v>0</v>
      </c>
      <c r="I1394" s="1">
        <v>1273.76753546749</v>
      </c>
      <c r="J1394" s="1">
        <v>160.29788702055799</v>
      </c>
      <c r="K1394" s="1"/>
      <c r="L1394" s="1"/>
      <c r="M1394" s="1"/>
      <c r="N1394" s="1"/>
      <c r="O1394" s="1"/>
      <c r="P1394" s="1"/>
      <c r="Q1394" s="1">
        <v>1615.2568089179799</v>
      </c>
      <c r="R1394" s="1">
        <v>3527</v>
      </c>
      <c r="S1394" t="s">
        <v>9</v>
      </c>
    </row>
    <row r="1395" spans="1:19" x14ac:dyDescent="0.55000000000000004">
      <c r="A1395" t="s">
        <v>31</v>
      </c>
      <c r="B1395">
        <v>1987</v>
      </c>
      <c r="C1395">
        <v>2089</v>
      </c>
      <c r="D1395" s="2">
        <v>8</v>
      </c>
      <c r="E1395" s="3">
        <v>2097</v>
      </c>
      <c r="F1395" t="s">
        <v>12</v>
      </c>
      <c r="G1395" t="s">
        <v>12</v>
      </c>
      <c r="H1395" s="1">
        <v>0</v>
      </c>
      <c r="I1395" s="1">
        <v>4920.8122047536499</v>
      </c>
      <c r="J1395" s="1">
        <v>775.68764797855704</v>
      </c>
      <c r="K1395" s="1"/>
      <c r="L1395" s="1"/>
      <c r="M1395" s="1"/>
      <c r="N1395" s="1"/>
      <c r="O1395" s="1"/>
      <c r="P1395" s="1"/>
      <c r="Q1395" s="1">
        <v>457.64061127894502</v>
      </c>
      <c r="R1395" s="1">
        <v>7793</v>
      </c>
      <c r="S1395" t="s">
        <v>9</v>
      </c>
    </row>
    <row r="1396" spans="1:19" x14ac:dyDescent="0.55000000000000004">
      <c r="A1396" t="s">
        <v>31</v>
      </c>
      <c r="B1396">
        <v>1986</v>
      </c>
      <c r="C1396">
        <v>26624</v>
      </c>
      <c r="D1396" s="2">
        <v>0</v>
      </c>
      <c r="E1396" s="3">
        <v>26624</v>
      </c>
      <c r="F1396" t="s">
        <v>12</v>
      </c>
      <c r="G1396" t="s">
        <v>12</v>
      </c>
      <c r="H1396" s="1">
        <v>0</v>
      </c>
      <c r="I1396" s="1">
        <v>75050.880346074293</v>
      </c>
      <c r="J1396" s="1">
        <v>6731.8329060916503</v>
      </c>
      <c r="K1396" s="1"/>
      <c r="L1396" s="1"/>
      <c r="M1396" s="1"/>
      <c r="N1396" s="1"/>
      <c r="O1396" s="1"/>
      <c r="P1396" s="1"/>
      <c r="Q1396" s="1">
        <v>749.41981607379103</v>
      </c>
      <c r="R1396" s="1">
        <v>108407</v>
      </c>
      <c r="S1396" t="s">
        <v>9</v>
      </c>
    </row>
    <row r="1397" spans="1:19" x14ac:dyDescent="0.55000000000000004">
      <c r="A1397" t="s">
        <v>31</v>
      </c>
      <c r="B1397">
        <v>1985</v>
      </c>
      <c r="C1397">
        <v>3385</v>
      </c>
      <c r="D1397" s="2">
        <v>57</v>
      </c>
      <c r="E1397" s="3">
        <v>3442</v>
      </c>
      <c r="F1397" t="s">
        <v>12</v>
      </c>
      <c r="G1397" t="s">
        <v>12</v>
      </c>
      <c r="H1397" s="1">
        <v>2.3404484420904499</v>
      </c>
      <c r="I1397" s="1">
        <v>20763.7166772747</v>
      </c>
      <c r="J1397" s="1">
        <v>734.82511273637397</v>
      </c>
      <c r="K1397" s="1"/>
      <c r="L1397" s="1"/>
      <c r="M1397" s="1"/>
      <c r="N1397" s="1"/>
      <c r="O1397" s="1"/>
      <c r="P1397" s="1"/>
      <c r="Q1397" s="1">
        <v>852.86596036929996</v>
      </c>
      <c r="R1397" s="1">
        <v>24943</v>
      </c>
      <c r="S1397" t="s">
        <v>9</v>
      </c>
    </row>
    <row r="1398" spans="1:19" x14ac:dyDescent="0.55000000000000004">
      <c r="A1398" t="s">
        <v>31</v>
      </c>
      <c r="B1398">
        <v>1984</v>
      </c>
      <c r="C1398">
        <v>409</v>
      </c>
      <c r="D1398" s="2">
        <v>19</v>
      </c>
      <c r="E1398" s="3">
        <v>428</v>
      </c>
      <c r="F1398" t="s">
        <v>12</v>
      </c>
      <c r="G1398" t="s">
        <v>12</v>
      </c>
      <c r="H1398" s="1">
        <v>0</v>
      </c>
      <c r="I1398" s="1">
        <v>1117.4498234893299</v>
      </c>
      <c r="J1398" s="1">
        <v>102.610848949103</v>
      </c>
      <c r="K1398" s="1"/>
      <c r="L1398" s="1"/>
      <c r="M1398" s="1"/>
      <c r="N1398" s="1"/>
      <c r="O1398" s="1"/>
      <c r="P1398" s="1"/>
      <c r="Q1398" s="1">
        <v>183.22897759268301</v>
      </c>
      <c r="R1398" s="1">
        <v>1648</v>
      </c>
      <c r="S1398" t="s">
        <v>9</v>
      </c>
    </row>
    <row r="1399" spans="1:19" x14ac:dyDescent="0.55000000000000004">
      <c r="A1399" t="s">
        <v>31</v>
      </c>
      <c r="B1399">
        <v>1983</v>
      </c>
      <c r="C1399">
        <v>239</v>
      </c>
      <c r="D1399" s="2">
        <v>0</v>
      </c>
      <c r="E1399" s="3">
        <v>239</v>
      </c>
      <c r="F1399" t="s">
        <v>12</v>
      </c>
      <c r="G1399" t="s">
        <v>12</v>
      </c>
      <c r="H1399" s="1">
        <v>1.4999668525703</v>
      </c>
      <c r="I1399" s="1">
        <v>492.06697020808099</v>
      </c>
      <c r="J1399" s="1">
        <v>62.433952269297997</v>
      </c>
      <c r="K1399" s="1"/>
      <c r="L1399" s="1"/>
      <c r="M1399" s="1"/>
      <c r="N1399" s="1"/>
      <c r="O1399" s="1"/>
      <c r="P1399" s="1"/>
      <c r="Q1399" s="1">
        <v>15.832951483222599</v>
      </c>
      <c r="R1399" s="1">
        <v>795</v>
      </c>
      <c r="S1399" t="s">
        <v>9</v>
      </c>
    </row>
    <row r="1400" spans="1:19" x14ac:dyDescent="0.55000000000000004">
      <c r="A1400" t="s">
        <v>31</v>
      </c>
      <c r="B1400">
        <v>1982</v>
      </c>
      <c r="C1400">
        <v>4709</v>
      </c>
      <c r="D1400" s="2">
        <v>0</v>
      </c>
      <c r="E1400" s="3">
        <v>4709</v>
      </c>
      <c r="F1400" t="s">
        <v>12</v>
      </c>
      <c r="G1400" t="s">
        <v>12</v>
      </c>
      <c r="H1400" s="1"/>
      <c r="I1400" s="1">
        <v>15389.3866864424</v>
      </c>
      <c r="J1400" s="1">
        <v>1484.5718822563199</v>
      </c>
      <c r="K1400" s="1"/>
      <c r="L1400" s="1"/>
      <c r="M1400" s="1"/>
      <c r="N1400" s="1"/>
      <c r="O1400" s="1"/>
      <c r="P1400" s="1"/>
      <c r="Q1400" s="1">
        <v>-170.67259610979499</v>
      </c>
      <c r="R1400" s="1">
        <v>21754</v>
      </c>
      <c r="S1400" t="s">
        <v>9</v>
      </c>
    </row>
    <row r="1401" spans="1:19" x14ac:dyDescent="0.55000000000000004">
      <c r="A1401" t="s">
        <v>31</v>
      </c>
      <c r="B1401">
        <v>1981</v>
      </c>
      <c r="C1401">
        <v>18952</v>
      </c>
      <c r="D1401" s="2">
        <v>0</v>
      </c>
      <c r="E1401" s="3">
        <v>18952</v>
      </c>
      <c r="F1401" t="s">
        <v>12</v>
      </c>
      <c r="G1401" t="s">
        <v>12</v>
      </c>
      <c r="H1401" s="1"/>
      <c r="I1401" s="1">
        <v>67988.815331686506</v>
      </c>
      <c r="J1401" s="1">
        <v>2088.1255223766502</v>
      </c>
      <c r="K1401" s="1"/>
      <c r="L1401" s="1"/>
      <c r="M1401" s="1"/>
      <c r="N1401" s="1"/>
      <c r="O1401" s="1"/>
      <c r="P1401" s="1"/>
      <c r="Q1401" s="1">
        <v>-1596.80267993404</v>
      </c>
      <c r="R1401" s="1">
        <v>90626</v>
      </c>
      <c r="S1401" t="s">
        <v>9</v>
      </c>
    </row>
    <row r="1402" spans="1:19" x14ac:dyDescent="0.55000000000000004">
      <c r="A1402" t="s">
        <v>31</v>
      </c>
      <c r="B1402">
        <v>1980</v>
      </c>
      <c r="C1402">
        <v>107</v>
      </c>
      <c r="D1402" s="2">
        <v>98</v>
      </c>
      <c r="E1402" s="3">
        <v>205</v>
      </c>
      <c r="F1402" t="s">
        <v>12</v>
      </c>
      <c r="G1402" t="s">
        <v>12</v>
      </c>
      <c r="H1402" s="1"/>
      <c r="I1402" s="1">
        <v>186.090164670441</v>
      </c>
      <c r="J1402" s="1">
        <v>21.4659279664099</v>
      </c>
      <c r="K1402" s="1"/>
      <c r="L1402" s="1"/>
      <c r="M1402" s="1"/>
      <c r="N1402" s="1"/>
      <c r="O1402" s="1"/>
      <c r="P1402" s="1"/>
      <c r="Q1402" s="1">
        <v>11.227162117239899</v>
      </c>
      <c r="R1402" s="1">
        <v>413</v>
      </c>
      <c r="S1402" t="s">
        <v>9</v>
      </c>
    </row>
    <row r="1403" spans="1:19" x14ac:dyDescent="0.55000000000000004">
      <c r="A1403" t="s">
        <v>31</v>
      </c>
      <c r="B1403">
        <v>1979</v>
      </c>
      <c r="C1403">
        <v>0</v>
      </c>
      <c r="D1403" s="2">
        <v>0</v>
      </c>
      <c r="E1403" s="3">
        <v>0</v>
      </c>
      <c r="F1403" t="s">
        <v>12</v>
      </c>
      <c r="G1403" t="s">
        <v>12</v>
      </c>
      <c r="H1403" s="1"/>
      <c r="I1403" s="1"/>
      <c r="J1403" s="1"/>
      <c r="K1403" s="1"/>
      <c r="L1403" s="1"/>
      <c r="M1403" s="1"/>
      <c r="N1403" s="1"/>
      <c r="O1403" s="1"/>
      <c r="P1403" s="1"/>
      <c r="Q1403" s="1">
        <v>0</v>
      </c>
      <c r="R1403" s="1">
        <v>0</v>
      </c>
      <c r="S1403" t="s">
        <v>9</v>
      </c>
    </row>
    <row r="1404" spans="1:19" x14ac:dyDescent="0.55000000000000004">
      <c r="A1404" t="s">
        <v>31</v>
      </c>
      <c r="B1404">
        <v>1978</v>
      </c>
      <c r="C1404">
        <v>2056</v>
      </c>
      <c r="D1404" s="2">
        <v>0</v>
      </c>
      <c r="E1404" s="3">
        <v>2056</v>
      </c>
      <c r="F1404" t="s">
        <v>12</v>
      </c>
      <c r="G1404" t="s">
        <v>12</v>
      </c>
      <c r="H1404" s="1"/>
      <c r="I1404" s="1">
        <v>5572.4134220507904</v>
      </c>
      <c r="J1404" s="1">
        <v>361.17388056927302</v>
      </c>
      <c r="K1404" s="1"/>
      <c r="L1404" s="1"/>
      <c r="M1404" s="1"/>
      <c r="N1404" s="1"/>
      <c r="O1404" s="1"/>
      <c r="P1404" s="1"/>
      <c r="Q1404" s="1">
        <v>343.15339319537702</v>
      </c>
      <c r="R1404" s="1">
        <v>7990</v>
      </c>
      <c r="S1404" t="s">
        <v>9</v>
      </c>
    </row>
    <row r="1405" spans="1:19" x14ac:dyDescent="0.55000000000000004">
      <c r="A1405" t="s">
        <v>31</v>
      </c>
      <c r="B1405">
        <v>1977</v>
      </c>
      <c r="C1405">
        <v>13586</v>
      </c>
      <c r="D1405" s="2">
        <v>0</v>
      </c>
      <c r="E1405" s="3">
        <v>13586</v>
      </c>
      <c r="F1405" t="s">
        <v>12</v>
      </c>
      <c r="G1405" t="s">
        <v>12</v>
      </c>
      <c r="H1405" s="1"/>
      <c r="I1405" s="1">
        <v>42903.936690566203</v>
      </c>
      <c r="J1405" s="1">
        <v>1704.3896763794901</v>
      </c>
      <c r="K1405" s="1"/>
      <c r="L1405" s="1"/>
      <c r="M1405" s="1"/>
      <c r="N1405" s="1"/>
      <c r="O1405" s="1"/>
      <c r="P1405" s="1"/>
      <c r="Q1405" s="1">
        <v>8292.6662281746394</v>
      </c>
      <c r="R1405" s="1">
        <v>58194</v>
      </c>
      <c r="S1405" t="s">
        <v>9</v>
      </c>
    </row>
    <row r="1406" spans="1:19" x14ac:dyDescent="0.55000000000000004">
      <c r="A1406" t="s">
        <v>31</v>
      </c>
      <c r="B1406">
        <v>1976</v>
      </c>
      <c r="C1406">
        <v>34</v>
      </c>
      <c r="D1406" s="2">
        <v>7</v>
      </c>
      <c r="E1406" s="3">
        <v>41</v>
      </c>
      <c r="F1406" t="s">
        <v>12</v>
      </c>
      <c r="G1406" t="s">
        <v>12</v>
      </c>
      <c r="H1406" s="1"/>
      <c r="I1406" s="1">
        <v>233.02543757292901</v>
      </c>
      <c r="J1406" s="1">
        <v>7.3675612602100298</v>
      </c>
      <c r="K1406" s="1"/>
      <c r="L1406" s="1"/>
      <c r="M1406" s="1"/>
      <c r="N1406" s="1"/>
      <c r="O1406" s="1"/>
      <c r="P1406" s="1"/>
      <c r="Q1406" s="1"/>
      <c r="R1406" s="1">
        <v>281</v>
      </c>
      <c r="S1406" t="s">
        <v>12</v>
      </c>
    </row>
    <row r="1407" spans="1:19" x14ac:dyDescent="0.55000000000000004">
      <c r="A1407" t="s">
        <v>31</v>
      </c>
      <c r="B1407">
        <v>1975</v>
      </c>
      <c r="C1407">
        <v>0</v>
      </c>
      <c r="D1407" s="2">
        <v>0</v>
      </c>
      <c r="E1407" s="3">
        <v>0</v>
      </c>
      <c r="F1407" t="s">
        <v>12</v>
      </c>
      <c r="G1407" t="s">
        <v>12</v>
      </c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>
        <v>0</v>
      </c>
      <c r="S1407" t="s">
        <v>11</v>
      </c>
    </row>
    <row r="1408" spans="1:19" x14ac:dyDescent="0.55000000000000004">
      <c r="A1408" t="s">
        <v>31</v>
      </c>
      <c r="B1408">
        <v>1974</v>
      </c>
      <c r="C1408">
        <v>447</v>
      </c>
      <c r="D1408" s="2">
        <v>17</v>
      </c>
      <c r="E1408" s="3">
        <v>464</v>
      </c>
      <c r="F1408" t="s">
        <v>12</v>
      </c>
      <c r="G1408" t="s">
        <v>12</v>
      </c>
      <c r="H1408" s="1"/>
      <c r="I1408" s="1">
        <v>1525.0588235294099</v>
      </c>
      <c r="J1408" s="1">
        <v>66.410546139359695</v>
      </c>
      <c r="K1408" s="1"/>
      <c r="L1408" s="1"/>
      <c r="M1408" s="1"/>
      <c r="N1408" s="1"/>
      <c r="O1408" s="1"/>
      <c r="P1408" s="1"/>
      <c r="Q1408" s="1"/>
      <c r="R1408" s="1">
        <v>2055</v>
      </c>
      <c r="S1408" t="s">
        <v>12</v>
      </c>
    </row>
    <row r="1409" spans="1:19" x14ac:dyDescent="0.55000000000000004">
      <c r="A1409" t="s">
        <v>31</v>
      </c>
      <c r="B1409">
        <v>1973</v>
      </c>
      <c r="C1409">
        <v>6235</v>
      </c>
      <c r="D1409" s="2">
        <v>0</v>
      </c>
      <c r="E1409" s="3">
        <v>6235</v>
      </c>
      <c r="F1409" t="s">
        <v>12</v>
      </c>
      <c r="G1409" t="s">
        <v>12</v>
      </c>
      <c r="H1409" s="1"/>
      <c r="I1409" s="1">
        <v>27245</v>
      </c>
      <c r="J1409" s="1">
        <v>403</v>
      </c>
      <c r="K1409" s="1"/>
      <c r="L1409" s="1"/>
      <c r="M1409" s="1"/>
      <c r="N1409" s="1"/>
      <c r="O1409" s="1"/>
      <c r="P1409" s="1"/>
      <c r="Q1409" s="1"/>
      <c r="R1409" s="1">
        <v>33883</v>
      </c>
      <c r="S1409" t="s">
        <v>12</v>
      </c>
    </row>
    <row r="1410" spans="1:19" x14ac:dyDescent="0.55000000000000004">
      <c r="A1410" t="s">
        <v>31</v>
      </c>
      <c r="B1410">
        <v>1972</v>
      </c>
      <c r="C1410">
        <v>0</v>
      </c>
      <c r="D1410" s="2">
        <v>47</v>
      </c>
      <c r="E1410" s="3">
        <v>47</v>
      </c>
      <c r="F1410" t="s">
        <v>12</v>
      </c>
      <c r="G1410" t="s">
        <v>12</v>
      </c>
      <c r="H1410" s="1"/>
      <c r="I1410" s="1">
        <v>242.60952380952401</v>
      </c>
      <c r="J1410" s="1">
        <v>16</v>
      </c>
      <c r="K1410" s="1"/>
      <c r="L1410" s="1"/>
      <c r="M1410" s="1"/>
      <c r="N1410" s="1"/>
      <c r="O1410" s="1"/>
      <c r="P1410" s="1"/>
      <c r="Q1410" s="1"/>
      <c r="R1410" s="1">
        <v>306</v>
      </c>
      <c r="S1410" t="s">
        <v>12</v>
      </c>
    </row>
    <row r="1411" spans="1:19" x14ac:dyDescent="0.55000000000000004">
      <c r="A1411" t="s">
        <v>31</v>
      </c>
      <c r="B1411">
        <v>1971</v>
      </c>
      <c r="C1411">
        <v>0</v>
      </c>
      <c r="D1411" s="2">
        <v>0</v>
      </c>
      <c r="E1411" s="3">
        <v>0</v>
      </c>
      <c r="F1411" t="s">
        <v>12</v>
      </c>
      <c r="G1411" t="s">
        <v>12</v>
      </c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>
        <v>0</v>
      </c>
      <c r="S1411" t="s">
        <v>12</v>
      </c>
    </row>
    <row r="1412" spans="1:19" x14ac:dyDescent="0.55000000000000004">
      <c r="A1412" t="s">
        <v>31</v>
      </c>
      <c r="B1412">
        <v>1970</v>
      </c>
      <c r="C1412">
        <v>304</v>
      </c>
      <c r="D1412" s="2">
        <v>0</v>
      </c>
      <c r="E1412" s="3">
        <v>304</v>
      </c>
      <c r="F1412" t="s">
        <v>12</v>
      </c>
      <c r="G1412" t="s">
        <v>12</v>
      </c>
      <c r="H1412" s="1"/>
      <c r="I1412" s="1">
        <v>2599.7922077922099</v>
      </c>
      <c r="J1412" s="1">
        <v>55</v>
      </c>
      <c r="K1412" s="1"/>
      <c r="L1412" s="1"/>
      <c r="M1412" s="1"/>
      <c r="N1412" s="1"/>
      <c r="O1412" s="1"/>
      <c r="P1412" s="1"/>
      <c r="Q1412" s="1"/>
      <c r="R1412" s="1">
        <v>2959</v>
      </c>
      <c r="S1412" t="s">
        <v>12</v>
      </c>
    </row>
    <row r="1413" spans="1:19" x14ac:dyDescent="0.55000000000000004">
      <c r="A1413" t="s">
        <v>31</v>
      </c>
      <c r="B1413">
        <v>1969</v>
      </c>
      <c r="C1413">
        <v>3395</v>
      </c>
      <c r="D1413" s="2">
        <v>0</v>
      </c>
      <c r="E1413" s="3">
        <v>3395</v>
      </c>
      <c r="F1413" t="s">
        <v>12</v>
      </c>
      <c r="G1413" t="s">
        <v>12</v>
      </c>
      <c r="H1413" s="1"/>
      <c r="I1413" s="1">
        <v>13099</v>
      </c>
      <c r="J1413" s="1">
        <v>165</v>
      </c>
      <c r="K1413" s="1"/>
      <c r="L1413" s="1"/>
      <c r="M1413" s="1"/>
      <c r="N1413" s="1"/>
      <c r="O1413" s="1"/>
      <c r="P1413" s="1"/>
      <c r="Q1413" s="1"/>
      <c r="R1413" s="1">
        <v>16659</v>
      </c>
      <c r="S1413" t="s">
        <v>12</v>
      </c>
    </row>
    <row r="1414" spans="1:19" x14ac:dyDescent="0.55000000000000004">
      <c r="A1414" t="s">
        <v>31</v>
      </c>
      <c r="B1414">
        <v>1968</v>
      </c>
      <c r="C1414">
        <v>0</v>
      </c>
      <c r="D1414" s="2">
        <v>126</v>
      </c>
      <c r="E1414" s="3">
        <v>126</v>
      </c>
      <c r="F1414" t="s">
        <v>12</v>
      </c>
      <c r="G1414" t="s">
        <v>12</v>
      </c>
      <c r="H1414" s="1"/>
      <c r="I1414" s="1">
        <v>483.83321189117498</v>
      </c>
      <c r="J1414" s="1">
        <v>9.7516531961792801</v>
      </c>
      <c r="K1414" s="1"/>
      <c r="L1414" s="1"/>
      <c r="M1414" s="1"/>
      <c r="N1414" s="1"/>
      <c r="O1414" s="1"/>
      <c r="P1414" s="1"/>
      <c r="Q1414" s="1"/>
      <c r="R1414" s="1">
        <v>620</v>
      </c>
      <c r="S1414" t="s">
        <v>12</v>
      </c>
    </row>
    <row r="1415" spans="1:19" x14ac:dyDescent="0.55000000000000004">
      <c r="A1415" t="s">
        <v>31</v>
      </c>
      <c r="B1415">
        <v>1967</v>
      </c>
      <c r="C1415">
        <v>0</v>
      </c>
      <c r="D1415" s="2">
        <v>0</v>
      </c>
      <c r="E1415" s="3">
        <v>0</v>
      </c>
      <c r="F1415" t="s">
        <v>12</v>
      </c>
      <c r="G1415" t="s">
        <v>12</v>
      </c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>
        <v>0</v>
      </c>
      <c r="S1415" t="s">
        <v>12</v>
      </c>
    </row>
    <row r="1416" spans="1:19" x14ac:dyDescent="0.55000000000000004">
      <c r="A1416" t="s">
        <v>31</v>
      </c>
      <c r="B1416">
        <v>1966</v>
      </c>
      <c r="C1416">
        <v>459</v>
      </c>
      <c r="D1416" s="2">
        <v>0</v>
      </c>
      <c r="E1416" s="3">
        <v>459</v>
      </c>
      <c r="F1416" t="s">
        <v>12</v>
      </c>
      <c r="G1416" t="s">
        <v>12</v>
      </c>
      <c r="H1416" s="1"/>
      <c r="I1416" s="1">
        <v>2335.8324313354101</v>
      </c>
      <c r="J1416" s="1">
        <v>30.740765796238701</v>
      </c>
      <c r="K1416" s="1"/>
      <c r="L1416" s="1"/>
      <c r="M1416" s="1"/>
      <c r="N1416" s="1"/>
      <c r="O1416" s="1"/>
      <c r="P1416" s="1"/>
      <c r="Q1416" s="1"/>
      <c r="R1416" s="1">
        <v>2826</v>
      </c>
      <c r="S1416" t="s">
        <v>12</v>
      </c>
    </row>
    <row r="1417" spans="1:19" x14ac:dyDescent="0.55000000000000004">
      <c r="A1417" t="s">
        <v>31</v>
      </c>
      <c r="B1417">
        <v>1965</v>
      </c>
      <c r="C1417">
        <v>1910</v>
      </c>
      <c r="D1417" s="2">
        <v>0</v>
      </c>
      <c r="E1417" s="3">
        <v>1910</v>
      </c>
      <c r="F1417" t="s">
        <v>12</v>
      </c>
      <c r="G1417" t="s">
        <v>12</v>
      </c>
      <c r="H1417" s="1"/>
      <c r="I1417" s="1">
        <v>4614.9196655761598</v>
      </c>
      <c r="J1417" s="1"/>
      <c r="K1417" s="1"/>
      <c r="L1417" s="1"/>
      <c r="M1417" s="1"/>
      <c r="N1417" s="1"/>
      <c r="O1417" s="1"/>
      <c r="P1417" s="1"/>
      <c r="Q1417" s="1"/>
      <c r="R1417" s="1">
        <v>6525</v>
      </c>
      <c r="S1417" t="s">
        <v>12</v>
      </c>
    </row>
    <row r="1418" spans="1:19" x14ac:dyDescent="0.55000000000000004">
      <c r="A1418" t="s">
        <v>31</v>
      </c>
      <c r="B1418">
        <v>1964</v>
      </c>
      <c r="C1418">
        <v>0</v>
      </c>
      <c r="D1418" s="2">
        <v>0</v>
      </c>
      <c r="E1418" s="3">
        <v>0</v>
      </c>
      <c r="F1418" t="s">
        <v>12</v>
      </c>
      <c r="G1418" t="s">
        <v>12</v>
      </c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>
        <v>0</v>
      </c>
      <c r="S1418" t="s">
        <v>11</v>
      </c>
    </row>
    <row r="1419" spans="1:19" x14ac:dyDescent="0.55000000000000004">
      <c r="A1419" t="s">
        <v>31</v>
      </c>
      <c r="B1419">
        <v>1963</v>
      </c>
      <c r="C1419">
        <v>0</v>
      </c>
      <c r="D1419" s="2">
        <v>0</v>
      </c>
      <c r="E1419" s="3">
        <v>0</v>
      </c>
      <c r="F1419" t="s">
        <v>12</v>
      </c>
      <c r="G1419" t="s">
        <v>12</v>
      </c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>
        <v>0</v>
      </c>
      <c r="S1419" t="s">
        <v>12</v>
      </c>
    </row>
    <row r="1420" spans="1:19" x14ac:dyDescent="0.55000000000000004">
      <c r="A1420" t="s">
        <v>31</v>
      </c>
      <c r="B1420">
        <v>1962</v>
      </c>
      <c r="C1420">
        <v>7</v>
      </c>
      <c r="D1420" s="2">
        <v>0</v>
      </c>
      <c r="E1420" s="3">
        <v>7</v>
      </c>
      <c r="F1420" t="s">
        <v>12</v>
      </c>
      <c r="G1420" t="s">
        <v>12</v>
      </c>
      <c r="H1420" s="1"/>
      <c r="I1420" s="1">
        <v>16.866914230953501</v>
      </c>
      <c r="J1420" s="1">
        <v>0.36571633924293301</v>
      </c>
      <c r="K1420" s="1"/>
      <c r="L1420" s="1"/>
      <c r="M1420" s="1"/>
      <c r="N1420" s="1"/>
      <c r="O1420" s="1"/>
      <c r="P1420" s="1"/>
      <c r="Q1420" s="1"/>
      <c r="R1420" s="1">
        <v>24</v>
      </c>
      <c r="S1420" t="s">
        <v>12</v>
      </c>
    </row>
    <row r="1421" spans="1:19" x14ac:dyDescent="0.55000000000000004">
      <c r="A1421" t="s">
        <v>31</v>
      </c>
      <c r="B1421">
        <v>1961</v>
      </c>
      <c r="C1421">
        <v>598</v>
      </c>
      <c r="D1421" s="2">
        <v>0</v>
      </c>
      <c r="E1421" s="3">
        <v>598</v>
      </c>
      <c r="F1421" t="s">
        <v>12</v>
      </c>
      <c r="G1421" t="s">
        <v>12</v>
      </c>
      <c r="H1421" s="1"/>
      <c r="I1421" s="1">
        <v>1204</v>
      </c>
      <c r="J1421" s="1"/>
      <c r="K1421" s="1"/>
      <c r="L1421" s="1"/>
      <c r="M1421" s="1"/>
      <c r="N1421" s="1"/>
      <c r="O1421" s="1"/>
      <c r="P1421" s="1"/>
      <c r="Q1421" s="1"/>
      <c r="R1421" s="1">
        <v>1802</v>
      </c>
      <c r="S1421" t="s">
        <v>12</v>
      </c>
    </row>
    <row r="1422" spans="1:19" x14ac:dyDescent="0.55000000000000004">
      <c r="A1422" t="s">
        <v>31</v>
      </c>
      <c r="B1422">
        <v>1960</v>
      </c>
      <c r="C1422">
        <v>0</v>
      </c>
      <c r="D1422" s="2">
        <v>11</v>
      </c>
      <c r="E1422" s="3">
        <v>11</v>
      </c>
      <c r="F1422" t="s">
        <v>12</v>
      </c>
      <c r="G1422" t="s">
        <v>12</v>
      </c>
      <c r="H1422" s="1"/>
      <c r="I1422" s="1">
        <v>29.649581074420901</v>
      </c>
      <c r="J1422" s="1">
        <v>1.82971907343519</v>
      </c>
      <c r="K1422" s="1"/>
      <c r="L1422" s="1"/>
      <c r="M1422" s="1"/>
      <c r="N1422" s="1"/>
      <c r="O1422" s="1"/>
      <c r="P1422" s="1"/>
      <c r="Q1422" s="1"/>
      <c r="R1422" s="1">
        <v>42</v>
      </c>
      <c r="S1422" t="s">
        <v>11</v>
      </c>
    </row>
    <row r="1423" spans="1:19" x14ac:dyDescent="0.55000000000000004">
      <c r="A1423" t="s">
        <v>31</v>
      </c>
      <c r="B1423">
        <v>1959</v>
      </c>
      <c r="C1423">
        <v>0</v>
      </c>
      <c r="D1423" s="2">
        <v>0</v>
      </c>
      <c r="E1423" s="3">
        <v>0</v>
      </c>
      <c r="F1423" t="s">
        <v>12</v>
      </c>
      <c r="G1423" t="s">
        <v>12</v>
      </c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>
        <v>0</v>
      </c>
      <c r="S1423" t="s">
        <v>12</v>
      </c>
    </row>
    <row r="1424" spans="1:19" x14ac:dyDescent="0.55000000000000004">
      <c r="A1424" t="s">
        <v>31</v>
      </c>
      <c r="B1424">
        <v>1958</v>
      </c>
      <c r="C1424">
        <v>0</v>
      </c>
      <c r="D1424" s="2">
        <v>0</v>
      </c>
      <c r="E1424" s="3">
        <v>0</v>
      </c>
      <c r="F1424" t="s">
        <v>12</v>
      </c>
      <c r="G1424" t="s">
        <v>12</v>
      </c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>
        <v>0</v>
      </c>
      <c r="S1424" t="s">
        <v>12</v>
      </c>
    </row>
    <row r="1425" spans="1:19" x14ac:dyDescent="0.55000000000000004">
      <c r="A1425" t="s">
        <v>31</v>
      </c>
      <c r="B1425">
        <v>1957</v>
      </c>
      <c r="C1425">
        <v>2230</v>
      </c>
      <c r="D1425" s="2">
        <v>0</v>
      </c>
      <c r="E1425" s="3">
        <v>2230</v>
      </c>
      <c r="F1425" t="s">
        <v>12</v>
      </c>
      <c r="G1425" t="s">
        <v>12</v>
      </c>
      <c r="H1425" s="1"/>
      <c r="I1425" s="1">
        <v>6337.0567235224098</v>
      </c>
      <c r="J1425" s="1">
        <v>326.40618802062698</v>
      </c>
      <c r="K1425" s="1"/>
      <c r="L1425" s="1"/>
      <c r="M1425" s="1"/>
      <c r="N1425" s="1"/>
      <c r="O1425" s="1"/>
      <c r="P1425" s="1"/>
      <c r="Q1425" s="1"/>
      <c r="R1425" s="1">
        <v>8893</v>
      </c>
      <c r="S1425" t="s">
        <v>12</v>
      </c>
    </row>
    <row r="1426" spans="1:19" x14ac:dyDescent="0.55000000000000004">
      <c r="A1426" t="s">
        <v>31</v>
      </c>
      <c r="B1426">
        <v>1956</v>
      </c>
      <c r="C1426">
        <v>8</v>
      </c>
      <c r="D1426" s="2">
        <v>147</v>
      </c>
      <c r="E1426" s="3">
        <v>155</v>
      </c>
      <c r="F1426" t="s">
        <v>12</v>
      </c>
      <c r="G1426" t="s">
        <v>12</v>
      </c>
      <c r="H1426" s="1"/>
      <c r="I1426" s="1">
        <v>493.08877476155601</v>
      </c>
      <c r="J1426" s="1">
        <v>34.457079970652998</v>
      </c>
      <c r="K1426" s="1"/>
      <c r="L1426" s="1"/>
      <c r="M1426" s="1"/>
      <c r="N1426" s="1"/>
      <c r="O1426" s="1"/>
      <c r="P1426" s="1"/>
      <c r="Q1426" s="1"/>
      <c r="R1426" s="1">
        <v>683</v>
      </c>
      <c r="S1426" t="s">
        <v>12</v>
      </c>
    </row>
    <row r="1427" spans="1:19" x14ac:dyDescent="0.55000000000000004">
      <c r="A1427" t="s">
        <v>31</v>
      </c>
      <c r="B1427">
        <v>1955</v>
      </c>
      <c r="C1427">
        <v>0</v>
      </c>
      <c r="D1427" s="2">
        <v>0</v>
      </c>
      <c r="E1427" s="3">
        <v>0</v>
      </c>
      <c r="F1427" t="s">
        <v>12</v>
      </c>
      <c r="G1427" t="s">
        <v>12</v>
      </c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>
        <v>0</v>
      </c>
      <c r="S1427" t="s">
        <v>11</v>
      </c>
    </row>
    <row r="1428" spans="1:19" x14ac:dyDescent="0.55000000000000004">
      <c r="A1428" t="s">
        <v>31</v>
      </c>
      <c r="B1428">
        <v>1954</v>
      </c>
      <c r="C1428">
        <v>0</v>
      </c>
      <c r="D1428" s="2">
        <v>0</v>
      </c>
      <c r="E1428" s="3">
        <v>0</v>
      </c>
      <c r="F1428" t="s">
        <v>12</v>
      </c>
      <c r="G1428" t="s">
        <v>12</v>
      </c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>
        <v>0</v>
      </c>
      <c r="S1428" t="s">
        <v>12</v>
      </c>
    </row>
    <row r="1429" spans="1:19" x14ac:dyDescent="0.55000000000000004">
      <c r="A1429" t="s">
        <v>31</v>
      </c>
      <c r="B1429">
        <v>1953</v>
      </c>
      <c r="C1429">
        <v>1364</v>
      </c>
      <c r="D1429" s="2">
        <v>0</v>
      </c>
      <c r="E1429" s="3">
        <v>1364</v>
      </c>
      <c r="F1429" t="s">
        <v>12</v>
      </c>
      <c r="G1429" t="s">
        <v>12</v>
      </c>
      <c r="H1429" s="1"/>
      <c r="I1429" s="1">
        <v>4294</v>
      </c>
      <c r="J1429" s="1"/>
      <c r="K1429" s="1"/>
      <c r="L1429" s="1"/>
      <c r="M1429" s="1"/>
      <c r="N1429" s="1"/>
      <c r="O1429" s="1"/>
      <c r="P1429" s="1"/>
      <c r="Q1429" s="1"/>
      <c r="R1429" s="1">
        <v>5658</v>
      </c>
      <c r="S1429" t="s">
        <v>12</v>
      </c>
    </row>
    <row r="1430" spans="1:19" x14ac:dyDescent="0.55000000000000004">
      <c r="A1430" t="s">
        <v>31</v>
      </c>
      <c r="B1430">
        <v>1952</v>
      </c>
      <c r="C1430">
        <v>12</v>
      </c>
      <c r="D1430" s="2">
        <v>326</v>
      </c>
      <c r="E1430" s="3">
        <v>338</v>
      </c>
      <c r="F1430" t="s">
        <v>12</v>
      </c>
      <c r="G1430" t="s">
        <v>12</v>
      </c>
      <c r="H1430" s="1"/>
      <c r="I1430" s="1">
        <v>1146.88205734555</v>
      </c>
      <c r="J1430" s="1">
        <v>60.646172036653802</v>
      </c>
      <c r="K1430" s="1"/>
      <c r="L1430" s="1"/>
      <c r="M1430" s="1"/>
      <c r="N1430" s="1"/>
      <c r="O1430" s="1"/>
      <c r="P1430" s="1"/>
      <c r="Q1430" s="1"/>
      <c r="R1430" s="1">
        <v>1546</v>
      </c>
      <c r="S1430" t="s">
        <v>12</v>
      </c>
    </row>
    <row r="1431" spans="1:19" x14ac:dyDescent="0.55000000000000004">
      <c r="A1431" t="s">
        <v>32</v>
      </c>
      <c r="B1431">
        <v>2023</v>
      </c>
      <c r="C1431">
        <v>6235</v>
      </c>
      <c r="D1431" s="2">
        <v>0</v>
      </c>
      <c r="E1431" s="3">
        <v>6235</v>
      </c>
      <c r="F1431" t="s">
        <v>12</v>
      </c>
      <c r="G1431" t="s">
        <v>12</v>
      </c>
      <c r="H1431" s="1">
        <v>5.7900189463788498</v>
      </c>
      <c r="I1431" s="1">
        <v>190.52071452958899</v>
      </c>
      <c r="J1431" s="1">
        <v>55.792147792195003</v>
      </c>
      <c r="K1431" s="1"/>
      <c r="L1431" s="1">
        <v>5357.2590171454804</v>
      </c>
      <c r="M1431" s="1">
        <v>1800.8885257182201</v>
      </c>
      <c r="N1431" s="1"/>
      <c r="O1431" s="1">
        <v>14.301278743047201</v>
      </c>
      <c r="P1431" s="1">
        <v>5.0054475600665196</v>
      </c>
      <c r="Q1431" s="1">
        <v>-8059.1852335813401</v>
      </c>
      <c r="R1431" s="1">
        <v>13665</v>
      </c>
      <c r="S1431" t="s">
        <v>11</v>
      </c>
    </row>
    <row r="1432" spans="1:19" x14ac:dyDescent="0.55000000000000004">
      <c r="A1432" t="s">
        <v>32</v>
      </c>
      <c r="B1432">
        <v>2022</v>
      </c>
      <c r="C1432">
        <v>30156</v>
      </c>
      <c r="D1432" s="2">
        <v>0</v>
      </c>
      <c r="E1432" s="3">
        <v>30156</v>
      </c>
      <c r="F1432" t="s">
        <v>12</v>
      </c>
      <c r="G1432" t="s">
        <v>12</v>
      </c>
      <c r="H1432" s="1">
        <v>650.523854316231</v>
      </c>
      <c r="I1432" s="1">
        <v>10870.693670029101</v>
      </c>
      <c r="J1432" s="1">
        <v>5895.8452869267303</v>
      </c>
      <c r="K1432" s="1"/>
      <c r="L1432" s="1">
        <v>16529.221030200599</v>
      </c>
      <c r="M1432" s="1">
        <v>541.230288779484</v>
      </c>
      <c r="N1432" s="1"/>
      <c r="O1432" s="1">
        <v>1.66191490925123</v>
      </c>
      <c r="P1432" s="1"/>
      <c r="Q1432" s="1">
        <v>-42832.433168662203</v>
      </c>
      <c r="R1432" s="1">
        <v>64645</v>
      </c>
      <c r="S1432" t="s">
        <v>11</v>
      </c>
    </row>
    <row r="1433" spans="1:19" x14ac:dyDescent="0.55000000000000004">
      <c r="A1433" t="s">
        <v>32</v>
      </c>
      <c r="B1433">
        <v>2021</v>
      </c>
      <c r="C1433">
        <v>8138</v>
      </c>
      <c r="D1433" s="2">
        <v>124</v>
      </c>
      <c r="E1433" s="3">
        <v>8262</v>
      </c>
      <c r="F1433" t="s">
        <v>12</v>
      </c>
      <c r="G1433" t="s">
        <v>12</v>
      </c>
      <c r="H1433" s="1">
        <v>1374.2592694601401</v>
      </c>
      <c r="I1433" s="1">
        <v>89.099516631749793</v>
      </c>
      <c r="J1433" s="1">
        <v>48.924793241757897</v>
      </c>
      <c r="K1433" s="1"/>
      <c r="L1433" s="1">
        <v>2249.3248554056099</v>
      </c>
      <c r="M1433" s="1">
        <v>858.99770131988703</v>
      </c>
      <c r="N1433" s="1"/>
      <c r="O1433" s="1">
        <v>43.749443867714703</v>
      </c>
      <c r="P1433" s="1">
        <v>15.0860151267982</v>
      </c>
      <c r="Q1433" s="1">
        <v>-1225.63351226395</v>
      </c>
      <c r="R1433" s="1">
        <v>12941</v>
      </c>
      <c r="S1433" t="s">
        <v>11</v>
      </c>
    </row>
    <row r="1434" spans="1:19" x14ac:dyDescent="0.55000000000000004">
      <c r="A1434" t="s">
        <v>32</v>
      </c>
      <c r="B1434">
        <v>2020</v>
      </c>
      <c r="C1434">
        <v>920</v>
      </c>
      <c r="D1434" s="2">
        <v>0</v>
      </c>
      <c r="E1434" s="3">
        <v>920</v>
      </c>
      <c r="F1434" t="s">
        <v>12</v>
      </c>
      <c r="G1434" t="s">
        <v>12</v>
      </c>
      <c r="H1434" s="1">
        <v>18.275232361396899</v>
      </c>
      <c r="I1434" s="1">
        <v>18.114074864027199</v>
      </c>
      <c r="J1434" s="1">
        <v>3.23896419067324</v>
      </c>
      <c r="K1434" s="1"/>
      <c r="L1434" s="1">
        <v>250.18181818181799</v>
      </c>
      <c r="M1434" s="1">
        <v>80.363636363636402</v>
      </c>
      <c r="N1434" s="1"/>
      <c r="O1434" s="1">
        <v>2.9090909090909101</v>
      </c>
      <c r="P1434" s="1"/>
      <c r="Q1434" s="1">
        <v>526.26904237603105</v>
      </c>
      <c r="R1434" s="1">
        <v>1293</v>
      </c>
      <c r="S1434" t="s">
        <v>11</v>
      </c>
    </row>
    <row r="1435" spans="1:19" x14ac:dyDescent="0.55000000000000004">
      <c r="A1435" t="s">
        <v>32</v>
      </c>
      <c r="B1435">
        <v>2019</v>
      </c>
      <c r="C1435">
        <v>1180</v>
      </c>
      <c r="D1435" s="2">
        <v>0</v>
      </c>
      <c r="E1435" s="3">
        <v>1180</v>
      </c>
      <c r="F1435" t="s">
        <v>12</v>
      </c>
      <c r="G1435" t="s">
        <v>12</v>
      </c>
      <c r="H1435" s="1">
        <v>1781.87374120197</v>
      </c>
      <c r="I1435" s="1">
        <v>63.598336179399901</v>
      </c>
      <c r="J1435" s="1">
        <v>17.209782652454699</v>
      </c>
      <c r="K1435" s="1"/>
      <c r="L1435" s="1">
        <v>606.857142857143</v>
      </c>
      <c r="M1435" s="1">
        <v>236</v>
      </c>
      <c r="N1435" s="1"/>
      <c r="O1435" s="1"/>
      <c r="P1435" s="1"/>
      <c r="Q1435" s="1">
        <v>-2045.1642309280801</v>
      </c>
      <c r="R1435" s="1">
        <v>3886</v>
      </c>
      <c r="S1435" t="s">
        <v>11</v>
      </c>
    </row>
    <row r="1436" spans="1:19" x14ac:dyDescent="0.55000000000000004">
      <c r="A1436" t="s">
        <v>32</v>
      </c>
      <c r="B1436">
        <v>2018</v>
      </c>
      <c r="C1436">
        <v>141888</v>
      </c>
      <c r="D1436" s="2">
        <v>0</v>
      </c>
      <c r="E1436" s="3">
        <v>141888</v>
      </c>
      <c r="F1436" t="s">
        <v>12</v>
      </c>
      <c r="G1436" t="s">
        <v>12</v>
      </c>
      <c r="H1436" s="1">
        <v>5650.26473115521</v>
      </c>
      <c r="I1436" s="1">
        <v>257490.64690349999</v>
      </c>
      <c r="J1436" s="1">
        <v>58097.366685597</v>
      </c>
      <c r="K1436" s="1"/>
      <c r="L1436" s="1">
        <v>77100.939403418</v>
      </c>
      <c r="M1436" s="1">
        <v>1299.4588920619599</v>
      </c>
      <c r="N1436" s="1">
        <v>2234.3545775463199</v>
      </c>
      <c r="O1436" s="1"/>
      <c r="P1436" s="1"/>
      <c r="Q1436" s="1">
        <v>-281007.36925988301</v>
      </c>
      <c r="R1436" s="1">
        <v>543761</v>
      </c>
      <c r="S1436" t="s">
        <v>11</v>
      </c>
    </row>
    <row r="1437" spans="1:19" x14ac:dyDescent="0.55000000000000004">
      <c r="A1437" t="s">
        <v>32</v>
      </c>
      <c r="B1437">
        <v>2017</v>
      </c>
      <c r="C1437">
        <v>3223</v>
      </c>
      <c r="D1437" s="2">
        <v>726</v>
      </c>
      <c r="E1437" s="3">
        <v>3949</v>
      </c>
      <c r="F1437" t="s">
        <v>12</v>
      </c>
      <c r="G1437" t="s">
        <v>12</v>
      </c>
      <c r="H1437" s="1">
        <v>57.252860738223397</v>
      </c>
      <c r="I1437" s="1">
        <v>79.568791176284606</v>
      </c>
      <c r="J1437" s="1">
        <v>157.24945280760301</v>
      </c>
      <c r="K1437" s="1"/>
      <c r="L1437" s="1">
        <v>876.91543856082899</v>
      </c>
      <c r="M1437" s="1">
        <v>284.98932818375903</v>
      </c>
      <c r="N1437" s="1">
        <v>21.6198800691127</v>
      </c>
      <c r="O1437" s="1">
        <v>235.85323711759301</v>
      </c>
      <c r="P1437" s="1">
        <v>141.51194227055601</v>
      </c>
      <c r="Q1437" s="1">
        <v>-2143.8454035623399</v>
      </c>
      <c r="R1437" s="1">
        <v>5804</v>
      </c>
      <c r="S1437" t="s">
        <v>11</v>
      </c>
    </row>
    <row r="1438" spans="1:19" x14ac:dyDescent="0.55000000000000004">
      <c r="A1438" t="s">
        <v>32</v>
      </c>
      <c r="B1438">
        <v>2016</v>
      </c>
      <c r="C1438">
        <v>374</v>
      </c>
      <c r="D1438" s="2">
        <v>0</v>
      </c>
      <c r="E1438" s="3">
        <v>374</v>
      </c>
      <c r="F1438" t="s">
        <v>12</v>
      </c>
      <c r="G1438" t="s">
        <v>12</v>
      </c>
      <c r="H1438" s="1">
        <v>87.384273029622094</v>
      </c>
      <c r="I1438" s="1">
        <v>196.882019591914</v>
      </c>
      <c r="J1438" s="1">
        <v>286.55905808716199</v>
      </c>
      <c r="K1438" s="1"/>
      <c r="L1438" s="1">
        <v>105.377027027027</v>
      </c>
      <c r="M1438" s="1">
        <v>47.508108108108097</v>
      </c>
      <c r="N1438" s="1">
        <v>-49.277027027027003</v>
      </c>
      <c r="O1438" s="1">
        <v>2.0216216216216201</v>
      </c>
      <c r="P1438" s="1"/>
      <c r="Q1438" s="1">
        <v>-984.51854704210302</v>
      </c>
      <c r="R1438" s="1">
        <v>1050</v>
      </c>
      <c r="S1438" t="s">
        <v>11</v>
      </c>
    </row>
    <row r="1439" spans="1:19" x14ac:dyDescent="0.55000000000000004">
      <c r="A1439" t="s">
        <v>32</v>
      </c>
      <c r="B1439">
        <v>2015</v>
      </c>
      <c r="C1439">
        <v>7897</v>
      </c>
      <c r="D1439" s="2">
        <v>0</v>
      </c>
      <c r="E1439" s="3">
        <v>7897</v>
      </c>
      <c r="F1439" t="s">
        <v>12</v>
      </c>
      <c r="G1439" t="s">
        <v>12</v>
      </c>
      <c r="H1439" s="1">
        <v>1858.39804441619</v>
      </c>
      <c r="I1439" s="1">
        <v>1861.4143059448199</v>
      </c>
      <c r="J1439" s="1">
        <v>1263.90917835559</v>
      </c>
      <c r="K1439" s="1"/>
      <c r="L1439" s="1">
        <v>6447.1041257367397</v>
      </c>
      <c r="M1439" s="1">
        <v>1773.6561886051099</v>
      </c>
      <c r="N1439" s="1">
        <v>43.909626719057002</v>
      </c>
      <c r="O1439" s="1"/>
      <c r="P1439" s="1"/>
      <c r="Q1439" s="1">
        <v>-15671.4692735431</v>
      </c>
      <c r="R1439" s="1">
        <v>21145</v>
      </c>
      <c r="S1439" t="s">
        <v>11</v>
      </c>
    </row>
    <row r="1440" spans="1:19" x14ac:dyDescent="0.55000000000000004">
      <c r="A1440" t="s">
        <v>32</v>
      </c>
      <c r="B1440">
        <v>2014</v>
      </c>
      <c r="C1440">
        <v>114002</v>
      </c>
      <c r="D1440" s="2">
        <v>11</v>
      </c>
      <c r="E1440" s="3">
        <v>114013</v>
      </c>
      <c r="F1440" t="s">
        <v>12</v>
      </c>
      <c r="G1440" t="s">
        <v>12</v>
      </c>
      <c r="H1440" s="1">
        <v>5029.0167832758098</v>
      </c>
      <c r="I1440" s="1">
        <v>338374.54988419299</v>
      </c>
      <c r="J1440" s="1">
        <v>84580.677030424005</v>
      </c>
      <c r="K1440" s="1"/>
      <c r="L1440" s="1">
        <v>48857.967140081397</v>
      </c>
      <c r="M1440" s="1"/>
      <c r="N1440" s="1"/>
      <c r="O1440" s="1">
        <v>11.040932651895901</v>
      </c>
      <c r="P1440" s="1"/>
      <c r="Q1440" s="1">
        <v>-421436.916874944</v>
      </c>
      <c r="R1440" s="1">
        <v>590866</v>
      </c>
      <c r="S1440" t="s">
        <v>11</v>
      </c>
    </row>
    <row r="1441" spans="1:19" x14ac:dyDescent="0.55000000000000004">
      <c r="A1441" t="s">
        <v>32</v>
      </c>
      <c r="B1441">
        <v>2013</v>
      </c>
      <c r="C1441">
        <v>22594</v>
      </c>
      <c r="D1441" s="2">
        <v>835</v>
      </c>
      <c r="E1441" s="3">
        <v>23429</v>
      </c>
      <c r="F1441" t="s">
        <v>12</v>
      </c>
      <c r="G1441" t="s">
        <v>12</v>
      </c>
      <c r="H1441" s="1">
        <v>276.51656035036399</v>
      </c>
      <c r="I1441" s="1">
        <v>4766.5402396816799</v>
      </c>
      <c r="J1441" s="1">
        <v>3932.1237010096802</v>
      </c>
      <c r="K1441" s="1"/>
      <c r="L1441" s="1">
        <v>12166.030678528599</v>
      </c>
      <c r="M1441" s="1"/>
      <c r="N1441" s="1"/>
      <c r="O1441" s="1">
        <v>543.991668431829</v>
      </c>
      <c r="P1441" s="1"/>
      <c r="Q1441" s="1">
        <v>-14997.907975525201</v>
      </c>
      <c r="R1441" s="1">
        <v>45114</v>
      </c>
      <c r="S1441" t="s">
        <v>11</v>
      </c>
    </row>
    <row r="1442" spans="1:19" x14ac:dyDescent="0.55000000000000004">
      <c r="A1442" t="s">
        <v>32</v>
      </c>
      <c r="B1442">
        <v>2012</v>
      </c>
      <c r="C1442">
        <v>822</v>
      </c>
      <c r="D1442" s="2">
        <v>2</v>
      </c>
      <c r="E1442" s="3">
        <v>824</v>
      </c>
      <c r="F1442" t="s">
        <v>12</v>
      </c>
      <c r="G1442" t="s">
        <v>12</v>
      </c>
      <c r="H1442" s="1">
        <v>0</v>
      </c>
      <c r="I1442" s="1">
        <v>532.65354853932695</v>
      </c>
      <c r="J1442" s="1">
        <v>1043.1635631475201</v>
      </c>
      <c r="K1442" s="1">
        <v>631.39874999999995</v>
      </c>
      <c r="L1442" s="1">
        <v>147.703125</v>
      </c>
      <c r="M1442" s="1">
        <v>14.385</v>
      </c>
      <c r="N1442" s="1"/>
      <c r="O1442" s="1">
        <v>0.25687500000000002</v>
      </c>
      <c r="P1442" s="1"/>
      <c r="Q1442" s="1">
        <v>-3168.545104452</v>
      </c>
      <c r="R1442" s="1">
        <v>3194</v>
      </c>
      <c r="S1442" t="s">
        <v>11</v>
      </c>
    </row>
    <row r="1443" spans="1:19" x14ac:dyDescent="0.55000000000000004">
      <c r="A1443" t="s">
        <v>32</v>
      </c>
      <c r="B1443">
        <v>2011</v>
      </c>
      <c r="C1443">
        <v>16456</v>
      </c>
      <c r="D1443" s="2">
        <v>0</v>
      </c>
      <c r="E1443" s="3">
        <v>16456</v>
      </c>
      <c r="F1443" t="s">
        <v>12</v>
      </c>
      <c r="G1443" t="s">
        <v>12</v>
      </c>
      <c r="H1443" s="1">
        <v>7.1646298346305803</v>
      </c>
      <c r="I1443" s="1">
        <v>10559.9301565679</v>
      </c>
      <c r="J1443" s="1">
        <v>10370.5329880176</v>
      </c>
      <c r="K1443" s="1"/>
      <c r="L1443" s="1">
        <v>1906.8754829484999</v>
      </c>
      <c r="M1443" s="1">
        <v>704.87809923640896</v>
      </c>
      <c r="N1443" s="1">
        <v>388.23364059505298</v>
      </c>
      <c r="O1443" s="1"/>
      <c r="P1443" s="1"/>
      <c r="Q1443" s="1">
        <v>-22796.726570362</v>
      </c>
      <c r="R1443" s="1">
        <v>40394</v>
      </c>
      <c r="S1443" t="s">
        <v>11</v>
      </c>
    </row>
    <row r="1444" spans="1:19" x14ac:dyDescent="0.55000000000000004">
      <c r="A1444" t="s">
        <v>32</v>
      </c>
      <c r="B1444">
        <v>2010</v>
      </c>
      <c r="C1444">
        <v>552134</v>
      </c>
      <c r="D1444" s="2">
        <v>0</v>
      </c>
      <c r="E1444" s="3">
        <v>552134</v>
      </c>
      <c r="F1444" t="s">
        <v>12</v>
      </c>
      <c r="G1444" t="s">
        <v>12</v>
      </c>
      <c r="H1444" s="1">
        <v>0</v>
      </c>
      <c r="I1444" s="1">
        <v>464161.62781443202</v>
      </c>
      <c r="J1444" s="1"/>
      <c r="K1444" s="1"/>
      <c r="L1444" s="1">
        <v>61348.394898649902</v>
      </c>
      <c r="M1444" s="1"/>
      <c r="N1444" s="1"/>
      <c r="O1444" s="1"/>
      <c r="P1444" s="1"/>
      <c r="Q1444" s="1">
        <v>-307051.61818301002</v>
      </c>
      <c r="R1444" s="1">
        <v>1077644</v>
      </c>
      <c r="S1444" t="s">
        <v>11</v>
      </c>
    </row>
    <row r="1445" spans="1:19" x14ac:dyDescent="0.55000000000000004">
      <c r="A1445" t="s">
        <v>32</v>
      </c>
      <c r="B1445">
        <v>2009</v>
      </c>
      <c r="C1445">
        <v>5164</v>
      </c>
      <c r="D1445" s="2">
        <v>463</v>
      </c>
      <c r="E1445" s="3">
        <v>5627</v>
      </c>
      <c r="F1445" t="s">
        <v>12</v>
      </c>
      <c r="G1445" t="s">
        <v>12</v>
      </c>
      <c r="H1445" s="1">
        <v>0.680236129251933</v>
      </c>
      <c r="I1445" s="1">
        <v>342.98158208969897</v>
      </c>
      <c r="J1445" s="1">
        <v>476.041649375178</v>
      </c>
      <c r="K1445" s="1"/>
      <c r="L1445" s="1">
        <v>1393.97098122797</v>
      </c>
      <c r="M1445" s="1">
        <v>411.460611525535</v>
      </c>
      <c r="N1445" s="1">
        <v>184.14132305926699</v>
      </c>
      <c r="O1445" s="1">
        <v>197.264038035905</v>
      </c>
      <c r="P1445" s="1">
        <v>38.098204770882901</v>
      </c>
      <c r="Q1445" s="1">
        <v>-2165.8123374045399</v>
      </c>
      <c r="R1445" s="1">
        <v>8672</v>
      </c>
      <c r="S1445" t="s">
        <v>11</v>
      </c>
    </row>
    <row r="1446" spans="1:19" x14ac:dyDescent="0.55000000000000004">
      <c r="A1446" t="s">
        <v>32</v>
      </c>
      <c r="B1446">
        <v>2008</v>
      </c>
      <c r="C1446">
        <v>1350</v>
      </c>
      <c r="D1446" s="2">
        <v>0</v>
      </c>
      <c r="E1446" s="3">
        <v>1350</v>
      </c>
      <c r="F1446" t="s">
        <v>12</v>
      </c>
      <c r="G1446" t="s">
        <v>12</v>
      </c>
      <c r="H1446" s="1">
        <v>0</v>
      </c>
      <c r="I1446" s="1">
        <v>935.26005357859901</v>
      </c>
      <c r="J1446" s="1">
        <v>1000.2019160325</v>
      </c>
      <c r="K1446" s="1"/>
      <c r="L1446" s="1"/>
      <c r="M1446" s="1"/>
      <c r="N1446" s="1"/>
      <c r="O1446" s="1"/>
      <c r="P1446" s="1"/>
      <c r="Q1446" s="1">
        <v>-1381.0275585331799</v>
      </c>
      <c r="R1446" s="1">
        <v>4666</v>
      </c>
      <c r="S1446" t="s">
        <v>9</v>
      </c>
    </row>
    <row r="1447" spans="1:19" x14ac:dyDescent="0.55000000000000004">
      <c r="A1447" t="s">
        <v>32</v>
      </c>
      <c r="B1447">
        <v>2007</v>
      </c>
      <c r="C1447">
        <v>9979</v>
      </c>
      <c r="D1447" s="2">
        <v>0</v>
      </c>
      <c r="E1447" s="3">
        <v>9979</v>
      </c>
      <c r="F1447" t="s">
        <v>12</v>
      </c>
      <c r="G1447" t="s">
        <v>12</v>
      </c>
      <c r="H1447" s="1">
        <v>5257.6594318189</v>
      </c>
      <c r="I1447" s="1">
        <v>1648.0899919155399</v>
      </c>
      <c r="J1447" s="1">
        <v>2561.06406060366</v>
      </c>
      <c r="K1447" s="1"/>
      <c r="L1447" s="1"/>
      <c r="M1447" s="1"/>
      <c r="N1447" s="1"/>
      <c r="O1447" s="1"/>
      <c r="P1447" s="1"/>
      <c r="Q1447" s="1">
        <v>-11313.378309557</v>
      </c>
      <c r="R1447" s="1">
        <v>30759</v>
      </c>
      <c r="S1447" t="s">
        <v>9</v>
      </c>
    </row>
    <row r="1448" spans="1:19" x14ac:dyDescent="0.55000000000000004">
      <c r="A1448" t="s">
        <v>32</v>
      </c>
      <c r="B1448">
        <v>2006</v>
      </c>
      <c r="C1448">
        <v>107941</v>
      </c>
      <c r="D1448" s="2">
        <v>0</v>
      </c>
      <c r="E1448" s="3">
        <v>107941</v>
      </c>
      <c r="F1448" t="s">
        <v>12</v>
      </c>
      <c r="G1448" t="s">
        <v>12</v>
      </c>
      <c r="H1448" s="1">
        <v>1527.42118671201</v>
      </c>
      <c r="I1448" s="1">
        <v>123882.99568333699</v>
      </c>
      <c r="J1448" s="1">
        <v>27515.019114910701</v>
      </c>
      <c r="K1448" s="1"/>
      <c r="L1448" s="1"/>
      <c r="M1448" s="1"/>
      <c r="N1448" s="1"/>
      <c r="O1448" s="1"/>
      <c r="P1448" s="1"/>
      <c r="Q1448" s="1">
        <v>-69897.081814327496</v>
      </c>
      <c r="R1448" s="1">
        <v>330764</v>
      </c>
      <c r="S1448" t="s">
        <v>9</v>
      </c>
    </row>
    <row r="1449" spans="1:19" x14ac:dyDescent="0.55000000000000004">
      <c r="A1449" t="s">
        <v>32</v>
      </c>
      <c r="B1449">
        <v>2005</v>
      </c>
      <c r="C1449">
        <v>3590</v>
      </c>
      <c r="D1449" s="2">
        <v>869</v>
      </c>
      <c r="E1449" s="3">
        <v>4459</v>
      </c>
      <c r="F1449" t="s">
        <v>12</v>
      </c>
      <c r="G1449" t="s">
        <v>12</v>
      </c>
      <c r="H1449" s="1">
        <v>12.5914882405366</v>
      </c>
      <c r="I1449" s="1">
        <v>1004.65376343072</v>
      </c>
      <c r="J1449" s="1">
        <v>1755.89452382018</v>
      </c>
      <c r="K1449" s="1"/>
      <c r="L1449" s="1"/>
      <c r="M1449" s="1"/>
      <c r="N1449" s="1"/>
      <c r="O1449" s="1"/>
      <c r="P1449" s="1"/>
      <c r="Q1449" s="1">
        <v>-5581.3492850396497</v>
      </c>
      <c r="R1449" s="1">
        <v>12813</v>
      </c>
      <c r="S1449" t="s">
        <v>9</v>
      </c>
    </row>
    <row r="1450" spans="1:19" x14ac:dyDescent="0.55000000000000004">
      <c r="A1450" t="s">
        <v>32</v>
      </c>
      <c r="B1450">
        <v>2004</v>
      </c>
      <c r="C1450">
        <v>1323</v>
      </c>
      <c r="D1450" s="2">
        <v>0</v>
      </c>
      <c r="E1450" s="3">
        <v>1323</v>
      </c>
      <c r="F1450" t="s">
        <v>12</v>
      </c>
      <c r="G1450" t="s">
        <v>12</v>
      </c>
      <c r="H1450" s="1">
        <v>99.995053870924295</v>
      </c>
      <c r="I1450" s="1">
        <v>9536.6318134072208</v>
      </c>
      <c r="J1450" s="1">
        <v>2564.5949987070699</v>
      </c>
      <c r="K1450" s="1"/>
      <c r="L1450" s="1"/>
      <c r="M1450" s="1"/>
      <c r="N1450" s="1"/>
      <c r="O1450" s="1"/>
      <c r="P1450" s="1"/>
      <c r="Q1450" s="1">
        <v>-7348.8632538376896</v>
      </c>
      <c r="R1450" s="1">
        <v>20873</v>
      </c>
      <c r="S1450" t="s">
        <v>9</v>
      </c>
    </row>
    <row r="1451" spans="1:19" x14ac:dyDescent="0.55000000000000004">
      <c r="A1451" t="s">
        <v>32</v>
      </c>
      <c r="B1451">
        <v>2003</v>
      </c>
      <c r="C1451">
        <v>31345</v>
      </c>
      <c r="D1451" s="2">
        <v>0</v>
      </c>
      <c r="E1451" s="3">
        <v>31345</v>
      </c>
      <c r="F1451" t="s">
        <v>12</v>
      </c>
      <c r="G1451" t="s">
        <v>12</v>
      </c>
      <c r="H1451" s="1">
        <v>1392.90282623233</v>
      </c>
      <c r="I1451" s="1">
        <v>47465.594051434397</v>
      </c>
      <c r="J1451" s="1">
        <v>10804.6172672502</v>
      </c>
      <c r="K1451" s="1"/>
      <c r="L1451" s="1"/>
      <c r="M1451" s="1"/>
      <c r="N1451" s="1"/>
      <c r="O1451" s="1"/>
      <c r="P1451" s="1"/>
      <c r="Q1451" s="1">
        <v>-4756.5407709932797</v>
      </c>
      <c r="R1451" s="1">
        <v>95765</v>
      </c>
      <c r="S1451" t="s">
        <v>9</v>
      </c>
    </row>
    <row r="1452" spans="1:19" x14ac:dyDescent="0.55000000000000004">
      <c r="A1452" t="s">
        <v>32</v>
      </c>
      <c r="B1452">
        <v>2002</v>
      </c>
      <c r="C1452">
        <v>113408</v>
      </c>
      <c r="D1452" s="2">
        <v>32</v>
      </c>
      <c r="E1452" s="3">
        <v>113440</v>
      </c>
      <c r="F1452" t="s">
        <v>12</v>
      </c>
      <c r="G1452" t="s">
        <v>12</v>
      </c>
      <c r="H1452" s="1">
        <v>10.322347254484599</v>
      </c>
      <c r="I1452" s="1">
        <v>57957.308379690003</v>
      </c>
      <c r="J1452" s="1">
        <v>16560.294657285001</v>
      </c>
      <c r="K1452" s="1"/>
      <c r="L1452" s="1"/>
      <c r="M1452" s="1"/>
      <c r="N1452" s="1"/>
      <c r="O1452" s="1"/>
      <c r="P1452" s="1"/>
      <c r="Q1452" s="1">
        <v>-21746.770554273498</v>
      </c>
      <c r="R1452" s="1">
        <v>209715</v>
      </c>
      <c r="S1452" t="s">
        <v>9</v>
      </c>
    </row>
    <row r="1453" spans="1:19" x14ac:dyDescent="0.55000000000000004">
      <c r="A1453" t="s">
        <v>32</v>
      </c>
      <c r="B1453">
        <v>2001</v>
      </c>
      <c r="C1453">
        <v>6892</v>
      </c>
      <c r="D1453" s="2">
        <v>182</v>
      </c>
      <c r="E1453" s="3">
        <v>7074</v>
      </c>
      <c r="F1453" t="s">
        <v>12</v>
      </c>
      <c r="G1453" t="s">
        <v>12</v>
      </c>
      <c r="H1453" s="1">
        <v>21.178363065269899</v>
      </c>
      <c r="I1453" s="1">
        <v>1248.7483180541999</v>
      </c>
      <c r="J1453" s="1">
        <v>1345.9994297749299</v>
      </c>
      <c r="K1453" s="1"/>
      <c r="L1453" s="1"/>
      <c r="M1453" s="1"/>
      <c r="N1453" s="1"/>
      <c r="O1453" s="1"/>
      <c r="P1453" s="1"/>
      <c r="Q1453" s="1">
        <v>-11278.428144019599</v>
      </c>
      <c r="R1453" s="1">
        <v>20968</v>
      </c>
      <c r="S1453" t="s">
        <v>9</v>
      </c>
    </row>
    <row r="1454" spans="1:19" x14ac:dyDescent="0.55000000000000004">
      <c r="A1454" t="s">
        <v>32</v>
      </c>
      <c r="B1454">
        <v>2000</v>
      </c>
      <c r="C1454">
        <v>25465</v>
      </c>
      <c r="D1454" s="2">
        <v>0</v>
      </c>
      <c r="E1454" s="3">
        <v>25465</v>
      </c>
      <c r="F1454" t="s">
        <v>12</v>
      </c>
      <c r="G1454" t="s">
        <v>12</v>
      </c>
      <c r="H1454" s="1">
        <v>19.2846081912191</v>
      </c>
      <c r="I1454" s="1">
        <v>11908.202203946101</v>
      </c>
      <c r="J1454" s="1">
        <v>4442.6924972179304</v>
      </c>
      <c r="K1454" s="1"/>
      <c r="L1454" s="1"/>
      <c r="M1454" s="1"/>
      <c r="N1454" s="1"/>
      <c r="O1454" s="1"/>
      <c r="P1454" s="1"/>
      <c r="Q1454" s="1">
        <v>7598.19383632279</v>
      </c>
      <c r="R1454" s="1">
        <v>41835</v>
      </c>
      <c r="S1454" t="s">
        <v>9</v>
      </c>
    </row>
    <row r="1455" spans="1:19" x14ac:dyDescent="0.55000000000000004">
      <c r="A1455" t="s">
        <v>32</v>
      </c>
      <c r="B1455">
        <v>1999</v>
      </c>
      <c r="C1455">
        <v>18895</v>
      </c>
      <c r="D1455" s="2">
        <v>0</v>
      </c>
      <c r="E1455" s="3">
        <v>18895</v>
      </c>
      <c r="F1455" t="s">
        <v>12</v>
      </c>
      <c r="G1455" t="s">
        <v>12</v>
      </c>
      <c r="H1455" s="1">
        <v>1.1125193555820101</v>
      </c>
      <c r="I1455" s="1">
        <v>6286.12006868771</v>
      </c>
      <c r="J1455" s="1">
        <v>12784.694257519001</v>
      </c>
      <c r="K1455" s="1"/>
      <c r="L1455" s="1"/>
      <c r="M1455" s="1"/>
      <c r="N1455" s="1"/>
      <c r="O1455" s="1"/>
      <c r="P1455" s="1"/>
      <c r="Q1455" s="1">
        <v>-43957.953837030902</v>
      </c>
      <c r="R1455" s="1">
        <v>81925</v>
      </c>
      <c r="S1455" t="s">
        <v>9</v>
      </c>
    </row>
    <row r="1456" spans="1:19" x14ac:dyDescent="0.55000000000000004">
      <c r="A1456" t="s">
        <v>32</v>
      </c>
      <c r="B1456">
        <v>1998</v>
      </c>
      <c r="C1456">
        <v>34048</v>
      </c>
      <c r="D1456" s="2">
        <v>11</v>
      </c>
      <c r="E1456" s="3">
        <v>34059</v>
      </c>
      <c r="F1456" t="s">
        <v>12</v>
      </c>
      <c r="G1456" t="s">
        <v>12</v>
      </c>
      <c r="H1456" s="1">
        <v>144.36451581381999</v>
      </c>
      <c r="I1456" s="1">
        <v>41009.867996097397</v>
      </c>
      <c r="J1456" s="1">
        <v>9637.0119671043994</v>
      </c>
      <c r="K1456" s="1"/>
      <c r="L1456" s="1"/>
      <c r="M1456" s="1"/>
      <c r="N1456" s="1"/>
      <c r="O1456" s="1"/>
      <c r="P1456" s="1"/>
      <c r="Q1456" s="1">
        <v>-53831.506252131301</v>
      </c>
      <c r="R1456" s="1">
        <v>138682</v>
      </c>
      <c r="S1456" t="s">
        <v>9</v>
      </c>
    </row>
    <row r="1457" spans="1:19" x14ac:dyDescent="0.55000000000000004">
      <c r="A1457" t="s">
        <v>32</v>
      </c>
      <c r="B1457">
        <v>1997</v>
      </c>
      <c r="C1457">
        <v>2254</v>
      </c>
      <c r="D1457" s="2">
        <v>0</v>
      </c>
      <c r="E1457" s="3">
        <v>2254</v>
      </c>
      <c r="F1457" t="s">
        <v>12</v>
      </c>
      <c r="G1457" t="s">
        <v>12</v>
      </c>
      <c r="H1457" s="1">
        <v>185.62736253782001</v>
      </c>
      <c r="I1457" s="1">
        <v>2816.62266193919</v>
      </c>
      <c r="J1457" s="1">
        <v>261.783187105666</v>
      </c>
      <c r="K1457" s="1"/>
      <c r="L1457" s="1"/>
      <c r="M1457" s="1"/>
      <c r="N1457" s="1"/>
      <c r="O1457" s="1"/>
      <c r="P1457" s="1"/>
      <c r="Q1457" s="1">
        <v>-1206.7442131837099</v>
      </c>
      <c r="R1457" s="1">
        <v>6725</v>
      </c>
      <c r="S1457" t="s">
        <v>9</v>
      </c>
    </row>
    <row r="1458" spans="1:19" x14ac:dyDescent="0.55000000000000004">
      <c r="A1458" t="s">
        <v>32</v>
      </c>
      <c r="B1458">
        <v>1996</v>
      </c>
      <c r="C1458">
        <v>21654</v>
      </c>
      <c r="D1458" s="2">
        <v>0</v>
      </c>
      <c r="E1458" s="3">
        <v>21654</v>
      </c>
      <c r="F1458" t="s">
        <v>12</v>
      </c>
      <c r="G1458" t="s">
        <v>12</v>
      </c>
      <c r="H1458" s="1">
        <v>0.77899876317054595</v>
      </c>
      <c r="I1458" s="1">
        <v>1982.8574087391601</v>
      </c>
      <c r="J1458" s="1">
        <v>2240.8312667350701</v>
      </c>
      <c r="K1458" s="1"/>
      <c r="L1458" s="1"/>
      <c r="M1458" s="1"/>
      <c r="N1458" s="1"/>
      <c r="O1458" s="1"/>
      <c r="P1458" s="1"/>
      <c r="Q1458" s="1">
        <v>11876.779483447001</v>
      </c>
      <c r="R1458" s="1">
        <v>25878</v>
      </c>
      <c r="S1458" t="s">
        <v>9</v>
      </c>
    </row>
    <row r="1459" spans="1:19" x14ac:dyDescent="0.55000000000000004">
      <c r="A1459" t="s">
        <v>32</v>
      </c>
      <c r="B1459">
        <v>1995</v>
      </c>
      <c r="C1459">
        <v>48746</v>
      </c>
      <c r="D1459" s="2">
        <v>0</v>
      </c>
      <c r="E1459" s="3">
        <v>48746</v>
      </c>
      <c r="F1459" t="s">
        <v>12</v>
      </c>
      <c r="G1459" t="s">
        <v>12</v>
      </c>
      <c r="H1459" s="1">
        <v>1.95183313740188E-11</v>
      </c>
      <c r="I1459" s="1">
        <v>22075.066334104202</v>
      </c>
      <c r="J1459" s="1">
        <v>19491.490506395799</v>
      </c>
      <c r="K1459" s="1"/>
      <c r="L1459" s="1"/>
      <c r="M1459" s="1"/>
      <c r="N1459" s="1"/>
      <c r="O1459" s="1"/>
      <c r="P1459" s="1"/>
      <c r="Q1459" s="1">
        <v>25754.745108352799</v>
      </c>
      <c r="R1459" s="1">
        <v>90313</v>
      </c>
      <c r="S1459" t="s">
        <v>9</v>
      </c>
    </row>
    <row r="1460" spans="1:19" x14ac:dyDescent="0.55000000000000004">
      <c r="A1460" t="s">
        <v>32</v>
      </c>
      <c r="B1460">
        <v>1994</v>
      </c>
      <c r="C1460">
        <v>64038</v>
      </c>
      <c r="D1460" s="2">
        <v>0</v>
      </c>
      <c r="E1460" s="3">
        <v>64038</v>
      </c>
      <c r="F1460" t="s">
        <v>12</v>
      </c>
      <c r="G1460" t="s">
        <v>12</v>
      </c>
      <c r="H1460" s="1">
        <v>281.36387686380402</v>
      </c>
      <c r="I1460" s="1">
        <v>137734.48721866001</v>
      </c>
      <c r="J1460" s="1">
        <v>18836.3626890415</v>
      </c>
      <c r="K1460" s="1"/>
      <c r="L1460" s="1"/>
      <c r="M1460" s="1"/>
      <c r="N1460" s="1"/>
      <c r="O1460" s="1"/>
      <c r="P1460" s="1"/>
      <c r="Q1460" s="1">
        <v>-32187.148532104198</v>
      </c>
      <c r="R1460" s="1">
        <v>253077</v>
      </c>
      <c r="S1460" t="s">
        <v>9</v>
      </c>
    </row>
    <row r="1461" spans="1:19" x14ac:dyDescent="0.55000000000000004">
      <c r="A1461" t="s">
        <v>32</v>
      </c>
      <c r="B1461">
        <v>1993</v>
      </c>
      <c r="C1461">
        <v>10119</v>
      </c>
      <c r="D1461" s="2">
        <v>87</v>
      </c>
      <c r="E1461" s="3">
        <v>10206</v>
      </c>
      <c r="F1461" t="s">
        <v>12</v>
      </c>
      <c r="G1461" t="s">
        <v>12</v>
      </c>
      <c r="H1461" s="1">
        <v>61.656653096931301</v>
      </c>
      <c r="I1461" s="1">
        <v>10268.1361370674</v>
      </c>
      <c r="J1461" s="1">
        <v>784.64782776661798</v>
      </c>
      <c r="K1461" s="1"/>
      <c r="L1461" s="1"/>
      <c r="M1461" s="1"/>
      <c r="N1461" s="1"/>
      <c r="O1461" s="1"/>
      <c r="P1461" s="1"/>
      <c r="Q1461" s="1">
        <v>-2095.5725079086101</v>
      </c>
      <c r="R1461" s="1">
        <v>23416</v>
      </c>
      <c r="S1461" t="s">
        <v>9</v>
      </c>
    </row>
    <row r="1462" spans="1:19" x14ac:dyDescent="0.55000000000000004">
      <c r="A1462" t="s">
        <v>32</v>
      </c>
      <c r="B1462">
        <v>1992</v>
      </c>
      <c r="C1462">
        <v>5742</v>
      </c>
      <c r="D1462" s="2">
        <v>23</v>
      </c>
      <c r="E1462" s="3">
        <v>5765</v>
      </c>
      <c r="F1462" t="s">
        <v>12</v>
      </c>
      <c r="G1462" t="s">
        <v>12</v>
      </c>
      <c r="H1462" s="1">
        <v>91.682929855611405</v>
      </c>
      <c r="I1462" s="1">
        <v>24413.661398207802</v>
      </c>
      <c r="J1462" s="1">
        <v>14192.7363528394</v>
      </c>
      <c r="K1462" s="1"/>
      <c r="L1462" s="1"/>
      <c r="M1462" s="1"/>
      <c r="N1462" s="1"/>
      <c r="O1462" s="1"/>
      <c r="P1462" s="1"/>
      <c r="Q1462" s="1">
        <v>-1866.58978219391</v>
      </c>
      <c r="R1462" s="1">
        <v>46330</v>
      </c>
      <c r="S1462" t="s">
        <v>9</v>
      </c>
    </row>
    <row r="1463" spans="1:19" x14ac:dyDescent="0.55000000000000004">
      <c r="A1463" t="s">
        <v>32</v>
      </c>
      <c r="B1463">
        <v>1991</v>
      </c>
      <c r="C1463">
        <v>128253</v>
      </c>
      <c r="D1463" s="2">
        <v>0</v>
      </c>
      <c r="E1463" s="3">
        <v>128253</v>
      </c>
      <c r="F1463" t="s">
        <v>12</v>
      </c>
      <c r="G1463" t="s">
        <v>12</v>
      </c>
      <c r="H1463" s="1">
        <v>13.212415647896901</v>
      </c>
      <c r="I1463" s="1">
        <v>283009.78695067001</v>
      </c>
      <c r="J1463" s="1">
        <v>16193.1121405881</v>
      </c>
      <c r="K1463" s="1"/>
      <c r="L1463" s="1"/>
      <c r="M1463" s="1"/>
      <c r="N1463" s="1"/>
      <c r="O1463" s="1"/>
      <c r="P1463" s="1"/>
      <c r="Q1463" s="1">
        <v>-103343.499189647</v>
      </c>
      <c r="R1463" s="1">
        <v>530813</v>
      </c>
      <c r="S1463" t="s">
        <v>9</v>
      </c>
    </row>
    <row r="1464" spans="1:19" x14ac:dyDescent="0.55000000000000004">
      <c r="A1464" t="s">
        <v>32</v>
      </c>
      <c r="B1464">
        <v>1990</v>
      </c>
      <c r="C1464">
        <v>272041</v>
      </c>
      <c r="D1464" s="2">
        <v>116</v>
      </c>
      <c r="E1464" s="3">
        <v>272157</v>
      </c>
      <c r="F1464" t="s">
        <v>12</v>
      </c>
      <c r="G1464" t="s">
        <v>12</v>
      </c>
      <c r="H1464" s="1">
        <v>1571.3505690587201</v>
      </c>
      <c r="I1464" s="1">
        <v>494237.19690097403</v>
      </c>
      <c r="J1464" s="1">
        <v>50693.755303477898</v>
      </c>
      <c r="K1464" s="1"/>
      <c r="L1464" s="1"/>
      <c r="M1464" s="1"/>
      <c r="N1464" s="1"/>
      <c r="O1464" s="1"/>
      <c r="P1464" s="1"/>
      <c r="Q1464" s="1">
        <v>28526.321566054699</v>
      </c>
      <c r="R1464" s="1">
        <v>818659</v>
      </c>
      <c r="S1464" t="s">
        <v>9</v>
      </c>
    </row>
    <row r="1465" spans="1:19" x14ac:dyDescent="0.55000000000000004">
      <c r="A1465" t="s">
        <v>32</v>
      </c>
      <c r="B1465">
        <v>1989</v>
      </c>
      <c r="C1465">
        <v>5507</v>
      </c>
      <c r="D1465" s="2">
        <v>185</v>
      </c>
      <c r="E1465" s="3">
        <v>5692</v>
      </c>
      <c r="F1465" t="s">
        <v>12</v>
      </c>
      <c r="G1465" t="s">
        <v>12</v>
      </c>
      <c r="H1465" s="1">
        <v>0.77874593916897905</v>
      </c>
      <c r="I1465" s="1">
        <v>518.70553970853598</v>
      </c>
      <c r="J1465" s="1">
        <v>829.34709855695405</v>
      </c>
      <c r="K1465" s="1"/>
      <c r="L1465" s="1"/>
      <c r="M1465" s="1"/>
      <c r="N1465" s="1"/>
      <c r="O1465" s="1"/>
      <c r="P1465" s="1"/>
      <c r="Q1465" s="1">
        <v>6425.3609545681902</v>
      </c>
      <c r="R1465" s="1">
        <v>7041</v>
      </c>
      <c r="S1465" t="s">
        <v>9</v>
      </c>
    </row>
    <row r="1466" spans="1:19" x14ac:dyDescent="0.55000000000000004">
      <c r="A1466" t="s">
        <v>32</v>
      </c>
      <c r="B1466">
        <v>1988</v>
      </c>
      <c r="C1466">
        <v>16781</v>
      </c>
      <c r="D1466" s="2">
        <v>233</v>
      </c>
      <c r="E1466" s="3">
        <v>17014</v>
      </c>
      <c r="F1466" t="s">
        <v>12</v>
      </c>
      <c r="G1466" t="s">
        <v>12</v>
      </c>
      <c r="H1466" s="1">
        <v>0</v>
      </c>
      <c r="I1466" s="1">
        <v>13959.8030689959</v>
      </c>
      <c r="J1466" s="1">
        <v>2537.69702084149</v>
      </c>
      <c r="K1466" s="1"/>
      <c r="L1466" s="1"/>
      <c r="M1466" s="1"/>
      <c r="N1466" s="1"/>
      <c r="O1466" s="1"/>
      <c r="P1466" s="1"/>
      <c r="Q1466" s="1">
        <v>8007.3767526792199</v>
      </c>
      <c r="R1466" s="1">
        <v>33512</v>
      </c>
      <c r="S1466" t="s">
        <v>9</v>
      </c>
    </row>
    <row r="1467" spans="1:19" x14ac:dyDescent="0.55000000000000004">
      <c r="A1467" t="s">
        <v>32</v>
      </c>
      <c r="B1467">
        <v>1987</v>
      </c>
      <c r="C1467">
        <v>84315</v>
      </c>
      <c r="D1467" s="2">
        <v>94</v>
      </c>
      <c r="E1467" s="3">
        <v>84409</v>
      </c>
      <c r="F1467" t="s">
        <v>12</v>
      </c>
      <c r="G1467" t="s">
        <v>12</v>
      </c>
      <c r="H1467" s="1">
        <v>0</v>
      </c>
      <c r="I1467" s="1">
        <v>155622.70202699999</v>
      </c>
      <c r="J1467" s="1">
        <v>31307.852579852599</v>
      </c>
      <c r="K1467" s="1"/>
      <c r="L1467" s="1"/>
      <c r="M1467" s="1"/>
      <c r="N1467" s="1"/>
      <c r="O1467" s="1"/>
      <c r="P1467" s="1"/>
      <c r="Q1467" s="1">
        <v>999.92599531712801</v>
      </c>
      <c r="R1467" s="1">
        <v>271340</v>
      </c>
      <c r="S1467" t="s">
        <v>9</v>
      </c>
    </row>
    <row r="1468" spans="1:19" x14ac:dyDescent="0.55000000000000004">
      <c r="A1468" t="s">
        <v>32</v>
      </c>
      <c r="B1468">
        <v>1986</v>
      </c>
      <c r="C1468">
        <v>126166</v>
      </c>
      <c r="D1468" s="2">
        <v>2331</v>
      </c>
      <c r="E1468" s="3">
        <v>128497</v>
      </c>
      <c r="F1468" t="s">
        <v>12</v>
      </c>
      <c r="G1468" t="s">
        <v>12</v>
      </c>
      <c r="H1468" s="1">
        <v>0</v>
      </c>
      <c r="I1468" s="1">
        <v>354860.36986590101</v>
      </c>
      <c r="J1468" s="1">
        <v>31900.8575131445</v>
      </c>
      <c r="K1468" s="1"/>
      <c r="L1468" s="1"/>
      <c r="M1468" s="1"/>
      <c r="N1468" s="1"/>
      <c r="O1468" s="1"/>
      <c r="P1468" s="1"/>
      <c r="Q1468" s="1">
        <v>6531.3210454180398</v>
      </c>
      <c r="R1468" s="1">
        <v>515258</v>
      </c>
      <c r="S1468" t="s">
        <v>9</v>
      </c>
    </row>
    <row r="1469" spans="1:19" x14ac:dyDescent="0.55000000000000004">
      <c r="A1469" t="s">
        <v>32</v>
      </c>
      <c r="B1469">
        <v>1985</v>
      </c>
      <c r="C1469">
        <v>5620</v>
      </c>
      <c r="D1469" s="2">
        <v>815</v>
      </c>
      <c r="E1469" s="3">
        <v>6435</v>
      </c>
      <c r="F1469" t="s">
        <v>12</v>
      </c>
      <c r="G1469" t="s">
        <v>12</v>
      </c>
      <c r="H1469" s="1">
        <v>2.5490495812554101</v>
      </c>
      <c r="I1469" s="1">
        <v>33058.6880850179</v>
      </c>
      <c r="J1469" s="1">
        <v>1220.0050616184401</v>
      </c>
      <c r="K1469" s="1"/>
      <c r="L1469" s="1"/>
      <c r="M1469" s="1"/>
      <c r="N1469" s="1"/>
      <c r="O1469" s="1"/>
      <c r="P1469" s="1"/>
      <c r="Q1469" s="1">
        <v>-193.73107867886199</v>
      </c>
      <c r="R1469" s="1">
        <v>40910</v>
      </c>
      <c r="S1469" t="s">
        <v>9</v>
      </c>
    </row>
    <row r="1470" spans="1:19" x14ac:dyDescent="0.55000000000000004">
      <c r="A1470" t="s">
        <v>32</v>
      </c>
      <c r="B1470">
        <v>1984</v>
      </c>
      <c r="C1470">
        <v>17172</v>
      </c>
      <c r="D1470" s="2">
        <v>0</v>
      </c>
      <c r="E1470" s="3">
        <v>17172</v>
      </c>
      <c r="F1470" t="s">
        <v>12</v>
      </c>
      <c r="G1470" t="s">
        <v>12</v>
      </c>
      <c r="H1470" s="1">
        <v>0</v>
      </c>
      <c r="I1470" s="1">
        <v>68107.894618286606</v>
      </c>
      <c r="J1470" s="1">
        <v>4308.15036223471</v>
      </c>
      <c r="K1470" s="1"/>
      <c r="L1470" s="1"/>
      <c r="M1470" s="1"/>
      <c r="N1470" s="1"/>
      <c r="O1470" s="1"/>
      <c r="P1470" s="1"/>
      <c r="Q1470" s="1">
        <v>-1004.46844630608</v>
      </c>
      <c r="R1470" s="1">
        <v>90593</v>
      </c>
      <c r="S1470" t="s">
        <v>9</v>
      </c>
    </row>
    <row r="1471" spans="1:19" x14ac:dyDescent="0.55000000000000004">
      <c r="A1471" t="s">
        <v>32</v>
      </c>
      <c r="B1471">
        <v>1983</v>
      </c>
      <c r="C1471">
        <v>29831</v>
      </c>
      <c r="D1471" s="2">
        <v>7</v>
      </c>
      <c r="E1471" s="3">
        <v>29838</v>
      </c>
      <c r="F1471" t="s">
        <v>12</v>
      </c>
      <c r="G1471" t="s">
        <v>12</v>
      </c>
      <c r="H1471" s="1">
        <v>187.219712046128</v>
      </c>
      <c r="I1471" s="1">
        <v>61420.270907599901</v>
      </c>
      <c r="J1471" s="1">
        <v>7792.7499169264802</v>
      </c>
      <c r="K1471" s="1"/>
      <c r="L1471" s="1"/>
      <c r="M1471" s="1"/>
      <c r="N1471" s="1"/>
      <c r="O1471" s="1"/>
      <c r="P1471" s="1"/>
      <c r="Q1471" s="1">
        <v>1983.2040824101</v>
      </c>
      <c r="R1471" s="1">
        <v>99238</v>
      </c>
      <c r="S1471" t="s">
        <v>9</v>
      </c>
    </row>
    <row r="1472" spans="1:19" x14ac:dyDescent="0.55000000000000004">
      <c r="A1472" t="s">
        <v>32</v>
      </c>
      <c r="B1472">
        <v>1982</v>
      </c>
      <c r="C1472">
        <v>63271</v>
      </c>
      <c r="D1472" s="2">
        <v>35</v>
      </c>
      <c r="E1472" s="3">
        <v>63306</v>
      </c>
      <c r="F1472" t="s">
        <v>12</v>
      </c>
      <c r="G1472" t="s">
        <v>12</v>
      </c>
      <c r="H1472" s="1"/>
      <c r="I1472" s="1">
        <v>201984.254312623</v>
      </c>
      <c r="J1472" s="1">
        <v>19946.983980089099</v>
      </c>
      <c r="K1472" s="1"/>
      <c r="L1472" s="1"/>
      <c r="M1472" s="1"/>
      <c r="N1472" s="1"/>
      <c r="O1472" s="1"/>
      <c r="P1472" s="1"/>
      <c r="Q1472" s="1">
        <v>-1605.32110914892</v>
      </c>
      <c r="R1472" s="1">
        <v>286843</v>
      </c>
      <c r="S1472" t="s">
        <v>9</v>
      </c>
    </row>
    <row r="1473" spans="1:19" x14ac:dyDescent="0.55000000000000004">
      <c r="A1473" t="s">
        <v>32</v>
      </c>
      <c r="B1473">
        <v>1981</v>
      </c>
      <c r="C1473">
        <v>11359</v>
      </c>
      <c r="D1473" s="2">
        <v>170</v>
      </c>
      <c r="E1473" s="3">
        <v>11529</v>
      </c>
      <c r="F1473" t="s">
        <v>12</v>
      </c>
      <c r="G1473" t="s">
        <v>12</v>
      </c>
      <c r="H1473" s="1"/>
      <c r="I1473" s="1">
        <v>40799.174080639801</v>
      </c>
      <c r="J1473" s="1">
        <v>1251.53112118385</v>
      </c>
      <c r="K1473" s="1"/>
      <c r="L1473" s="1"/>
      <c r="M1473" s="1"/>
      <c r="N1473" s="1"/>
      <c r="O1473" s="1"/>
      <c r="P1473" s="1"/>
      <c r="Q1473" s="1">
        <v>-1089.1513015174401</v>
      </c>
      <c r="R1473" s="1">
        <v>54669</v>
      </c>
      <c r="S1473" t="s">
        <v>9</v>
      </c>
    </row>
    <row r="1474" spans="1:19" x14ac:dyDescent="0.55000000000000004">
      <c r="A1474" t="s">
        <v>32</v>
      </c>
      <c r="B1474">
        <v>1980</v>
      </c>
      <c r="C1474">
        <v>8309</v>
      </c>
      <c r="D1474" s="2">
        <v>81</v>
      </c>
      <c r="E1474" s="3">
        <v>8390</v>
      </c>
      <c r="F1474" t="s">
        <v>12</v>
      </c>
      <c r="G1474" t="s">
        <v>12</v>
      </c>
      <c r="H1474" s="1"/>
      <c r="I1474" s="1">
        <v>13677.949348542101</v>
      </c>
      <c r="J1474" s="1">
        <v>1666.9195838588801</v>
      </c>
      <c r="K1474" s="1"/>
      <c r="L1474" s="1"/>
      <c r="M1474" s="1"/>
      <c r="N1474" s="1"/>
      <c r="O1474" s="1"/>
      <c r="P1474" s="1"/>
      <c r="Q1474" s="1">
        <v>-14780.171763627401</v>
      </c>
      <c r="R1474" s="1">
        <v>38515</v>
      </c>
      <c r="S1474" t="s">
        <v>9</v>
      </c>
    </row>
    <row r="1475" spans="1:19" x14ac:dyDescent="0.55000000000000004">
      <c r="A1475" t="s">
        <v>32</v>
      </c>
      <c r="B1475">
        <v>1979</v>
      </c>
      <c r="C1475">
        <v>49306</v>
      </c>
      <c r="D1475" s="2">
        <v>15</v>
      </c>
      <c r="E1475" s="3">
        <v>49321</v>
      </c>
      <c r="F1475" t="s">
        <v>12</v>
      </c>
      <c r="G1475" t="s">
        <v>12</v>
      </c>
      <c r="H1475" s="1"/>
      <c r="I1475" s="1">
        <v>120369.989197533</v>
      </c>
      <c r="J1475" s="1">
        <v>9039.3214268599204</v>
      </c>
      <c r="K1475" s="1"/>
      <c r="L1475" s="1"/>
      <c r="M1475" s="1"/>
      <c r="N1475" s="1"/>
      <c r="O1475" s="1"/>
      <c r="P1475" s="1"/>
      <c r="Q1475" s="1">
        <v>-23488.928401000099</v>
      </c>
      <c r="R1475" s="1">
        <v>202219</v>
      </c>
      <c r="S1475" t="s">
        <v>9</v>
      </c>
    </row>
    <row r="1476" spans="1:19" x14ac:dyDescent="0.55000000000000004">
      <c r="A1476" t="s">
        <v>32</v>
      </c>
      <c r="B1476">
        <v>1978</v>
      </c>
      <c r="C1476">
        <v>62808</v>
      </c>
      <c r="D1476" s="2">
        <v>121</v>
      </c>
      <c r="E1476" s="3">
        <v>62929</v>
      </c>
      <c r="F1476" t="s">
        <v>12</v>
      </c>
      <c r="G1476" t="s">
        <v>12</v>
      </c>
      <c r="H1476" s="1"/>
      <c r="I1476" s="1">
        <v>174059.56960325901</v>
      </c>
      <c r="J1476" s="1">
        <v>11033.3701803477</v>
      </c>
      <c r="K1476" s="1"/>
      <c r="L1476" s="1"/>
      <c r="M1476" s="1"/>
      <c r="N1476" s="1"/>
      <c r="O1476" s="1"/>
      <c r="P1476" s="1"/>
      <c r="Q1476" s="1">
        <v>16838.175462436498</v>
      </c>
      <c r="R1476" s="1">
        <v>248022</v>
      </c>
      <c r="S1476" t="s">
        <v>9</v>
      </c>
    </row>
    <row r="1477" spans="1:19" x14ac:dyDescent="0.55000000000000004">
      <c r="A1477" t="s">
        <v>32</v>
      </c>
      <c r="B1477">
        <v>1977</v>
      </c>
      <c r="C1477">
        <v>5709</v>
      </c>
      <c r="D1477" s="2">
        <v>202</v>
      </c>
      <c r="E1477" s="3">
        <v>5911</v>
      </c>
      <c r="F1477" t="s">
        <v>12</v>
      </c>
      <c r="G1477" t="s">
        <v>12</v>
      </c>
      <c r="H1477" s="1"/>
      <c r="I1477" s="1">
        <v>21078.6887231623</v>
      </c>
      <c r="J1477" s="1">
        <v>716.20496558593402</v>
      </c>
      <c r="K1477" s="1"/>
      <c r="L1477" s="1"/>
      <c r="M1477" s="1"/>
      <c r="N1477" s="1"/>
      <c r="O1477" s="1"/>
      <c r="P1477" s="1"/>
      <c r="Q1477" s="1">
        <v>3686.6777194648198</v>
      </c>
      <c r="R1477" s="1">
        <v>27706</v>
      </c>
      <c r="S1477" t="s">
        <v>9</v>
      </c>
    </row>
    <row r="1478" spans="1:19" x14ac:dyDescent="0.55000000000000004">
      <c r="A1478" t="s">
        <v>32</v>
      </c>
      <c r="B1478">
        <v>1976</v>
      </c>
      <c r="C1478">
        <v>8306</v>
      </c>
      <c r="D1478" s="2">
        <v>183</v>
      </c>
      <c r="E1478" s="3">
        <v>8489</v>
      </c>
      <c r="F1478" t="s">
        <v>12</v>
      </c>
      <c r="G1478" t="s">
        <v>12</v>
      </c>
      <c r="H1478" s="1"/>
      <c r="I1478" s="1">
        <v>48247.632672111999</v>
      </c>
      <c r="J1478" s="1">
        <v>1525.4445740956801</v>
      </c>
      <c r="K1478" s="1"/>
      <c r="L1478" s="1"/>
      <c r="M1478" s="1"/>
      <c r="N1478" s="1"/>
      <c r="O1478" s="1"/>
      <c r="P1478" s="1"/>
      <c r="Q1478" s="1"/>
      <c r="R1478" s="1">
        <v>58262</v>
      </c>
      <c r="S1478" t="s">
        <v>12</v>
      </c>
    </row>
    <row r="1479" spans="1:19" x14ac:dyDescent="0.55000000000000004">
      <c r="A1479" t="s">
        <v>32</v>
      </c>
      <c r="B1479">
        <v>1975</v>
      </c>
      <c r="C1479">
        <v>36828</v>
      </c>
      <c r="D1479" s="2">
        <v>196</v>
      </c>
      <c r="E1479" s="3">
        <v>37024</v>
      </c>
      <c r="F1479" t="s">
        <v>12</v>
      </c>
      <c r="G1479" t="s">
        <v>12</v>
      </c>
      <c r="H1479" s="1"/>
      <c r="I1479" s="1">
        <v>91613.978502734302</v>
      </c>
      <c r="J1479" s="1">
        <v>5780.03808496291</v>
      </c>
      <c r="K1479" s="1"/>
      <c r="L1479" s="1"/>
      <c r="M1479" s="1"/>
      <c r="N1479" s="1"/>
      <c r="O1479" s="1"/>
      <c r="P1479" s="1"/>
      <c r="Q1479" s="1"/>
      <c r="R1479" s="1">
        <v>134418</v>
      </c>
      <c r="S1479" t="s">
        <v>11</v>
      </c>
    </row>
    <row r="1480" spans="1:19" x14ac:dyDescent="0.55000000000000004">
      <c r="A1480" t="s">
        <v>32</v>
      </c>
      <c r="B1480">
        <v>1974</v>
      </c>
      <c r="C1480">
        <v>44588</v>
      </c>
      <c r="D1480" s="2">
        <v>601</v>
      </c>
      <c r="E1480" s="3">
        <v>45189</v>
      </c>
      <c r="F1480" t="s">
        <v>12</v>
      </c>
      <c r="G1480" t="s">
        <v>12</v>
      </c>
      <c r="H1480" s="1"/>
      <c r="I1480" s="1">
        <v>172296</v>
      </c>
      <c r="J1480" s="1">
        <v>7494</v>
      </c>
      <c r="K1480" s="1"/>
      <c r="L1480" s="1"/>
      <c r="M1480" s="1"/>
      <c r="N1480" s="1"/>
      <c r="O1480" s="1"/>
      <c r="P1480" s="1"/>
      <c r="Q1480" s="1"/>
      <c r="R1480" s="1">
        <v>224979</v>
      </c>
      <c r="S1480" t="s">
        <v>12</v>
      </c>
    </row>
    <row r="1481" spans="1:19" x14ac:dyDescent="0.55000000000000004">
      <c r="A1481" t="s">
        <v>32</v>
      </c>
      <c r="B1481">
        <v>1973</v>
      </c>
      <c r="C1481">
        <v>2704</v>
      </c>
      <c r="D1481" s="2">
        <v>152</v>
      </c>
      <c r="E1481" s="3">
        <v>2856</v>
      </c>
      <c r="F1481" t="s">
        <v>12</v>
      </c>
      <c r="G1481" t="s">
        <v>12</v>
      </c>
      <c r="H1481" s="1"/>
      <c r="I1481" s="1">
        <v>12196.026508545499</v>
      </c>
      <c r="J1481" s="1">
        <v>182</v>
      </c>
      <c r="K1481" s="1"/>
      <c r="L1481" s="1"/>
      <c r="M1481" s="1"/>
      <c r="N1481" s="1"/>
      <c r="O1481" s="1"/>
      <c r="P1481" s="1"/>
      <c r="Q1481" s="1"/>
      <c r="R1481" s="1">
        <v>15234</v>
      </c>
      <c r="S1481" t="s">
        <v>12</v>
      </c>
    </row>
    <row r="1482" spans="1:19" x14ac:dyDescent="0.55000000000000004">
      <c r="A1482" t="s">
        <v>32</v>
      </c>
      <c r="B1482">
        <v>1972</v>
      </c>
      <c r="C1482">
        <v>2802</v>
      </c>
      <c r="D1482" s="2">
        <v>87</v>
      </c>
      <c r="E1482" s="3">
        <v>2889</v>
      </c>
      <c r="F1482" t="s">
        <v>12</v>
      </c>
      <c r="G1482" t="s">
        <v>12</v>
      </c>
      <c r="H1482" s="1"/>
      <c r="I1482" s="1">
        <v>21412.353266505401</v>
      </c>
      <c r="J1482" s="1">
        <v>2024</v>
      </c>
      <c r="K1482" s="1"/>
      <c r="L1482" s="1"/>
      <c r="M1482" s="1"/>
      <c r="N1482" s="1"/>
      <c r="O1482" s="1"/>
      <c r="P1482" s="1"/>
      <c r="Q1482" s="1"/>
      <c r="R1482" s="1">
        <v>26325</v>
      </c>
      <c r="S1482" t="s">
        <v>12</v>
      </c>
    </row>
    <row r="1483" spans="1:19" x14ac:dyDescent="0.55000000000000004">
      <c r="A1483" t="s">
        <v>32</v>
      </c>
      <c r="B1483">
        <v>1971</v>
      </c>
      <c r="C1483">
        <v>19028</v>
      </c>
      <c r="D1483" s="2">
        <v>0</v>
      </c>
      <c r="E1483" s="3">
        <v>19028</v>
      </c>
      <c r="F1483" t="s">
        <v>12</v>
      </c>
      <c r="G1483" t="s">
        <v>12</v>
      </c>
      <c r="H1483" s="1"/>
      <c r="I1483" s="1">
        <v>197191.37691500501</v>
      </c>
      <c r="J1483" s="1">
        <v>1940</v>
      </c>
      <c r="K1483" s="1"/>
      <c r="L1483" s="1"/>
      <c r="M1483" s="1"/>
      <c r="N1483" s="1"/>
      <c r="O1483" s="1"/>
      <c r="P1483" s="1"/>
      <c r="Q1483" s="1"/>
      <c r="R1483" s="1">
        <v>218159</v>
      </c>
      <c r="S1483" t="s">
        <v>12</v>
      </c>
    </row>
    <row r="1484" spans="1:19" x14ac:dyDescent="0.55000000000000004">
      <c r="A1484" t="s">
        <v>32</v>
      </c>
      <c r="B1484">
        <v>1970</v>
      </c>
      <c r="C1484">
        <v>11971</v>
      </c>
      <c r="D1484" s="2">
        <v>20</v>
      </c>
      <c r="E1484" s="3">
        <v>11991</v>
      </c>
      <c r="F1484" t="s">
        <v>12</v>
      </c>
      <c r="G1484" t="s">
        <v>12</v>
      </c>
      <c r="H1484" s="1"/>
      <c r="I1484" s="1">
        <v>122808</v>
      </c>
      <c r="J1484" s="1">
        <v>2628</v>
      </c>
      <c r="K1484" s="1"/>
      <c r="L1484" s="1"/>
      <c r="M1484" s="1"/>
      <c r="N1484" s="1"/>
      <c r="O1484" s="1"/>
      <c r="P1484" s="1"/>
      <c r="Q1484" s="1"/>
      <c r="R1484" s="1">
        <v>137427</v>
      </c>
      <c r="S1484" t="s">
        <v>12</v>
      </c>
    </row>
    <row r="1485" spans="1:19" x14ac:dyDescent="0.55000000000000004">
      <c r="A1485" t="s">
        <v>32</v>
      </c>
      <c r="B1485">
        <v>1969</v>
      </c>
      <c r="C1485">
        <v>7176</v>
      </c>
      <c r="D1485" s="2">
        <v>151</v>
      </c>
      <c r="E1485" s="3">
        <v>7327</v>
      </c>
      <c r="F1485" t="s">
        <v>12</v>
      </c>
      <c r="G1485" t="s">
        <v>12</v>
      </c>
      <c r="H1485" s="1"/>
      <c r="I1485" s="1">
        <v>28186.754526888999</v>
      </c>
      <c r="J1485" s="1">
        <v>356</v>
      </c>
      <c r="K1485" s="1"/>
      <c r="L1485" s="1"/>
      <c r="M1485" s="1"/>
      <c r="N1485" s="1"/>
      <c r="O1485" s="1"/>
      <c r="P1485" s="1"/>
      <c r="Q1485" s="1"/>
      <c r="R1485" s="1">
        <v>35870</v>
      </c>
      <c r="S1485" t="s">
        <v>12</v>
      </c>
    </row>
    <row r="1486" spans="1:19" x14ac:dyDescent="0.55000000000000004">
      <c r="A1486" t="s">
        <v>32</v>
      </c>
      <c r="B1486">
        <v>1968</v>
      </c>
      <c r="C1486">
        <v>3838</v>
      </c>
      <c r="D1486" s="2">
        <v>119</v>
      </c>
      <c r="E1486" s="3">
        <v>3957</v>
      </c>
      <c r="F1486" t="s">
        <v>12</v>
      </c>
      <c r="G1486" t="s">
        <v>12</v>
      </c>
      <c r="H1486" s="1"/>
      <c r="I1486" s="1">
        <v>15194.666821058499</v>
      </c>
      <c r="J1486" s="1">
        <v>306.24834680382003</v>
      </c>
      <c r="K1486" s="1"/>
      <c r="L1486" s="1"/>
      <c r="M1486" s="1"/>
      <c r="N1486" s="1"/>
      <c r="O1486" s="1"/>
      <c r="P1486" s="1"/>
      <c r="Q1486" s="1"/>
      <c r="R1486" s="1">
        <v>19458</v>
      </c>
      <c r="S1486" t="s">
        <v>12</v>
      </c>
    </row>
    <row r="1487" spans="1:19" x14ac:dyDescent="0.55000000000000004">
      <c r="A1487" t="s">
        <v>32</v>
      </c>
      <c r="B1487">
        <v>1967</v>
      </c>
      <c r="C1487">
        <v>13361</v>
      </c>
      <c r="D1487" s="2">
        <v>0</v>
      </c>
      <c r="E1487" s="3">
        <v>13361</v>
      </c>
      <c r="F1487" t="s">
        <v>12</v>
      </c>
      <c r="G1487" t="s">
        <v>12</v>
      </c>
      <c r="H1487" s="1"/>
      <c r="I1487" s="1">
        <v>101971.471904227</v>
      </c>
      <c r="J1487" s="1">
        <v>760.77224092779704</v>
      </c>
      <c r="K1487" s="1"/>
      <c r="L1487" s="1"/>
      <c r="M1487" s="1"/>
      <c r="N1487" s="1"/>
      <c r="O1487" s="1"/>
      <c r="P1487" s="1"/>
      <c r="Q1487" s="1"/>
      <c r="R1487" s="1">
        <v>116093</v>
      </c>
      <c r="S1487" t="s">
        <v>12</v>
      </c>
    </row>
    <row r="1488" spans="1:19" x14ac:dyDescent="0.55000000000000004">
      <c r="A1488" t="s">
        <v>32</v>
      </c>
      <c r="B1488">
        <v>1966</v>
      </c>
      <c r="C1488">
        <v>28698</v>
      </c>
      <c r="D1488" s="2">
        <v>56</v>
      </c>
      <c r="E1488" s="3">
        <v>28754</v>
      </c>
      <c r="F1488" t="s">
        <v>12</v>
      </c>
      <c r="G1488" t="s">
        <v>12</v>
      </c>
      <c r="H1488" s="1"/>
      <c r="I1488" s="1">
        <v>146327.94276823199</v>
      </c>
      <c r="J1488" s="1">
        <v>1925.7515897713399</v>
      </c>
      <c r="K1488" s="1"/>
      <c r="L1488" s="1"/>
      <c r="M1488" s="1"/>
      <c r="N1488" s="1"/>
      <c r="O1488" s="1"/>
      <c r="P1488" s="1"/>
      <c r="Q1488" s="1"/>
      <c r="R1488" s="1">
        <v>177008</v>
      </c>
      <c r="S1488" t="s">
        <v>12</v>
      </c>
    </row>
    <row r="1489" spans="1:19" x14ac:dyDescent="0.55000000000000004">
      <c r="A1489" t="s">
        <v>32</v>
      </c>
      <c r="B1489">
        <v>1965</v>
      </c>
      <c r="C1489">
        <v>6089</v>
      </c>
      <c r="D1489" s="2">
        <v>865</v>
      </c>
      <c r="E1489" s="3">
        <v>6954</v>
      </c>
      <c r="F1489" t="s">
        <v>12</v>
      </c>
      <c r="G1489" t="s">
        <v>12</v>
      </c>
      <c r="H1489" s="1"/>
      <c r="I1489" s="1">
        <v>21507.080334423801</v>
      </c>
      <c r="J1489" s="1">
        <v>1902</v>
      </c>
      <c r="K1489" s="1"/>
      <c r="L1489" s="1"/>
      <c r="M1489" s="1"/>
      <c r="N1489" s="1"/>
      <c r="O1489" s="1"/>
      <c r="P1489" s="1"/>
      <c r="Q1489" s="1"/>
      <c r="R1489" s="1">
        <v>30363</v>
      </c>
      <c r="S1489" t="s">
        <v>12</v>
      </c>
    </row>
    <row r="1490" spans="1:19" x14ac:dyDescent="0.55000000000000004">
      <c r="A1490" t="s">
        <v>32</v>
      </c>
      <c r="B1490">
        <v>1964</v>
      </c>
      <c r="C1490">
        <v>2745</v>
      </c>
      <c r="D1490" s="2">
        <v>39</v>
      </c>
      <c r="E1490" s="3">
        <v>2784</v>
      </c>
      <c r="F1490" t="s">
        <v>12</v>
      </c>
      <c r="G1490" t="s">
        <v>12</v>
      </c>
      <c r="H1490" s="1"/>
      <c r="I1490" s="1">
        <v>5563.56805518705</v>
      </c>
      <c r="J1490" s="1">
        <v>791.10214911116998</v>
      </c>
      <c r="K1490" s="1"/>
      <c r="L1490" s="1"/>
      <c r="M1490" s="1"/>
      <c r="N1490" s="1"/>
      <c r="O1490" s="1"/>
      <c r="P1490" s="1"/>
      <c r="Q1490" s="1"/>
      <c r="R1490" s="1">
        <v>9139</v>
      </c>
      <c r="S1490" t="s">
        <v>11</v>
      </c>
    </row>
    <row r="1491" spans="1:19" x14ac:dyDescent="0.55000000000000004">
      <c r="A1491" t="s">
        <v>32</v>
      </c>
      <c r="B1491">
        <v>1963</v>
      </c>
      <c r="C1491">
        <v>71654</v>
      </c>
      <c r="D1491" s="2">
        <v>36</v>
      </c>
      <c r="E1491" s="3">
        <v>71690</v>
      </c>
      <c r="F1491" t="s">
        <v>12</v>
      </c>
      <c r="G1491" t="s">
        <v>12</v>
      </c>
      <c r="H1491" s="1"/>
      <c r="I1491" s="1">
        <v>96291.881955872901</v>
      </c>
      <c r="J1491" s="1">
        <v>7780.6976095506398</v>
      </c>
      <c r="K1491" s="1"/>
      <c r="L1491" s="1"/>
      <c r="M1491" s="1"/>
      <c r="N1491" s="1"/>
      <c r="O1491" s="1"/>
      <c r="P1491" s="1"/>
      <c r="Q1491" s="1"/>
      <c r="R1491" s="1">
        <v>175763</v>
      </c>
      <c r="S1491" t="s">
        <v>12</v>
      </c>
    </row>
    <row r="1492" spans="1:19" x14ac:dyDescent="0.55000000000000004">
      <c r="A1492" t="s">
        <v>32</v>
      </c>
      <c r="B1492">
        <v>1962</v>
      </c>
      <c r="C1492">
        <v>57836</v>
      </c>
      <c r="D1492" s="2">
        <v>268</v>
      </c>
      <c r="E1492" s="3">
        <v>58104</v>
      </c>
      <c r="F1492" t="s">
        <v>12</v>
      </c>
      <c r="G1492" t="s">
        <v>12</v>
      </c>
      <c r="H1492" s="1"/>
      <c r="I1492" s="1">
        <v>140005.02635361801</v>
      </c>
      <c r="J1492" s="1">
        <v>3035.65459648162</v>
      </c>
      <c r="K1492" s="1"/>
      <c r="L1492" s="1"/>
      <c r="M1492" s="1"/>
      <c r="N1492" s="1"/>
      <c r="O1492" s="1"/>
      <c r="P1492" s="1"/>
      <c r="Q1492" s="1"/>
      <c r="R1492" s="1">
        <v>201145</v>
      </c>
      <c r="S1492" t="s">
        <v>12</v>
      </c>
    </row>
    <row r="1493" spans="1:19" x14ac:dyDescent="0.55000000000000004">
      <c r="A1493" t="s">
        <v>32</v>
      </c>
      <c r="B1493">
        <v>1961</v>
      </c>
      <c r="C1493">
        <v>3622</v>
      </c>
      <c r="D1493" s="2">
        <v>2200</v>
      </c>
      <c r="E1493" s="3">
        <v>5822</v>
      </c>
      <c r="F1493" t="s">
        <v>12</v>
      </c>
      <c r="G1493" t="s">
        <v>12</v>
      </c>
      <c r="H1493" s="1"/>
      <c r="I1493" s="1">
        <v>11204</v>
      </c>
      <c r="J1493" s="1">
        <v>913</v>
      </c>
      <c r="K1493" s="1"/>
      <c r="L1493" s="1"/>
      <c r="M1493" s="1"/>
      <c r="N1493" s="1"/>
      <c r="O1493" s="1"/>
      <c r="P1493" s="1"/>
      <c r="Q1493" s="1"/>
      <c r="R1493" s="1">
        <v>17939</v>
      </c>
      <c r="S1493" t="s">
        <v>12</v>
      </c>
    </row>
    <row r="1494" spans="1:19" x14ac:dyDescent="0.55000000000000004">
      <c r="A1494" t="s">
        <v>32</v>
      </c>
      <c r="B1494">
        <v>1960</v>
      </c>
      <c r="C1494">
        <v>2901</v>
      </c>
      <c r="D1494" s="2">
        <v>146</v>
      </c>
      <c r="E1494" s="3">
        <v>3047</v>
      </c>
      <c r="F1494" t="s">
        <v>12</v>
      </c>
      <c r="G1494" t="s">
        <v>12</v>
      </c>
      <c r="H1494" s="1"/>
      <c r="I1494" s="1">
        <v>8212.9339576145903</v>
      </c>
      <c r="J1494" s="1">
        <v>506.83218334154799</v>
      </c>
      <c r="K1494" s="1"/>
      <c r="L1494" s="1"/>
      <c r="M1494" s="1"/>
      <c r="N1494" s="1"/>
      <c r="O1494" s="1"/>
      <c r="P1494" s="1"/>
      <c r="Q1494" s="1"/>
      <c r="R1494" s="1">
        <v>11767</v>
      </c>
      <c r="S1494" t="s">
        <v>11</v>
      </c>
    </row>
    <row r="1495" spans="1:19" x14ac:dyDescent="0.55000000000000004">
      <c r="A1495" t="s">
        <v>32</v>
      </c>
      <c r="B1495">
        <v>1959</v>
      </c>
      <c r="C1495">
        <v>52310</v>
      </c>
      <c r="D1495" s="2">
        <v>15</v>
      </c>
      <c r="E1495" s="3">
        <v>52325</v>
      </c>
      <c r="F1495" t="s">
        <v>12</v>
      </c>
      <c r="G1495" t="s">
        <v>12</v>
      </c>
      <c r="H1495" s="1"/>
      <c r="I1495" s="1">
        <v>245760</v>
      </c>
      <c r="J1495" s="1">
        <v>3244</v>
      </c>
      <c r="K1495" s="1"/>
      <c r="L1495" s="1"/>
      <c r="M1495" s="1"/>
      <c r="N1495" s="1"/>
      <c r="O1495" s="1"/>
      <c r="P1495" s="1"/>
      <c r="Q1495" s="1"/>
      <c r="R1495" s="1">
        <v>301329</v>
      </c>
      <c r="S1495" t="s">
        <v>12</v>
      </c>
    </row>
    <row r="1496" spans="1:19" x14ac:dyDescent="0.55000000000000004">
      <c r="A1496" t="s">
        <v>32</v>
      </c>
      <c r="B1496">
        <v>1958</v>
      </c>
      <c r="C1496">
        <v>78371</v>
      </c>
      <c r="D1496" s="2">
        <v>207</v>
      </c>
      <c r="E1496" s="3">
        <v>78578</v>
      </c>
      <c r="F1496" t="s">
        <v>12</v>
      </c>
      <c r="G1496" t="s">
        <v>12</v>
      </c>
      <c r="H1496" s="1"/>
      <c r="I1496" s="1">
        <v>349307.71257530502</v>
      </c>
      <c r="J1496" s="1">
        <v>1448.9969371740999</v>
      </c>
      <c r="K1496" s="1"/>
      <c r="L1496" s="1"/>
      <c r="M1496" s="1"/>
      <c r="N1496" s="1"/>
      <c r="O1496" s="1"/>
      <c r="P1496" s="1"/>
      <c r="Q1496" s="1"/>
      <c r="R1496" s="1">
        <v>429335</v>
      </c>
      <c r="S1496" t="s">
        <v>12</v>
      </c>
    </row>
    <row r="1497" spans="1:19" x14ac:dyDescent="0.55000000000000004">
      <c r="A1497" t="s">
        <v>32</v>
      </c>
      <c r="B1497">
        <v>1957</v>
      </c>
      <c r="C1497">
        <v>10870</v>
      </c>
      <c r="D1497" s="2">
        <v>3425</v>
      </c>
      <c r="E1497" s="3">
        <v>14295</v>
      </c>
      <c r="F1497" t="s">
        <v>12</v>
      </c>
      <c r="G1497" t="s">
        <v>12</v>
      </c>
      <c r="H1497" s="1"/>
      <c r="I1497" s="1">
        <v>46378</v>
      </c>
      <c r="J1497" s="1">
        <v>280</v>
      </c>
      <c r="K1497" s="1"/>
      <c r="L1497" s="1"/>
      <c r="M1497" s="1"/>
      <c r="N1497" s="1"/>
      <c r="O1497" s="1"/>
      <c r="P1497" s="1"/>
      <c r="Q1497" s="1"/>
      <c r="R1497" s="1">
        <v>60953</v>
      </c>
      <c r="S1497" t="s">
        <v>12</v>
      </c>
    </row>
    <row r="1498" spans="1:19" x14ac:dyDescent="0.55000000000000004">
      <c r="A1498" t="s">
        <v>32</v>
      </c>
      <c r="B1498">
        <v>1956</v>
      </c>
      <c r="C1498">
        <v>2490</v>
      </c>
      <c r="D1498" s="2">
        <v>72</v>
      </c>
      <c r="E1498" s="3">
        <v>2562</v>
      </c>
      <c r="F1498" t="s">
        <v>12</v>
      </c>
      <c r="G1498" t="s">
        <v>12</v>
      </c>
      <c r="H1498" s="1"/>
      <c r="I1498" s="1">
        <v>8150.2802641232602</v>
      </c>
      <c r="J1498" s="1">
        <v>569.54218635363202</v>
      </c>
      <c r="K1498" s="1"/>
      <c r="L1498" s="1"/>
      <c r="M1498" s="1"/>
      <c r="N1498" s="1"/>
      <c r="O1498" s="1"/>
      <c r="P1498" s="1"/>
      <c r="Q1498" s="1"/>
      <c r="R1498" s="1">
        <v>11282</v>
      </c>
      <c r="S1498" t="s">
        <v>12</v>
      </c>
    </row>
    <row r="1499" spans="1:19" x14ac:dyDescent="0.55000000000000004">
      <c r="A1499" t="s">
        <v>32</v>
      </c>
      <c r="B1499">
        <v>1955</v>
      </c>
      <c r="C1499">
        <v>8971</v>
      </c>
      <c r="D1499" s="2">
        <v>40</v>
      </c>
      <c r="E1499" s="3">
        <v>9011</v>
      </c>
      <c r="F1499" t="s">
        <v>12</v>
      </c>
      <c r="G1499" t="s">
        <v>12</v>
      </c>
      <c r="H1499" s="1"/>
      <c r="I1499" s="1">
        <v>53543.637663489302</v>
      </c>
      <c r="J1499" s="1">
        <v>1801.80048769674</v>
      </c>
      <c r="K1499" s="1"/>
      <c r="L1499" s="1"/>
      <c r="M1499" s="1"/>
      <c r="N1499" s="1"/>
      <c r="O1499" s="1"/>
      <c r="P1499" s="1"/>
      <c r="Q1499" s="1"/>
      <c r="R1499" s="1">
        <v>64356</v>
      </c>
      <c r="S1499" t="s">
        <v>11</v>
      </c>
    </row>
    <row r="1500" spans="1:19" x14ac:dyDescent="0.55000000000000004">
      <c r="A1500" t="s">
        <v>32</v>
      </c>
      <c r="B1500">
        <v>1954</v>
      </c>
      <c r="C1500">
        <v>24774</v>
      </c>
      <c r="D1500" s="2">
        <v>102</v>
      </c>
      <c r="E1500" s="3">
        <v>24876</v>
      </c>
      <c r="F1500" t="s">
        <v>12</v>
      </c>
      <c r="G1500" t="s">
        <v>12</v>
      </c>
      <c r="H1500" s="1"/>
      <c r="I1500" s="1">
        <v>139257.43098184199</v>
      </c>
      <c r="J1500" s="1">
        <v>630.59440784187598</v>
      </c>
      <c r="K1500" s="1"/>
      <c r="L1500" s="1"/>
      <c r="M1500" s="1"/>
      <c r="N1500" s="1"/>
      <c r="O1500" s="1"/>
      <c r="P1500" s="1"/>
      <c r="Q1500" s="1"/>
      <c r="R1500" s="1">
        <v>164764</v>
      </c>
      <c r="S1500" t="s">
        <v>12</v>
      </c>
    </row>
    <row r="1501" spans="1:19" x14ac:dyDescent="0.55000000000000004">
      <c r="A1501" t="s">
        <v>32</v>
      </c>
      <c r="B1501">
        <v>1953</v>
      </c>
      <c r="C1501">
        <v>5692</v>
      </c>
      <c r="D1501" s="2">
        <v>255</v>
      </c>
      <c r="E1501" s="3">
        <v>5947</v>
      </c>
      <c r="F1501" t="s">
        <v>12</v>
      </c>
      <c r="G1501" t="s">
        <v>12</v>
      </c>
      <c r="H1501" s="1"/>
      <c r="I1501" s="1">
        <v>18554</v>
      </c>
      <c r="J1501" s="1">
        <v>391</v>
      </c>
      <c r="K1501" s="1"/>
      <c r="L1501" s="1"/>
      <c r="M1501" s="1"/>
      <c r="N1501" s="1"/>
      <c r="O1501" s="1"/>
      <c r="P1501" s="1"/>
      <c r="Q1501" s="1"/>
      <c r="R1501" s="1">
        <v>24892</v>
      </c>
      <c r="S1501" t="s">
        <v>12</v>
      </c>
    </row>
    <row r="1502" spans="1:19" x14ac:dyDescent="0.55000000000000004">
      <c r="A1502" t="s">
        <v>32</v>
      </c>
      <c r="B1502">
        <v>1952</v>
      </c>
      <c r="C1502">
        <v>5963</v>
      </c>
      <c r="D1502" s="2">
        <v>465</v>
      </c>
      <c r="E1502" s="3">
        <v>6428</v>
      </c>
      <c r="F1502" t="s">
        <v>12</v>
      </c>
      <c r="G1502" t="s">
        <v>12</v>
      </c>
      <c r="H1502" s="1"/>
      <c r="I1502" s="1">
        <v>21811.1179426544</v>
      </c>
      <c r="J1502" s="1">
        <v>1153.3538279633401</v>
      </c>
      <c r="K1502" s="1"/>
      <c r="L1502" s="1"/>
      <c r="M1502" s="1"/>
      <c r="N1502" s="1"/>
      <c r="O1502" s="1"/>
      <c r="P1502" s="1"/>
      <c r="Q1502" s="1"/>
      <c r="R1502" s="1">
        <v>29392</v>
      </c>
      <c r="S1502" t="s">
        <v>12</v>
      </c>
    </row>
    <row r="1503" spans="1:19" x14ac:dyDescent="0.55000000000000004">
      <c r="A1503" t="s">
        <v>33</v>
      </c>
      <c r="B1503">
        <v>2023</v>
      </c>
      <c r="C1503">
        <v>107430</v>
      </c>
      <c r="D1503" s="2">
        <v>150</v>
      </c>
      <c r="E1503" s="3">
        <v>107580</v>
      </c>
      <c r="F1503" t="s">
        <v>12</v>
      </c>
      <c r="G1503" t="s">
        <v>12</v>
      </c>
      <c r="H1503" s="1">
        <v>945.77139238175801</v>
      </c>
      <c r="I1503" s="1">
        <v>1556.2021633535901</v>
      </c>
      <c r="J1503" s="1">
        <v>1134.92075980202</v>
      </c>
      <c r="K1503" s="1"/>
      <c r="L1503" s="1">
        <v>46041</v>
      </c>
      <c r="M1503" s="1"/>
      <c r="N1503" s="1">
        <v>948</v>
      </c>
      <c r="O1503" s="1">
        <v>64</v>
      </c>
      <c r="P1503" s="1"/>
      <c r="Q1503" s="1">
        <v>23438.4369644818</v>
      </c>
      <c r="R1503" s="1">
        <v>158270</v>
      </c>
      <c r="S1503" t="s">
        <v>11</v>
      </c>
    </row>
    <row r="1504" spans="1:19" x14ac:dyDescent="0.55000000000000004">
      <c r="A1504" t="s">
        <v>33</v>
      </c>
      <c r="B1504">
        <v>2022</v>
      </c>
      <c r="C1504">
        <v>125931</v>
      </c>
      <c r="D1504" s="2">
        <v>0</v>
      </c>
      <c r="E1504" s="3">
        <v>125931</v>
      </c>
      <c r="F1504" t="s">
        <v>12</v>
      </c>
      <c r="G1504" t="s">
        <v>12</v>
      </c>
      <c r="H1504" s="1">
        <v>0</v>
      </c>
      <c r="I1504" s="1">
        <v>23112.425385759499</v>
      </c>
      <c r="J1504" s="1">
        <v>9641.9735225614095</v>
      </c>
      <c r="K1504" s="1"/>
      <c r="L1504" s="1">
        <v>54434.176722624201</v>
      </c>
      <c r="M1504" s="1">
        <v>1081.0962047247799</v>
      </c>
      <c r="N1504" s="1">
        <v>9805.5425768537407</v>
      </c>
      <c r="O1504" s="1"/>
      <c r="P1504" s="1"/>
      <c r="Q1504" s="1">
        <v>16566.054442072498</v>
      </c>
      <c r="R1504" s="1">
        <v>224006</v>
      </c>
      <c r="S1504" t="s">
        <v>11</v>
      </c>
    </row>
    <row r="1505" spans="1:19" x14ac:dyDescent="0.55000000000000004">
      <c r="A1505" t="s">
        <v>33</v>
      </c>
      <c r="B1505">
        <v>2021</v>
      </c>
      <c r="C1505">
        <v>117701</v>
      </c>
      <c r="D1505" s="2">
        <v>8</v>
      </c>
      <c r="E1505" s="3">
        <v>117709</v>
      </c>
      <c r="F1505" t="s">
        <v>12</v>
      </c>
      <c r="G1505" t="s">
        <v>12</v>
      </c>
      <c r="H1505" s="1">
        <v>1024.2239889033799</v>
      </c>
      <c r="I1505" s="1">
        <v>596.03633126502996</v>
      </c>
      <c r="J1505" s="1">
        <v>993.79325839912303</v>
      </c>
      <c r="K1505" s="1"/>
      <c r="L1505" s="1">
        <v>13103.8965887839</v>
      </c>
      <c r="M1505" s="1">
        <v>233.07325948429801</v>
      </c>
      <c r="N1505" s="1">
        <v>3152.4652404607</v>
      </c>
      <c r="O1505" s="1">
        <v>0.996039570445718</v>
      </c>
      <c r="P1505" s="1"/>
      <c r="Q1505" s="1">
        <v>81557.776292535505</v>
      </c>
      <c r="R1505" s="1">
        <v>136813</v>
      </c>
      <c r="S1505" t="s">
        <v>11</v>
      </c>
    </row>
    <row r="1506" spans="1:19" x14ac:dyDescent="0.55000000000000004">
      <c r="A1506" t="s">
        <v>33</v>
      </c>
      <c r="B1506">
        <v>2020</v>
      </c>
      <c r="C1506">
        <v>44371</v>
      </c>
      <c r="D1506" s="2">
        <v>40</v>
      </c>
      <c r="E1506" s="3">
        <v>44411</v>
      </c>
      <c r="F1506" t="s">
        <v>12</v>
      </c>
      <c r="G1506" t="s">
        <v>12</v>
      </c>
      <c r="H1506" s="1">
        <v>807.98956796120001</v>
      </c>
      <c r="I1506" s="1">
        <v>420.31882899802002</v>
      </c>
      <c r="J1506" s="1">
        <v>1531.2662019203699</v>
      </c>
      <c r="K1506" s="1"/>
      <c r="L1506" s="1">
        <v>7830</v>
      </c>
      <c r="M1506" s="1"/>
      <c r="N1506" s="1">
        <v>2862</v>
      </c>
      <c r="O1506" s="1">
        <v>7</v>
      </c>
      <c r="P1506" s="1"/>
      <c r="Q1506" s="1">
        <v>26056.915931572901</v>
      </c>
      <c r="R1506" s="1">
        <v>57870</v>
      </c>
      <c r="S1506" t="s">
        <v>11</v>
      </c>
    </row>
    <row r="1507" spans="1:19" x14ac:dyDescent="0.55000000000000004">
      <c r="A1507" t="s">
        <v>33</v>
      </c>
      <c r="B1507">
        <v>2019</v>
      </c>
      <c r="C1507">
        <v>46103</v>
      </c>
      <c r="D1507" s="2">
        <v>38</v>
      </c>
      <c r="E1507" s="3">
        <v>46141</v>
      </c>
      <c r="F1507" t="s">
        <v>12</v>
      </c>
      <c r="G1507" t="s">
        <v>12</v>
      </c>
      <c r="H1507" s="1">
        <v>4260.5152600700003</v>
      </c>
      <c r="I1507" s="1">
        <v>783.33521852927004</v>
      </c>
      <c r="J1507" s="1">
        <v>1245.0611465806101</v>
      </c>
      <c r="K1507" s="1"/>
      <c r="L1507" s="1">
        <v>30735</v>
      </c>
      <c r="M1507" s="1"/>
      <c r="N1507" s="1">
        <v>2612</v>
      </c>
      <c r="O1507" s="1">
        <v>25</v>
      </c>
      <c r="P1507" s="1"/>
      <c r="Q1507" s="1">
        <v>7087.0275082759699</v>
      </c>
      <c r="R1507" s="1">
        <v>85802</v>
      </c>
      <c r="S1507" t="s">
        <v>11</v>
      </c>
    </row>
    <row r="1508" spans="1:19" x14ac:dyDescent="0.55000000000000004">
      <c r="A1508" t="s">
        <v>33</v>
      </c>
      <c r="B1508">
        <v>2018</v>
      </c>
      <c r="C1508">
        <v>177199</v>
      </c>
      <c r="D1508" s="2">
        <v>53</v>
      </c>
      <c r="E1508" s="3">
        <v>177252</v>
      </c>
      <c r="F1508" t="s">
        <v>12</v>
      </c>
      <c r="G1508" t="s">
        <v>12</v>
      </c>
      <c r="H1508" s="1">
        <v>2069.979387803</v>
      </c>
      <c r="I1508" s="1">
        <v>126100.72813735899</v>
      </c>
      <c r="J1508" s="1">
        <v>18925.0885174207</v>
      </c>
      <c r="K1508" s="1"/>
      <c r="L1508" s="1">
        <v>44300</v>
      </c>
      <c r="M1508" s="1"/>
      <c r="N1508" s="1">
        <v>30039</v>
      </c>
      <c r="O1508" s="1">
        <v>13</v>
      </c>
      <c r="P1508" s="1"/>
      <c r="Q1508" s="1">
        <v>101990.5068557</v>
      </c>
      <c r="R1508" s="1">
        <v>398700</v>
      </c>
      <c r="S1508" t="s">
        <v>11</v>
      </c>
    </row>
    <row r="1509" spans="1:19" x14ac:dyDescent="0.55000000000000004">
      <c r="A1509" t="s">
        <v>33</v>
      </c>
      <c r="B1509">
        <v>2017</v>
      </c>
      <c r="C1509">
        <v>90998</v>
      </c>
      <c r="D1509" s="2">
        <v>393</v>
      </c>
      <c r="E1509" s="3">
        <v>91391</v>
      </c>
      <c r="F1509" t="s">
        <v>12</v>
      </c>
      <c r="G1509" t="s">
        <v>12</v>
      </c>
      <c r="H1509" s="1">
        <v>39.791833760999999</v>
      </c>
      <c r="I1509" s="1">
        <v>1625.1939074352899</v>
      </c>
      <c r="J1509" s="1">
        <v>2475.8266959215098</v>
      </c>
      <c r="K1509" s="1">
        <v>900</v>
      </c>
      <c r="L1509" s="1">
        <v>16058</v>
      </c>
      <c r="M1509" s="1"/>
      <c r="N1509" s="1">
        <v>3075</v>
      </c>
      <c r="O1509" s="1">
        <v>69</v>
      </c>
      <c r="P1509" s="1"/>
      <c r="Q1509" s="1">
        <v>44170.734832937298</v>
      </c>
      <c r="R1509" s="1">
        <v>115634</v>
      </c>
      <c r="S1509" t="s">
        <v>11</v>
      </c>
    </row>
    <row r="1510" spans="1:19" x14ac:dyDescent="0.55000000000000004">
      <c r="A1510" t="s">
        <v>33</v>
      </c>
      <c r="B1510">
        <v>2016</v>
      </c>
      <c r="C1510">
        <v>30119</v>
      </c>
      <c r="D1510" s="2">
        <v>188</v>
      </c>
      <c r="E1510" s="3">
        <v>30307</v>
      </c>
      <c r="F1510" t="s">
        <v>12</v>
      </c>
      <c r="G1510" t="s">
        <v>12</v>
      </c>
      <c r="H1510" s="1">
        <v>3051.1126983270401</v>
      </c>
      <c r="I1510" s="1">
        <v>5085.07839651414</v>
      </c>
      <c r="J1510" s="1">
        <v>6546.6405256757598</v>
      </c>
      <c r="K1510" s="1"/>
      <c r="L1510" s="1">
        <v>7529.9999668027804</v>
      </c>
      <c r="M1510" s="1"/>
      <c r="N1510" s="1">
        <v>2146.71490223417</v>
      </c>
      <c r="O1510" s="1">
        <v>46.9937589217541</v>
      </c>
      <c r="P1510" s="1"/>
      <c r="Q1510" s="1">
        <v>-3463.4346331020902</v>
      </c>
      <c r="R1510" s="1">
        <v>54714</v>
      </c>
      <c r="S1510" t="s">
        <v>11</v>
      </c>
    </row>
    <row r="1511" spans="1:19" x14ac:dyDescent="0.55000000000000004">
      <c r="A1511" t="s">
        <v>33</v>
      </c>
      <c r="B1511">
        <v>2015</v>
      </c>
      <c r="C1511">
        <v>101255</v>
      </c>
      <c r="D1511" s="2">
        <v>50</v>
      </c>
      <c r="E1511" s="3">
        <v>101305</v>
      </c>
      <c r="F1511" t="s">
        <v>12</v>
      </c>
      <c r="G1511" t="s">
        <v>12</v>
      </c>
      <c r="H1511" s="1">
        <v>10378.9226858192</v>
      </c>
      <c r="I1511" s="1">
        <v>14157.1264791746</v>
      </c>
      <c r="J1511" s="1">
        <v>7882.6842222158803</v>
      </c>
      <c r="K1511" s="1">
        <v>1760.9652073550899</v>
      </c>
      <c r="L1511" s="1">
        <v>33751.999615278401</v>
      </c>
      <c r="M1511" s="1"/>
      <c r="N1511" s="1">
        <v>2451.1676794381101</v>
      </c>
      <c r="O1511" s="1">
        <v>16.980379197411501</v>
      </c>
      <c r="P1511" s="1"/>
      <c r="Q1511" s="1">
        <v>473.44898937457799</v>
      </c>
      <c r="R1511" s="1">
        <v>171705</v>
      </c>
      <c r="S1511" t="s">
        <v>11</v>
      </c>
    </row>
    <row r="1512" spans="1:19" x14ac:dyDescent="0.55000000000000004">
      <c r="A1512" t="s">
        <v>33</v>
      </c>
      <c r="B1512">
        <v>2014</v>
      </c>
      <c r="C1512">
        <v>506157</v>
      </c>
      <c r="D1512" s="2">
        <v>0</v>
      </c>
      <c r="E1512" s="3">
        <v>506157</v>
      </c>
      <c r="F1512" t="s">
        <v>12</v>
      </c>
      <c r="G1512" t="s">
        <v>12</v>
      </c>
      <c r="H1512" s="1">
        <v>23914.599057372001</v>
      </c>
      <c r="I1512" s="1">
        <v>709087.52917251003</v>
      </c>
      <c r="J1512" s="1">
        <v>91899.529018242902</v>
      </c>
      <c r="K1512" s="1"/>
      <c r="L1512" s="1">
        <v>168719</v>
      </c>
      <c r="M1512" s="1"/>
      <c r="N1512" s="1">
        <v>47238.808039749703</v>
      </c>
      <c r="O1512" s="1"/>
      <c r="P1512" s="1"/>
      <c r="Q1512" s="1">
        <v>67201.655345415493</v>
      </c>
      <c r="R1512" s="1">
        <v>1547016</v>
      </c>
      <c r="S1512" t="s">
        <v>11</v>
      </c>
    </row>
    <row r="1513" spans="1:19" x14ac:dyDescent="0.55000000000000004">
      <c r="A1513" t="s">
        <v>33</v>
      </c>
      <c r="B1513">
        <v>2013</v>
      </c>
      <c r="C1513">
        <v>97757</v>
      </c>
      <c r="D1513" s="2">
        <v>12291</v>
      </c>
      <c r="E1513" s="3">
        <v>110048</v>
      </c>
      <c r="F1513" t="s">
        <v>12</v>
      </c>
      <c r="G1513" t="s">
        <v>12</v>
      </c>
      <c r="H1513" s="1">
        <v>1814.1331056142899</v>
      </c>
      <c r="I1513" s="1">
        <v>21120.983538199001</v>
      </c>
      <c r="J1513" s="1">
        <v>8717.7159041975501</v>
      </c>
      <c r="K1513" s="1"/>
      <c r="L1513" s="1">
        <v>32585.333779421399</v>
      </c>
      <c r="M1513" s="1"/>
      <c r="N1513" s="1">
        <v>3293.58640487087</v>
      </c>
      <c r="O1513" s="1">
        <v>4097.5091022392899</v>
      </c>
      <c r="P1513" s="1"/>
      <c r="Q1513" s="1">
        <v>62060.035793202303</v>
      </c>
      <c r="R1513" s="1">
        <v>181677</v>
      </c>
      <c r="S1513" t="s">
        <v>11</v>
      </c>
    </row>
    <row r="1514" spans="1:19" x14ac:dyDescent="0.55000000000000004">
      <c r="A1514" t="s">
        <v>33</v>
      </c>
      <c r="B1514">
        <v>2012</v>
      </c>
      <c r="C1514">
        <v>137992</v>
      </c>
      <c r="D1514" s="2">
        <v>0</v>
      </c>
      <c r="E1514" s="3">
        <v>137992</v>
      </c>
      <c r="F1514" t="s">
        <v>12</v>
      </c>
      <c r="G1514" t="s">
        <v>12</v>
      </c>
      <c r="H1514" s="1">
        <v>0</v>
      </c>
      <c r="I1514" s="1">
        <v>46904.343794095599</v>
      </c>
      <c r="J1514" s="1">
        <v>60458.088248128297</v>
      </c>
      <c r="K1514" s="1"/>
      <c r="L1514" s="1">
        <v>24352</v>
      </c>
      <c r="M1514" s="1"/>
      <c r="N1514" s="1">
        <v>16161</v>
      </c>
      <c r="O1514" s="1"/>
      <c r="P1514" s="1"/>
      <c r="Q1514" s="1">
        <v>11376.7900312618</v>
      </c>
      <c r="R1514" s="1">
        <v>285867</v>
      </c>
      <c r="S1514" t="s">
        <v>11</v>
      </c>
    </row>
    <row r="1515" spans="1:19" x14ac:dyDescent="0.55000000000000004">
      <c r="A1515" t="s">
        <v>33</v>
      </c>
      <c r="B1515">
        <v>2011</v>
      </c>
      <c r="C1515">
        <v>85174</v>
      </c>
      <c r="D1515" s="2">
        <v>454</v>
      </c>
      <c r="E1515" s="3">
        <v>85628</v>
      </c>
      <c r="F1515" t="s">
        <v>12</v>
      </c>
      <c r="G1515" t="s">
        <v>12</v>
      </c>
      <c r="H1515" s="1">
        <v>1240.5220945982101</v>
      </c>
      <c r="I1515" s="1">
        <v>37471.332259812902</v>
      </c>
      <c r="J1515" s="1">
        <v>18048.6847713846</v>
      </c>
      <c r="K1515" s="1"/>
      <c r="L1515" s="1">
        <v>9463.5563614243601</v>
      </c>
      <c r="M1515" s="1"/>
      <c r="N1515" s="1">
        <v>43733.826002526803</v>
      </c>
      <c r="O1515" s="1">
        <v>49.818679518974299</v>
      </c>
      <c r="P1515" s="1"/>
      <c r="Q1515" s="1">
        <v>53999.732691188598</v>
      </c>
      <c r="R1515" s="1">
        <v>195636</v>
      </c>
      <c r="S1515" t="s">
        <v>11</v>
      </c>
    </row>
    <row r="1516" spans="1:19" x14ac:dyDescent="0.55000000000000004">
      <c r="A1516" t="s">
        <v>33</v>
      </c>
      <c r="B1516">
        <v>2010</v>
      </c>
      <c r="C1516">
        <v>202783</v>
      </c>
      <c r="D1516" s="2">
        <v>20</v>
      </c>
      <c r="E1516" s="3">
        <v>202803</v>
      </c>
      <c r="F1516" t="s">
        <v>12</v>
      </c>
      <c r="G1516" t="s">
        <v>12</v>
      </c>
      <c r="H1516" s="1">
        <v>0</v>
      </c>
      <c r="I1516" s="1">
        <v>76498.360728152795</v>
      </c>
      <c r="J1516" s="1"/>
      <c r="K1516" s="1"/>
      <c r="L1516" s="1">
        <v>22531.775118142599</v>
      </c>
      <c r="M1516" s="1"/>
      <c r="N1516" s="1">
        <v>63888.142524484603</v>
      </c>
      <c r="O1516" s="1">
        <v>1.9840421888911699</v>
      </c>
      <c r="P1516" s="1"/>
      <c r="Q1516" s="1">
        <v>36359.7541954751</v>
      </c>
      <c r="R1516" s="1">
        <v>365723</v>
      </c>
      <c r="S1516" t="s">
        <v>11</v>
      </c>
    </row>
    <row r="1517" spans="1:19" x14ac:dyDescent="0.55000000000000004">
      <c r="A1517" t="s">
        <v>33</v>
      </c>
      <c r="B1517">
        <v>2009</v>
      </c>
      <c r="C1517">
        <v>27541</v>
      </c>
      <c r="D1517" s="2">
        <v>86</v>
      </c>
      <c r="E1517" s="3">
        <v>27627</v>
      </c>
      <c r="F1517" t="s">
        <v>12</v>
      </c>
      <c r="G1517" t="s">
        <v>12</v>
      </c>
      <c r="H1517" s="1">
        <v>0.96500092685556005</v>
      </c>
      <c r="I1517" s="1">
        <v>1320.22713987933</v>
      </c>
      <c r="J1517" s="1">
        <v>2999.0901617438799</v>
      </c>
      <c r="K1517" s="1"/>
      <c r="L1517" s="1">
        <v>6885.0022667578196</v>
      </c>
      <c r="M1517" s="1"/>
      <c r="N1517" s="1">
        <v>1500.27251466197</v>
      </c>
      <c r="O1517" s="1">
        <v>21.800525312129</v>
      </c>
      <c r="P1517" s="1"/>
      <c r="Q1517" s="1">
        <v>8553.5304611853298</v>
      </c>
      <c r="R1517" s="1">
        <v>40354</v>
      </c>
      <c r="S1517" t="s">
        <v>11</v>
      </c>
    </row>
    <row r="1518" spans="1:19" x14ac:dyDescent="0.55000000000000004">
      <c r="A1518" t="s">
        <v>33</v>
      </c>
      <c r="B1518">
        <v>2008</v>
      </c>
      <c r="C1518">
        <v>159737</v>
      </c>
      <c r="D1518" s="2">
        <v>12</v>
      </c>
      <c r="E1518" s="3">
        <v>159749</v>
      </c>
      <c r="F1518" t="s">
        <v>12</v>
      </c>
      <c r="G1518" t="s">
        <v>12</v>
      </c>
      <c r="H1518" s="1">
        <v>33.005245255755803</v>
      </c>
      <c r="I1518" s="1">
        <v>30470.474308979701</v>
      </c>
      <c r="J1518" s="1">
        <v>39914.3052709521</v>
      </c>
      <c r="K1518" s="1"/>
      <c r="L1518" s="1"/>
      <c r="M1518" s="1"/>
      <c r="N1518" s="1"/>
      <c r="O1518" s="1"/>
      <c r="P1518" s="1"/>
      <c r="Q1518" s="1">
        <v>73523.652580510607</v>
      </c>
      <c r="R1518" s="1">
        <v>230167</v>
      </c>
      <c r="S1518" t="s">
        <v>9</v>
      </c>
    </row>
    <row r="1519" spans="1:19" x14ac:dyDescent="0.55000000000000004">
      <c r="A1519" t="s">
        <v>33</v>
      </c>
      <c r="B1519">
        <v>2007</v>
      </c>
      <c r="C1519">
        <v>41328</v>
      </c>
      <c r="D1519" s="2">
        <v>153</v>
      </c>
      <c r="E1519" s="3">
        <v>41481</v>
      </c>
      <c r="F1519" t="s">
        <v>12</v>
      </c>
      <c r="G1519" t="s">
        <v>12</v>
      </c>
      <c r="H1519" s="1">
        <v>2206.6799723376198</v>
      </c>
      <c r="I1519" s="1">
        <v>3716.0821189333101</v>
      </c>
      <c r="J1519" s="1">
        <v>10715.986175431701</v>
      </c>
      <c r="K1519" s="1"/>
      <c r="L1519" s="1"/>
      <c r="M1519" s="1"/>
      <c r="N1519" s="1"/>
      <c r="O1519" s="1"/>
      <c r="P1519" s="1"/>
      <c r="Q1519" s="1">
        <v>20797.0268921155</v>
      </c>
      <c r="R1519" s="1">
        <v>58120</v>
      </c>
      <c r="S1519" t="s">
        <v>9</v>
      </c>
    </row>
    <row r="1520" spans="1:19" x14ac:dyDescent="0.55000000000000004">
      <c r="A1520" t="s">
        <v>33</v>
      </c>
      <c r="B1520">
        <v>2006</v>
      </c>
      <c r="C1520">
        <v>147189</v>
      </c>
      <c r="D1520" s="2">
        <v>5</v>
      </c>
      <c r="E1520" s="3">
        <v>147194</v>
      </c>
      <c r="F1520" t="s">
        <v>12</v>
      </c>
      <c r="G1520" t="s">
        <v>12</v>
      </c>
      <c r="H1520" s="1">
        <v>1291.8199691192899</v>
      </c>
      <c r="I1520" s="1">
        <v>110864.645349219</v>
      </c>
      <c r="J1520" s="1">
        <v>27988.586489346999</v>
      </c>
      <c r="K1520" s="1"/>
      <c r="L1520" s="1"/>
      <c r="M1520" s="1"/>
      <c r="N1520" s="1"/>
      <c r="O1520" s="1"/>
      <c r="P1520" s="1"/>
      <c r="Q1520" s="1">
        <v>43857.964144265701</v>
      </c>
      <c r="R1520" s="1">
        <v>287339</v>
      </c>
      <c r="S1520" t="s">
        <v>9</v>
      </c>
    </row>
    <row r="1521" spans="1:19" x14ac:dyDescent="0.55000000000000004">
      <c r="A1521" t="s">
        <v>33</v>
      </c>
      <c r="B1521">
        <v>2005</v>
      </c>
      <c r="C1521">
        <v>175299</v>
      </c>
      <c r="D1521" s="2">
        <v>47</v>
      </c>
      <c r="E1521" s="3">
        <v>175346</v>
      </c>
      <c r="F1521" t="s">
        <v>12</v>
      </c>
      <c r="G1521" t="s">
        <v>12</v>
      </c>
      <c r="H1521" s="1">
        <v>1248.0600775002399</v>
      </c>
      <c r="I1521" s="1">
        <v>29996.3232120662</v>
      </c>
      <c r="J1521" s="1">
        <v>14469.564074764099</v>
      </c>
      <c r="K1521" s="1"/>
      <c r="L1521" s="1"/>
      <c r="M1521" s="1"/>
      <c r="N1521" s="1"/>
      <c r="O1521" s="1"/>
      <c r="P1521" s="1"/>
      <c r="Q1521" s="1">
        <v>115414.081401712</v>
      </c>
      <c r="R1521" s="1">
        <v>221060</v>
      </c>
      <c r="S1521" t="s">
        <v>9</v>
      </c>
    </row>
    <row r="1522" spans="1:19" x14ac:dyDescent="0.55000000000000004">
      <c r="A1522" t="s">
        <v>33</v>
      </c>
      <c r="B1522">
        <v>2004</v>
      </c>
      <c r="C1522">
        <v>86738</v>
      </c>
      <c r="D1522" s="2">
        <v>0</v>
      </c>
      <c r="E1522" s="3">
        <v>86738</v>
      </c>
      <c r="F1522" t="s">
        <v>12</v>
      </c>
      <c r="G1522" t="s">
        <v>12</v>
      </c>
      <c r="H1522" s="1">
        <v>13441.5965094192</v>
      </c>
      <c r="I1522" s="1">
        <v>329431.13393400301</v>
      </c>
      <c r="J1522" s="1">
        <v>68091.863324053396</v>
      </c>
      <c r="K1522" s="1"/>
      <c r="L1522" s="1"/>
      <c r="M1522" s="1"/>
      <c r="N1522" s="1"/>
      <c r="O1522" s="1"/>
      <c r="P1522" s="1"/>
      <c r="Q1522" s="1">
        <v>-145793.45178656199</v>
      </c>
      <c r="R1522" s="1">
        <v>643496</v>
      </c>
      <c r="S1522" t="s">
        <v>9</v>
      </c>
    </row>
    <row r="1523" spans="1:19" x14ac:dyDescent="0.55000000000000004">
      <c r="A1523" t="s">
        <v>33</v>
      </c>
      <c r="B1523">
        <v>2003</v>
      </c>
      <c r="C1523">
        <v>78093</v>
      </c>
      <c r="D1523" s="2">
        <v>0</v>
      </c>
      <c r="E1523" s="3">
        <v>78093</v>
      </c>
      <c r="F1523" t="s">
        <v>12</v>
      </c>
      <c r="G1523" t="s">
        <v>12</v>
      </c>
      <c r="H1523" s="1">
        <v>3598.95646059213</v>
      </c>
      <c r="I1523" s="1">
        <v>119555.369462787</v>
      </c>
      <c r="J1523" s="1">
        <v>36554.479356055301</v>
      </c>
      <c r="K1523" s="1"/>
      <c r="L1523" s="1"/>
      <c r="M1523" s="1"/>
      <c r="N1523" s="1"/>
      <c r="O1523" s="1"/>
      <c r="P1523" s="1"/>
      <c r="Q1523" s="1">
        <v>-6979.1745228902601</v>
      </c>
      <c r="R1523" s="1">
        <v>244781</v>
      </c>
      <c r="S1523" t="s">
        <v>9</v>
      </c>
    </row>
    <row r="1524" spans="1:19" x14ac:dyDescent="0.55000000000000004">
      <c r="A1524" t="s">
        <v>33</v>
      </c>
      <c r="B1524">
        <v>2002</v>
      </c>
      <c r="C1524">
        <v>322711</v>
      </c>
      <c r="D1524" s="2">
        <v>0</v>
      </c>
      <c r="E1524" s="3">
        <v>322711</v>
      </c>
      <c r="F1524" t="s">
        <v>12</v>
      </c>
      <c r="G1524" t="s">
        <v>12</v>
      </c>
      <c r="H1524" s="1">
        <v>68.758128993465405</v>
      </c>
      <c r="I1524" s="1">
        <v>317019.54698664398</v>
      </c>
      <c r="J1524" s="1">
        <v>106383.000131432</v>
      </c>
      <c r="K1524" s="1"/>
      <c r="L1524" s="1"/>
      <c r="M1524" s="1"/>
      <c r="N1524" s="1"/>
      <c r="O1524" s="1"/>
      <c r="P1524" s="1"/>
      <c r="Q1524" s="1">
        <v>-334462.15789911099</v>
      </c>
      <c r="R1524" s="1">
        <v>1080644</v>
      </c>
      <c r="S1524" t="s">
        <v>9</v>
      </c>
    </row>
    <row r="1525" spans="1:19" x14ac:dyDescent="0.55000000000000004">
      <c r="A1525" t="s">
        <v>33</v>
      </c>
      <c r="B1525">
        <v>2001</v>
      </c>
      <c r="C1525">
        <v>151409</v>
      </c>
      <c r="D1525" s="2">
        <v>73</v>
      </c>
      <c r="E1525" s="3">
        <v>151482</v>
      </c>
      <c r="F1525" t="s">
        <v>12</v>
      </c>
      <c r="G1525" t="s">
        <v>12</v>
      </c>
      <c r="H1525" s="1">
        <v>1553.6417423088899</v>
      </c>
      <c r="I1525" s="1">
        <v>65914.922203332302</v>
      </c>
      <c r="J1525" s="1">
        <v>37235.4875137583</v>
      </c>
      <c r="K1525" s="1"/>
      <c r="L1525" s="1"/>
      <c r="M1525" s="1"/>
      <c r="N1525" s="1"/>
      <c r="O1525" s="1"/>
      <c r="P1525" s="1"/>
      <c r="Q1525" s="1">
        <v>-21874.140923982301</v>
      </c>
      <c r="R1525" s="1">
        <v>278060</v>
      </c>
      <c r="S1525" t="s">
        <v>9</v>
      </c>
    </row>
    <row r="1526" spans="1:19" x14ac:dyDescent="0.55000000000000004">
      <c r="A1526" t="s">
        <v>33</v>
      </c>
      <c r="B1526">
        <v>2000</v>
      </c>
      <c r="C1526">
        <v>371604</v>
      </c>
      <c r="D1526" s="2">
        <v>0</v>
      </c>
      <c r="E1526" s="3">
        <v>371604</v>
      </c>
      <c r="F1526" t="s">
        <v>12</v>
      </c>
      <c r="G1526" t="s">
        <v>12</v>
      </c>
      <c r="H1526" s="1">
        <v>396.88464884199499</v>
      </c>
      <c r="I1526" s="1">
        <v>244808.68523114501</v>
      </c>
      <c r="J1526" s="1">
        <v>52935.484830256399</v>
      </c>
      <c r="K1526" s="1"/>
      <c r="L1526" s="1"/>
      <c r="M1526" s="1"/>
      <c r="N1526" s="1"/>
      <c r="O1526" s="1"/>
      <c r="P1526" s="1"/>
      <c r="Q1526" s="1">
        <v>115991.570880232</v>
      </c>
      <c r="R1526" s="1">
        <v>669745</v>
      </c>
      <c r="S1526" t="s">
        <v>9</v>
      </c>
    </row>
    <row r="1527" spans="1:19" x14ac:dyDescent="0.55000000000000004">
      <c r="A1527" t="s">
        <v>33</v>
      </c>
      <c r="B1527">
        <v>1999</v>
      </c>
      <c r="C1527">
        <v>138137</v>
      </c>
      <c r="D1527" s="2">
        <v>14</v>
      </c>
      <c r="E1527" s="3">
        <v>138151</v>
      </c>
      <c r="F1527" t="s">
        <v>12</v>
      </c>
      <c r="G1527" t="s">
        <v>12</v>
      </c>
      <c r="H1527" s="1">
        <v>101.82459001900899</v>
      </c>
      <c r="I1527" s="1">
        <v>20347.3387242758</v>
      </c>
      <c r="J1527" s="1">
        <v>29040.502882684301</v>
      </c>
      <c r="K1527" s="1"/>
      <c r="L1527" s="1"/>
      <c r="M1527" s="1"/>
      <c r="N1527" s="1"/>
      <c r="O1527" s="1"/>
      <c r="P1527" s="1"/>
      <c r="Q1527" s="1">
        <v>-40393.253268021101</v>
      </c>
      <c r="R1527" s="1">
        <v>228034</v>
      </c>
      <c r="S1527" t="s">
        <v>9</v>
      </c>
    </row>
    <row r="1528" spans="1:19" x14ac:dyDescent="0.55000000000000004">
      <c r="A1528" t="s">
        <v>33</v>
      </c>
      <c r="B1528">
        <v>1998</v>
      </c>
      <c r="C1528">
        <v>185641</v>
      </c>
      <c r="D1528" s="2">
        <v>56</v>
      </c>
      <c r="E1528" s="3">
        <v>185697</v>
      </c>
      <c r="F1528" t="s">
        <v>12</v>
      </c>
      <c r="G1528" t="s">
        <v>12</v>
      </c>
      <c r="H1528" s="1">
        <v>8979.0732159827603</v>
      </c>
      <c r="I1528" s="1">
        <v>179719.01908930301</v>
      </c>
      <c r="J1528" s="1">
        <v>74676.581578101905</v>
      </c>
      <c r="K1528" s="1"/>
      <c r="L1528" s="1"/>
      <c r="M1528" s="1"/>
      <c r="N1528" s="1"/>
      <c r="O1528" s="1"/>
      <c r="P1528" s="1"/>
      <c r="Q1528" s="1">
        <v>-341325.737961479</v>
      </c>
      <c r="R1528" s="1">
        <v>790397</v>
      </c>
      <c r="S1528" t="s">
        <v>9</v>
      </c>
    </row>
    <row r="1529" spans="1:19" x14ac:dyDescent="0.55000000000000004">
      <c r="A1529" t="s">
        <v>33</v>
      </c>
      <c r="B1529">
        <v>1997</v>
      </c>
      <c r="C1529">
        <v>55357</v>
      </c>
      <c r="D1529" s="2">
        <v>53</v>
      </c>
      <c r="E1529" s="3">
        <v>55410</v>
      </c>
      <c r="F1529" t="s">
        <v>12</v>
      </c>
      <c r="G1529" t="s">
        <v>12</v>
      </c>
      <c r="H1529" s="1">
        <v>2741.8869481798802</v>
      </c>
      <c r="I1529" s="1">
        <v>131138.574385621</v>
      </c>
      <c r="J1529" s="1">
        <v>7390.5435699763802</v>
      </c>
      <c r="K1529" s="1"/>
      <c r="L1529" s="1"/>
      <c r="M1529" s="1"/>
      <c r="N1529" s="1"/>
      <c r="O1529" s="1"/>
      <c r="P1529" s="1"/>
      <c r="Q1529" s="1">
        <v>-3838.9714055309901</v>
      </c>
      <c r="R1529" s="1">
        <v>200520</v>
      </c>
      <c r="S1529" t="s">
        <v>9</v>
      </c>
    </row>
    <row r="1530" spans="1:19" x14ac:dyDescent="0.55000000000000004">
      <c r="A1530" t="s">
        <v>33</v>
      </c>
      <c r="B1530">
        <v>1996</v>
      </c>
      <c r="C1530">
        <v>332207</v>
      </c>
      <c r="D1530" s="2">
        <v>0</v>
      </c>
      <c r="E1530" s="3">
        <v>332207</v>
      </c>
      <c r="F1530" t="s">
        <v>12</v>
      </c>
      <c r="G1530" t="s">
        <v>12</v>
      </c>
      <c r="H1530" s="1">
        <v>3499.5866618678401</v>
      </c>
      <c r="I1530" s="1">
        <v>334716.56876662001</v>
      </c>
      <c r="J1530" s="1">
        <v>130003.000884247</v>
      </c>
      <c r="K1530" s="1"/>
      <c r="L1530" s="1"/>
      <c r="M1530" s="1"/>
      <c r="N1530" s="1"/>
      <c r="O1530" s="1"/>
      <c r="P1530" s="1"/>
      <c r="Q1530" s="1">
        <v>-36520.613287116197</v>
      </c>
      <c r="R1530" s="1">
        <v>836947</v>
      </c>
      <c r="S1530" t="s">
        <v>9</v>
      </c>
    </row>
    <row r="1531" spans="1:19" x14ac:dyDescent="0.55000000000000004">
      <c r="A1531" t="s">
        <v>33</v>
      </c>
      <c r="B1531">
        <v>1995</v>
      </c>
      <c r="C1531">
        <v>122676</v>
      </c>
      <c r="D1531" s="2">
        <v>104</v>
      </c>
      <c r="E1531" s="3">
        <v>122780</v>
      </c>
      <c r="F1531" t="s">
        <v>12</v>
      </c>
      <c r="G1531" t="s">
        <v>12</v>
      </c>
      <c r="H1531" s="1">
        <v>35.867099473575898</v>
      </c>
      <c r="I1531" s="1">
        <v>146452.46732056199</v>
      </c>
      <c r="J1531" s="1">
        <v>118602.43170863199</v>
      </c>
      <c r="K1531" s="1"/>
      <c r="L1531" s="1"/>
      <c r="M1531" s="1"/>
      <c r="N1531" s="1"/>
      <c r="O1531" s="1"/>
      <c r="P1531" s="1"/>
      <c r="Q1531" s="1">
        <v>-61189.201171389999</v>
      </c>
      <c r="R1531" s="1">
        <v>449060</v>
      </c>
      <c r="S1531" t="s">
        <v>9</v>
      </c>
    </row>
    <row r="1532" spans="1:19" x14ac:dyDescent="0.55000000000000004">
      <c r="A1532" t="s">
        <v>33</v>
      </c>
      <c r="B1532">
        <v>1994</v>
      </c>
      <c r="C1532">
        <v>136709</v>
      </c>
      <c r="D1532" s="2">
        <v>138</v>
      </c>
      <c r="E1532" s="3">
        <v>136847</v>
      </c>
      <c r="F1532" t="s">
        <v>12</v>
      </c>
      <c r="G1532" t="s">
        <v>12</v>
      </c>
      <c r="H1532" s="1">
        <v>2509.0852452006602</v>
      </c>
      <c r="I1532" s="1">
        <v>861846.56921601901</v>
      </c>
      <c r="J1532" s="1">
        <v>51751.437472443999</v>
      </c>
      <c r="K1532" s="1"/>
      <c r="L1532" s="1"/>
      <c r="M1532" s="1"/>
      <c r="N1532" s="1"/>
      <c r="O1532" s="1"/>
      <c r="P1532" s="1"/>
      <c r="Q1532" s="1">
        <v>-167772.79967619301</v>
      </c>
      <c r="R1532" s="1">
        <v>1220727</v>
      </c>
      <c r="S1532" t="s">
        <v>9</v>
      </c>
    </row>
    <row r="1533" spans="1:19" x14ac:dyDescent="0.55000000000000004">
      <c r="A1533" t="s">
        <v>33</v>
      </c>
      <c r="B1533">
        <v>1993</v>
      </c>
      <c r="C1533">
        <v>91071</v>
      </c>
      <c r="D1533" s="2">
        <v>372</v>
      </c>
      <c r="E1533" s="3">
        <v>91443</v>
      </c>
      <c r="F1533" t="s">
        <v>12</v>
      </c>
      <c r="G1533" t="s">
        <v>12</v>
      </c>
      <c r="H1533" s="1">
        <v>194.34109638569399</v>
      </c>
      <c r="I1533" s="1">
        <v>463596.93773816503</v>
      </c>
      <c r="J1533" s="1">
        <v>16517</v>
      </c>
      <c r="K1533" s="1"/>
      <c r="L1533" s="1"/>
      <c r="M1533" s="1"/>
      <c r="N1533" s="1"/>
      <c r="O1533" s="1"/>
      <c r="P1533" s="1"/>
      <c r="Q1533" s="1">
        <v>12637.070562733799</v>
      </c>
      <c r="R1533" s="1">
        <v>571751</v>
      </c>
      <c r="S1533" t="s">
        <v>9</v>
      </c>
    </row>
    <row r="1534" spans="1:19" x14ac:dyDescent="0.55000000000000004">
      <c r="A1534" t="s">
        <v>33</v>
      </c>
      <c r="B1534">
        <v>1992</v>
      </c>
      <c r="C1534">
        <v>97979</v>
      </c>
      <c r="D1534" s="2">
        <v>6</v>
      </c>
      <c r="E1534" s="3">
        <v>97985</v>
      </c>
      <c r="F1534" t="s">
        <v>12</v>
      </c>
      <c r="G1534" t="s">
        <v>12</v>
      </c>
      <c r="H1534" s="1">
        <v>6461.8125831187599</v>
      </c>
      <c r="I1534" s="1">
        <v>458868.049074571</v>
      </c>
      <c r="J1534" s="1">
        <v>32014.567189031801</v>
      </c>
      <c r="K1534" s="1"/>
      <c r="L1534" s="1"/>
      <c r="M1534" s="1"/>
      <c r="N1534" s="1"/>
      <c r="O1534" s="1"/>
      <c r="P1534" s="1"/>
      <c r="Q1534" s="1">
        <v>-26309.6567633493</v>
      </c>
      <c r="R1534" s="1">
        <v>621639</v>
      </c>
      <c r="S1534" t="s">
        <v>9</v>
      </c>
    </row>
    <row r="1535" spans="1:19" x14ac:dyDescent="0.55000000000000004">
      <c r="A1535" t="s">
        <v>33</v>
      </c>
      <c r="B1535">
        <v>1991</v>
      </c>
      <c r="C1535">
        <v>94884</v>
      </c>
      <c r="D1535" s="2">
        <v>47</v>
      </c>
      <c r="E1535" s="3">
        <v>94931</v>
      </c>
      <c r="F1535" t="s">
        <v>12</v>
      </c>
      <c r="G1535" t="s">
        <v>12</v>
      </c>
      <c r="H1535" s="1">
        <v>1609.4043947566299</v>
      </c>
      <c r="I1535" s="1">
        <v>327358.73414796701</v>
      </c>
      <c r="J1535" s="1">
        <v>20679.516400108401</v>
      </c>
      <c r="K1535" s="1"/>
      <c r="L1535" s="1"/>
      <c r="M1535" s="1"/>
      <c r="N1535" s="1"/>
      <c r="O1535" s="1"/>
      <c r="P1535" s="1"/>
      <c r="Q1535" s="1">
        <v>-12156.659618952101</v>
      </c>
      <c r="R1535" s="1">
        <v>456735</v>
      </c>
      <c r="S1535" t="s">
        <v>9</v>
      </c>
    </row>
    <row r="1536" spans="1:19" x14ac:dyDescent="0.55000000000000004">
      <c r="A1536" t="s">
        <v>33</v>
      </c>
      <c r="B1536">
        <v>1990</v>
      </c>
      <c r="C1536">
        <v>93920</v>
      </c>
      <c r="D1536" s="2">
        <v>8</v>
      </c>
      <c r="E1536" s="3">
        <v>93928</v>
      </c>
      <c r="F1536" t="s">
        <v>12</v>
      </c>
      <c r="G1536" t="s">
        <v>12</v>
      </c>
      <c r="H1536" s="1">
        <v>4636.9531860930601</v>
      </c>
      <c r="I1536" s="1">
        <v>335052.638769429</v>
      </c>
      <c r="J1536" s="1">
        <v>30283.512112197201</v>
      </c>
      <c r="K1536" s="1"/>
      <c r="L1536" s="1"/>
      <c r="M1536" s="1"/>
      <c r="N1536" s="1"/>
      <c r="O1536" s="1"/>
      <c r="P1536" s="1"/>
      <c r="Q1536" s="1">
        <v>-524.93966269362102</v>
      </c>
      <c r="R1536" s="1">
        <v>464426</v>
      </c>
      <c r="S1536" t="s">
        <v>9</v>
      </c>
    </row>
    <row r="1537" spans="1:19" x14ac:dyDescent="0.55000000000000004">
      <c r="A1537" t="s">
        <v>33</v>
      </c>
      <c r="B1537">
        <v>1989</v>
      </c>
      <c r="C1537">
        <v>43179</v>
      </c>
      <c r="D1537" s="2">
        <v>10</v>
      </c>
      <c r="E1537" s="3">
        <v>43189</v>
      </c>
      <c r="F1537" t="s">
        <v>12</v>
      </c>
      <c r="G1537" t="s">
        <v>12</v>
      </c>
      <c r="H1537" s="1">
        <v>1796.6479999999999</v>
      </c>
      <c r="I1537" s="1">
        <v>224370.24642961301</v>
      </c>
      <c r="J1537" s="1">
        <v>16584</v>
      </c>
      <c r="K1537" s="1"/>
      <c r="L1537" s="1"/>
      <c r="M1537" s="1"/>
      <c r="N1537" s="1"/>
      <c r="O1537" s="1"/>
      <c r="P1537" s="1"/>
      <c r="Q1537" s="1">
        <v>-15389.676444073701</v>
      </c>
      <c r="R1537" s="1">
        <v>301330</v>
      </c>
      <c r="S1537" t="s">
        <v>9</v>
      </c>
    </row>
    <row r="1538" spans="1:19" x14ac:dyDescent="0.55000000000000004">
      <c r="A1538" t="s">
        <v>33</v>
      </c>
      <c r="B1538">
        <v>1988</v>
      </c>
      <c r="C1538">
        <v>367702</v>
      </c>
      <c r="D1538" s="2">
        <v>49</v>
      </c>
      <c r="E1538" s="3">
        <v>367751</v>
      </c>
      <c r="F1538" t="s">
        <v>12</v>
      </c>
      <c r="G1538" t="s">
        <v>12</v>
      </c>
      <c r="H1538" s="1">
        <v>0</v>
      </c>
      <c r="I1538" s="1">
        <v>396290.25755572401</v>
      </c>
      <c r="J1538" s="1">
        <v>139525.09864685501</v>
      </c>
      <c r="K1538" s="1"/>
      <c r="L1538" s="1"/>
      <c r="M1538" s="1"/>
      <c r="N1538" s="1"/>
      <c r="O1538" s="1"/>
      <c r="P1538" s="1"/>
      <c r="Q1538" s="1">
        <v>66016.845724266095</v>
      </c>
      <c r="R1538" s="1">
        <v>903566</v>
      </c>
      <c r="S1538" t="s">
        <v>9</v>
      </c>
    </row>
    <row r="1539" spans="1:19" x14ac:dyDescent="0.55000000000000004">
      <c r="A1539" t="s">
        <v>33</v>
      </c>
      <c r="B1539">
        <v>1987</v>
      </c>
      <c r="C1539">
        <v>211085</v>
      </c>
      <c r="D1539" s="2">
        <v>26</v>
      </c>
      <c r="E1539" s="3">
        <v>211111</v>
      </c>
      <c r="F1539" t="s">
        <v>12</v>
      </c>
      <c r="G1539" t="s">
        <v>12</v>
      </c>
      <c r="H1539" s="1">
        <v>366.65447937949801</v>
      </c>
      <c r="I1539" s="1">
        <v>850301.83606590598</v>
      </c>
      <c r="J1539" s="1">
        <v>86091</v>
      </c>
      <c r="K1539" s="1"/>
      <c r="L1539" s="1"/>
      <c r="M1539" s="1"/>
      <c r="N1539" s="1"/>
      <c r="O1539" s="1"/>
      <c r="P1539" s="1"/>
      <c r="Q1539" s="1">
        <v>1739.9379918387899</v>
      </c>
      <c r="R1539" s="1">
        <v>1147870</v>
      </c>
      <c r="S1539" t="s">
        <v>9</v>
      </c>
    </row>
    <row r="1540" spans="1:19" x14ac:dyDescent="0.55000000000000004">
      <c r="A1540" t="s">
        <v>33</v>
      </c>
      <c r="B1540">
        <v>1986</v>
      </c>
      <c r="C1540">
        <v>77177</v>
      </c>
      <c r="D1540" s="2">
        <v>201</v>
      </c>
      <c r="E1540" s="3">
        <v>77378</v>
      </c>
      <c r="F1540" t="s">
        <v>12</v>
      </c>
      <c r="G1540" t="s">
        <v>12</v>
      </c>
      <c r="H1540" s="1">
        <v>0</v>
      </c>
      <c r="I1540" s="1">
        <v>236105.58197123799</v>
      </c>
      <c r="J1540" s="1">
        <v>52773.379136905103</v>
      </c>
      <c r="K1540" s="1"/>
      <c r="L1540" s="1"/>
      <c r="M1540" s="1"/>
      <c r="N1540" s="1"/>
      <c r="O1540" s="1"/>
      <c r="P1540" s="1"/>
      <c r="Q1540" s="1">
        <v>-22934.375648366899</v>
      </c>
      <c r="R1540" s="1">
        <v>389191</v>
      </c>
      <c r="S1540" t="s">
        <v>9</v>
      </c>
    </row>
    <row r="1541" spans="1:19" x14ac:dyDescent="0.55000000000000004">
      <c r="A1541" t="s">
        <v>33</v>
      </c>
      <c r="B1541">
        <v>1985</v>
      </c>
      <c r="C1541">
        <v>42099</v>
      </c>
      <c r="D1541" s="2">
        <v>197</v>
      </c>
      <c r="E1541" s="3">
        <v>42296</v>
      </c>
      <c r="F1541" t="s">
        <v>12</v>
      </c>
      <c r="G1541" t="s">
        <v>12</v>
      </c>
      <c r="H1541" s="1">
        <v>60.466257594442098</v>
      </c>
      <c r="I1541" s="1">
        <v>426382.782053156</v>
      </c>
      <c r="J1541" s="1">
        <v>19640.0004601447</v>
      </c>
      <c r="K1541" s="1"/>
      <c r="L1541" s="1"/>
      <c r="M1541" s="1"/>
      <c r="N1541" s="1"/>
      <c r="O1541" s="1"/>
      <c r="P1541" s="1"/>
      <c r="Q1541" s="1">
        <v>-10737.8951140927</v>
      </c>
      <c r="R1541" s="1">
        <v>499117</v>
      </c>
      <c r="S1541" t="s">
        <v>9</v>
      </c>
    </row>
    <row r="1542" spans="1:19" x14ac:dyDescent="0.55000000000000004">
      <c r="A1542" t="s">
        <v>33</v>
      </c>
      <c r="B1542">
        <v>1984</v>
      </c>
      <c r="C1542">
        <v>60957</v>
      </c>
      <c r="D1542" s="2">
        <v>16</v>
      </c>
      <c r="E1542" s="3">
        <v>60973</v>
      </c>
      <c r="F1542" t="s">
        <v>12</v>
      </c>
      <c r="G1542" t="s">
        <v>12</v>
      </c>
      <c r="H1542" s="1">
        <v>0</v>
      </c>
      <c r="I1542" s="1">
        <v>585006.40728358203</v>
      </c>
      <c r="J1542" s="1">
        <v>40324.740084267301</v>
      </c>
      <c r="K1542" s="1"/>
      <c r="L1542" s="1"/>
      <c r="M1542" s="1"/>
      <c r="N1542" s="1"/>
      <c r="O1542" s="1"/>
      <c r="P1542" s="1"/>
      <c r="Q1542" s="1">
        <v>-82645.200198372302</v>
      </c>
      <c r="R1542" s="1">
        <v>768949</v>
      </c>
      <c r="S1542" t="s">
        <v>9</v>
      </c>
    </row>
    <row r="1543" spans="1:19" x14ac:dyDescent="0.55000000000000004">
      <c r="A1543" t="s">
        <v>33</v>
      </c>
      <c r="B1543">
        <v>1983</v>
      </c>
      <c r="C1543">
        <v>121692</v>
      </c>
      <c r="D1543" s="2">
        <v>47</v>
      </c>
      <c r="E1543" s="3">
        <v>121739</v>
      </c>
      <c r="F1543" t="s">
        <v>12</v>
      </c>
      <c r="G1543" t="s">
        <v>12</v>
      </c>
      <c r="H1543" s="1">
        <v>5418.3796012081502</v>
      </c>
      <c r="I1543" s="1">
        <v>303104.50022445701</v>
      </c>
      <c r="J1543" s="1">
        <v>55076.6587235525</v>
      </c>
      <c r="K1543" s="1"/>
      <c r="L1543" s="1"/>
      <c r="M1543" s="1"/>
      <c r="N1543" s="1"/>
      <c r="O1543" s="1"/>
      <c r="P1543" s="1"/>
      <c r="Q1543" s="1">
        <v>36219.654687460199</v>
      </c>
      <c r="R1543" s="1">
        <v>485339</v>
      </c>
      <c r="S1543" t="s">
        <v>9</v>
      </c>
    </row>
    <row r="1544" spans="1:19" x14ac:dyDescent="0.55000000000000004">
      <c r="A1544" t="s">
        <v>33</v>
      </c>
      <c r="B1544">
        <v>1982</v>
      </c>
      <c r="C1544">
        <v>69420</v>
      </c>
      <c r="D1544" s="2">
        <v>14</v>
      </c>
      <c r="E1544" s="3">
        <v>69434</v>
      </c>
      <c r="F1544" t="s">
        <v>12</v>
      </c>
      <c r="G1544" t="s">
        <v>12</v>
      </c>
      <c r="H1544" s="1"/>
      <c r="I1544" s="1">
        <v>327093.17792176601</v>
      </c>
      <c r="J1544" s="1">
        <v>41199.70362226</v>
      </c>
      <c r="K1544" s="1"/>
      <c r="L1544" s="1"/>
      <c r="M1544" s="1"/>
      <c r="N1544" s="1"/>
      <c r="O1544" s="1"/>
      <c r="P1544" s="1"/>
      <c r="Q1544" s="1">
        <v>-43435.284267561699</v>
      </c>
      <c r="R1544" s="1">
        <v>481162</v>
      </c>
      <c r="S1544" t="s">
        <v>9</v>
      </c>
    </row>
    <row r="1545" spans="1:19" x14ac:dyDescent="0.55000000000000004">
      <c r="A1545" t="s">
        <v>33</v>
      </c>
      <c r="B1545">
        <v>1981</v>
      </c>
      <c r="C1545">
        <v>21826</v>
      </c>
      <c r="D1545" s="2">
        <v>195</v>
      </c>
      <c r="E1545" s="3">
        <v>22021</v>
      </c>
      <c r="F1545" t="s">
        <v>12</v>
      </c>
      <c r="G1545" t="s">
        <v>12</v>
      </c>
      <c r="H1545" s="1"/>
      <c r="I1545" s="1">
        <v>208193.743233096</v>
      </c>
      <c r="J1545" s="1">
        <v>14887.784580334601</v>
      </c>
      <c r="K1545" s="1"/>
      <c r="L1545" s="1"/>
      <c r="M1545" s="1"/>
      <c r="N1545" s="1"/>
      <c r="O1545" s="1"/>
      <c r="P1545" s="1"/>
      <c r="Q1545" s="1">
        <v>-46463.319475351098</v>
      </c>
      <c r="R1545" s="1">
        <v>291566</v>
      </c>
      <c r="S1545" t="s">
        <v>9</v>
      </c>
    </row>
    <row r="1546" spans="1:19" x14ac:dyDescent="0.55000000000000004">
      <c r="A1546" t="s">
        <v>33</v>
      </c>
      <c r="B1546">
        <v>1980</v>
      </c>
      <c r="C1546">
        <v>72050</v>
      </c>
      <c r="D1546" s="2">
        <v>23</v>
      </c>
      <c r="E1546" s="3">
        <v>72073</v>
      </c>
      <c r="F1546" t="s">
        <v>12</v>
      </c>
      <c r="G1546" t="s">
        <v>12</v>
      </c>
      <c r="H1546" s="1"/>
      <c r="I1546" s="1">
        <v>173986.606932861</v>
      </c>
      <c r="J1546" s="1">
        <v>30525.328764341099</v>
      </c>
      <c r="K1546" s="1"/>
      <c r="L1546" s="1"/>
      <c r="M1546" s="1"/>
      <c r="N1546" s="1"/>
      <c r="O1546" s="1"/>
      <c r="P1546" s="1"/>
      <c r="Q1546" s="1">
        <v>-19094.3601492462</v>
      </c>
      <c r="R1546" s="1">
        <v>295679</v>
      </c>
      <c r="S1546" t="s">
        <v>9</v>
      </c>
    </row>
    <row r="1547" spans="1:19" x14ac:dyDescent="0.55000000000000004">
      <c r="A1547" t="s">
        <v>33</v>
      </c>
      <c r="B1547">
        <v>1979</v>
      </c>
      <c r="C1547">
        <v>290042</v>
      </c>
      <c r="D1547" s="2">
        <v>74</v>
      </c>
      <c r="E1547" s="3">
        <v>290116</v>
      </c>
      <c r="F1547" t="s">
        <v>12</v>
      </c>
      <c r="G1547" t="s">
        <v>12</v>
      </c>
      <c r="H1547" s="1"/>
      <c r="I1547" s="1">
        <v>1509377.8994233401</v>
      </c>
      <c r="J1547" s="1">
        <v>46962.981212618201</v>
      </c>
      <c r="K1547" s="1"/>
      <c r="L1547" s="1"/>
      <c r="M1547" s="1"/>
      <c r="N1547" s="1"/>
      <c r="O1547" s="1"/>
      <c r="P1547" s="1"/>
      <c r="Q1547" s="1">
        <v>106137.971144657</v>
      </c>
      <c r="R1547" s="1">
        <v>1846457</v>
      </c>
      <c r="S1547" t="s">
        <v>9</v>
      </c>
    </row>
    <row r="1548" spans="1:19" x14ac:dyDescent="0.55000000000000004">
      <c r="A1548" t="s">
        <v>33</v>
      </c>
      <c r="B1548">
        <v>1978</v>
      </c>
      <c r="C1548">
        <v>58898</v>
      </c>
      <c r="D1548" s="2">
        <v>1523</v>
      </c>
      <c r="E1548" s="3">
        <v>60421</v>
      </c>
      <c r="F1548" t="s">
        <v>12</v>
      </c>
      <c r="G1548" t="s">
        <v>12</v>
      </c>
      <c r="H1548" s="1"/>
      <c r="I1548" s="1">
        <v>217344.13659674901</v>
      </c>
      <c r="J1548" s="1">
        <v>22674.983802329301</v>
      </c>
      <c r="K1548" s="1"/>
      <c r="L1548" s="1"/>
      <c r="M1548" s="1"/>
      <c r="N1548" s="1"/>
      <c r="O1548" s="1"/>
      <c r="P1548" s="1"/>
      <c r="Q1548" s="1">
        <v>-12703.3770244606</v>
      </c>
      <c r="R1548" s="1">
        <v>313143</v>
      </c>
      <c r="S1548" t="s">
        <v>9</v>
      </c>
    </row>
    <row r="1549" spans="1:19" x14ac:dyDescent="0.55000000000000004">
      <c r="A1549" t="s">
        <v>33</v>
      </c>
      <c r="B1549">
        <v>1977</v>
      </c>
      <c r="C1549">
        <v>23047</v>
      </c>
      <c r="D1549" s="2">
        <v>405</v>
      </c>
      <c r="E1549" s="3">
        <v>23452</v>
      </c>
      <c r="F1549" t="s">
        <v>12</v>
      </c>
      <c r="G1549" t="s">
        <v>12</v>
      </c>
      <c r="H1549" s="1"/>
      <c r="I1549" s="1">
        <v>91821.655728933794</v>
      </c>
      <c r="J1549" s="1">
        <v>6902.0518555480003</v>
      </c>
      <c r="K1549" s="1"/>
      <c r="L1549" s="1"/>
      <c r="M1549" s="1"/>
      <c r="N1549" s="1"/>
      <c r="O1549" s="1"/>
      <c r="P1549" s="1"/>
      <c r="Q1549" s="1">
        <v>17532.282186873901</v>
      </c>
      <c r="R1549" s="1">
        <v>122176</v>
      </c>
      <c r="S1549" t="s">
        <v>9</v>
      </c>
    </row>
    <row r="1550" spans="1:19" x14ac:dyDescent="0.55000000000000004">
      <c r="A1550" t="s">
        <v>33</v>
      </c>
      <c r="B1550">
        <v>1976</v>
      </c>
      <c r="C1550">
        <v>150734</v>
      </c>
      <c r="D1550" s="2">
        <v>7</v>
      </c>
      <c r="E1550" s="3">
        <v>150741</v>
      </c>
      <c r="F1550" t="s">
        <v>12</v>
      </c>
      <c r="G1550" t="s">
        <v>12</v>
      </c>
      <c r="H1550" s="1"/>
      <c r="I1550" s="1">
        <v>517382.03225421399</v>
      </c>
      <c r="J1550" s="1">
        <v>43011</v>
      </c>
      <c r="K1550" s="1"/>
      <c r="L1550" s="1"/>
      <c r="M1550" s="1"/>
      <c r="N1550" s="1"/>
      <c r="O1550" s="1"/>
      <c r="P1550" s="1"/>
      <c r="Q1550" s="1"/>
      <c r="R1550" s="1">
        <v>711134</v>
      </c>
      <c r="S1550" t="s">
        <v>12</v>
      </c>
    </row>
    <row r="1551" spans="1:19" x14ac:dyDescent="0.55000000000000004">
      <c r="A1551" t="s">
        <v>33</v>
      </c>
      <c r="B1551">
        <v>1975</v>
      </c>
      <c r="C1551">
        <v>175941</v>
      </c>
      <c r="D1551" s="2">
        <v>138</v>
      </c>
      <c r="E1551" s="3">
        <v>176079</v>
      </c>
      <c r="F1551" t="s">
        <v>12</v>
      </c>
      <c r="G1551" t="s">
        <v>12</v>
      </c>
      <c r="H1551" s="1"/>
      <c r="I1551" s="1">
        <v>290027</v>
      </c>
      <c r="J1551" s="1">
        <v>46999</v>
      </c>
      <c r="K1551" s="1"/>
      <c r="L1551" s="1"/>
      <c r="M1551" s="1"/>
      <c r="N1551" s="1"/>
      <c r="O1551" s="1"/>
      <c r="P1551" s="1"/>
      <c r="Q1551" s="1"/>
      <c r="R1551" s="1">
        <v>513105</v>
      </c>
      <c r="S1551" t="s">
        <v>11</v>
      </c>
    </row>
    <row r="1552" spans="1:19" x14ac:dyDescent="0.55000000000000004">
      <c r="A1552" t="s">
        <v>33</v>
      </c>
      <c r="B1552">
        <v>1974</v>
      </c>
      <c r="C1552">
        <v>41275</v>
      </c>
      <c r="D1552" s="2">
        <v>198</v>
      </c>
      <c r="E1552" s="3">
        <v>41473</v>
      </c>
      <c r="F1552" t="s">
        <v>12</v>
      </c>
      <c r="G1552" t="s">
        <v>12</v>
      </c>
      <c r="H1552" s="1"/>
      <c r="I1552" s="1">
        <v>188270.92079566</v>
      </c>
      <c r="J1552" s="1">
        <v>16933.183411693801</v>
      </c>
      <c r="K1552" s="1"/>
      <c r="L1552" s="1"/>
      <c r="M1552" s="1"/>
      <c r="N1552" s="1"/>
      <c r="O1552" s="1"/>
      <c r="P1552" s="1"/>
      <c r="Q1552" s="1"/>
      <c r="R1552" s="1">
        <v>246677</v>
      </c>
      <c r="S1552" t="s">
        <v>12</v>
      </c>
    </row>
    <row r="1553" spans="1:19" x14ac:dyDescent="0.55000000000000004">
      <c r="A1553" t="s">
        <v>33</v>
      </c>
      <c r="B1553">
        <v>1973</v>
      </c>
      <c r="C1553">
        <v>30404</v>
      </c>
      <c r="D1553" s="2">
        <v>351</v>
      </c>
      <c r="E1553" s="3">
        <v>30755</v>
      </c>
      <c r="F1553" t="s">
        <v>12</v>
      </c>
      <c r="G1553" t="s">
        <v>12</v>
      </c>
      <c r="H1553" s="1"/>
      <c r="I1553" s="1">
        <v>201646</v>
      </c>
      <c r="J1553" s="1">
        <v>8335</v>
      </c>
      <c r="K1553" s="1"/>
      <c r="L1553" s="1"/>
      <c r="M1553" s="1"/>
      <c r="N1553" s="1"/>
      <c r="O1553" s="1"/>
      <c r="P1553" s="1"/>
      <c r="Q1553" s="1"/>
      <c r="R1553" s="1">
        <v>240736</v>
      </c>
      <c r="S1553" t="s">
        <v>12</v>
      </c>
    </row>
    <row r="1554" spans="1:19" x14ac:dyDescent="0.55000000000000004">
      <c r="A1554" t="s">
        <v>33</v>
      </c>
      <c r="B1554">
        <v>1972</v>
      </c>
      <c r="C1554">
        <v>36700</v>
      </c>
      <c r="D1554" s="2">
        <v>71</v>
      </c>
      <c r="E1554" s="3">
        <v>36771</v>
      </c>
      <c r="F1554" t="s">
        <v>12</v>
      </c>
      <c r="G1554" t="s">
        <v>12</v>
      </c>
      <c r="H1554" s="1"/>
      <c r="I1554" s="1">
        <v>98640.999999999898</v>
      </c>
      <c r="J1554" s="1">
        <v>8969</v>
      </c>
      <c r="K1554" s="1"/>
      <c r="L1554" s="1"/>
      <c r="M1554" s="1"/>
      <c r="N1554" s="1"/>
      <c r="O1554" s="1"/>
      <c r="P1554" s="1"/>
      <c r="Q1554" s="1"/>
      <c r="R1554" s="1">
        <v>144381</v>
      </c>
      <c r="S1554" t="s">
        <v>12</v>
      </c>
    </row>
    <row r="1555" spans="1:19" x14ac:dyDescent="0.55000000000000004">
      <c r="A1555" t="s">
        <v>33</v>
      </c>
      <c r="B1555">
        <v>1971</v>
      </c>
      <c r="C1555">
        <v>39691</v>
      </c>
      <c r="D1555" s="2">
        <v>35</v>
      </c>
      <c r="E1555" s="3">
        <v>39726</v>
      </c>
      <c r="F1555" t="s">
        <v>12</v>
      </c>
      <c r="G1555" t="s">
        <v>12</v>
      </c>
      <c r="H1555" s="1"/>
      <c r="I1555" s="1">
        <v>504875</v>
      </c>
      <c r="J1555" s="1">
        <v>10127</v>
      </c>
      <c r="K1555" s="1"/>
      <c r="L1555" s="1"/>
      <c r="M1555" s="1"/>
      <c r="N1555" s="1"/>
      <c r="O1555" s="1"/>
      <c r="P1555" s="1"/>
      <c r="Q1555" s="1"/>
      <c r="R1555" s="1">
        <v>554728</v>
      </c>
      <c r="S1555" t="s">
        <v>12</v>
      </c>
    </row>
    <row r="1556" spans="1:19" x14ac:dyDescent="0.55000000000000004">
      <c r="A1556" t="s">
        <v>33</v>
      </c>
      <c r="B1556">
        <v>1970</v>
      </c>
      <c r="C1556">
        <v>45797</v>
      </c>
      <c r="D1556" s="2">
        <v>79</v>
      </c>
      <c r="E1556" s="3">
        <v>45876</v>
      </c>
      <c r="F1556" t="s">
        <v>12</v>
      </c>
      <c r="G1556" t="s">
        <v>12</v>
      </c>
      <c r="H1556" s="1"/>
      <c r="I1556" s="1">
        <v>287624</v>
      </c>
      <c r="J1556" s="1">
        <v>15476</v>
      </c>
      <c r="K1556" s="1"/>
      <c r="L1556" s="1"/>
      <c r="M1556" s="1"/>
      <c r="N1556" s="1"/>
      <c r="O1556" s="1"/>
      <c r="P1556" s="1"/>
      <c r="Q1556" s="1"/>
      <c r="R1556" s="1">
        <v>348976</v>
      </c>
      <c r="S1556" t="s">
        <v>12</v>
      </c>
    </row>
    <row r="1557" spans="1:19" x14ac:dyDescent="0.55000000000000004">
      <c r="A1557" t="s">
        <v>33</v>
      </c>
      <c r="B1557">
        <v>1969</v>
      </c>
      <c r="C1557">
        <v>49211</v>
      </c>
      <c r="D1557" s="2">
        <v>130</v>
      </c>
      <c r="E1557" s="3">
        <v>49341</v>
      </c>
      <c r="F1557" t="s">
        <v>12</v>
      </c>
      <c r="G1557" t="s">
        <v>12</v>
      </c>
      <c r="H1557" s="1"/>
      <c r="I1557" s="1">
        <v>179113</v>
      </c>
      <c r="J1557" s="1">
        <v>10448</v>
      </c>
      <c r="K1557" s="1"/>
      <c r="L1557" s="1"/>
      <c r="M1557" s="1"/>
      <c r="N1557" s="1"/>
      <c r="O1557" s="1"/>
      <c r="P1557" s="1"/>
      <c r="Q1557" s="1"/>
      <c r="R1557" s="1">
        <v>238902</v>
      </c>
      <c r="S1557" t="s">
        <v>12</v>
      </c>
    </row>
    <row r="1558" spans="1:19" x14ac:dyDescent="0.55000000000000004">
      <c r="A1558" t="s">
        <v>33</v>
      </c>
      <c r="B1558">
        <v>1968</v>
      </c>
      <c r="C1558">
        <v>30368</v>
      </c>
      <c r="D1558" s="2">
        <v>52</v>
      </c>
      <c r="E1558" s="3">
        <v>30420</v>
      </c>
      <c r="F1558" t="s">
        <v>12</v>
      </c>
      <c r="G1558" t="s">
        <v>12</v>
      </c>
      <c r="H1558" s="1"/>
      <c r="I1558" s="1">
        <v>139737.159836737</v>
      </c>
      <c r="J1558" s="1">
        <v>14482</v>
      </c>
      <c r="K1558" s="1"/>
      <c r="L1558" s="1"/>
      <c r="M1558" s="1"/>
      <c r="N1558" s="1"/>
      <c r="O1558" s="1"/>
      <c r="P1558" s="1"/>
      <c r="Q1558" s="1"/>
      <c r="R1558" s="1">
        <v>184639</v>
      </c>
      <c r="S1558" t="s">
        <v>12</v>
      </c>
    </row>
    <row r="1559" spans="1:19" x14ac:dyDescent="0.55000000000000004">
      <c r="A1559" t="s">
        <v>33</v>
      </c>
      <c r="B1559">
        <v>1967</v>
      </c>
      <c r="C1559">
        <v>91480</v>
      </c>
      <c r="D1559" s="2">
        <v>45</v>
      </c>
      <c r="E1559" s="3">
        <v>91525</v>
      </c>
      <c r="F1559" t="s">
        <v>12</v>
      </c>
      <c r="G1559" t="s">
        <v>12</v>
      </c>
      <c r="H1559" s="1"/>
      <c r="I1559" s="1">
        <v>613119.21271710994</v>
      </c>
      <c r="J1559" s="1">
        <v>14831.462617875201</v>
      </c>
      <c r="K1559" s="1"/>
      <c r="L1559" s="1"/>
      <c r="M1559" s="1"/>
      <c r="N1559" s="1"/>
      <c r="O1559" s="1"/>
      <c r="P1559" s="1"/>
      <c r="Q1559" s="1"/>
      <c r="R1559" s="1">
        <v>719476</v>
      </c>
      <c r="S1559" t="s">
        <v>12</v>
      </c>
    </row>
    <row r="1560" spans="1:19" x14ac:dyDescent="0.55000000000000004">
      <c r="A1560" t="s">
        <v>33</v>
      </c>
      <c r="B1560">
        <v>1966</v>
      </c>
      <c r="C1560">
        <v>101529</v>
      </c>
      <c r="D1560" s="2">
        <v>155</v>
      </c>
      <c r="E1560" s="3">
        <v>101684</v>
      </c>
      <c r="F1560" t="s">
        <v>12</v>
      </c>
      <c r="G1560" t="s">
        <v>12</v>
      </c>
      <c r="H1560" s="1"/>
      <c r="I1560" s="1">
        <v>464527.15829637402</v>
      </c>
      <c r="J1560" s="1">
        <v>16839.1719851704</v>
      </c>
      <c r="K1560" s="1"/>
      <c r="L1560" s="1"/>
      <c r="M1560" s="1"/>
      <c r="N1560" s="1"/>
      <c r="O1560" s="1"/>
      <c r="P1560" s="1"/>
      <c r="Q1560" s="1"/>
      <c r="R1560" s="1">
        <v>583050</v>
      </c>
      <c r="S1560" t="s">
        <v>12</v>
      </c>
    </row>
    <row r="1561" spans="1:19" x14ac:dyDescent="0.55000000000000004">
      <c r="A1561" t="s">
        <v>33</v>
      </c>
      <c r="B1561">
        <v>1965</v>
      </c>
      <c r="C1561">
        <v>39385</v>
      </c>
      <c r="D1561" s="2">
        <v>33</v>
      </c>
      <c r="E1561" s="3">
        <v>39418</v>
      </c>
      <c r="F1561" t="s">
        <v>12</v>
      </c>
      <c r="G1561" t="s">
        <v>12</v>
      </c>
      <c r="H1561" s="1"/>
      <c r="I1561" s="1">
        <v>110256.89790124699</v>
      </c>
      <c r="J1561" s="1">
        <v>8523.6479265943399</v>
      </c>
      <c r="K1561" s="1"/>
      <c r="L1561" s="1"/>
      <c r="M1561" s="1"/>
      <c r="N1561" s="1"/>
      <c r="O1561" s="1"/>
      <c r="P1561" s="1"/>
      <c r="Q1561" s="1"/>
      <c r="R1561" s="1">
        <v>158199</v>
      </c>
      <c r="S1561" t="s">
        <v>12</v>
      </c>
    </row>
    <row r="1562" spans="1:19" x14ac:dyDescent="0.55000000000000004">
      <c r="A1562" t="s">
        <v>33</v>
      </c>
      <c r="B1562">
        <v>1964</v>
      </c>
      <c r="C1562">
        <v>30890</v>
      </c>
      <c r="D1562" s="2">
        <v>157</v>
      </c>
      <c r="E1562" s="3">
        <v>31047</v>
      </c>
      <c r="F1562" t="s">
        <v>12</v>
      </c>
      <c r="G1562" t="s">
        <v>12</v>
      </c>
      <c r="H1562" s="1"/>
      <c r="I1562" s="1">
        <v>118495.269190798</v>
      </c>
      <c r="J1562" s="1">
        <v>13943.322983354699</v>
      </c>
      <c r="K1562" s="1"/>
      <c r="L1562" s="1"/>
      <c r="M1562" s="1"/>
      <c r="N1562" s="1"/>
      <c r="O1562" s="1"/>
      <c r="P1562" s="1"/>
      <c r="Q1562" s="1"/>
      <c r="R1562" s="1">
        <v>163486</v>
      </c>
      <c r="S1562" t="s">
        <v>11</v>
      </c>
    </row>
    <row r="1563" spans="1:19" x14ac:dyDescent="0.55000000000000004">
      <c r="A1563" t="s">
        <v>33</v>
      </c>
      <c r="B1563">
        <v>1963</v>
      </c>
      <c r="C1563">
        <v>138794</v>
      </c>
      <c r="D1563" s="2">
        <v>11</v>
      </c>
      <c r="E1563" s="3">
        <v>138805</v>
      </c>
      <c r="F1563" t="s">
        <v>12</v>
      </c>
      <c r="G1563" t="s">
        <v>12</v>
      </c>
      <c r="H1563" s="1"/>
      <c r="I1563" s="1">
        <v>368274.84216633602</v>
      </c>
      <c r="J1563" s="1">
        <v>21812.654592468902</v>
      </c>
      <c r="K1563" s="1"/>
      <c r="L1563" s="1"/>
      <c r="M1563" s="1"/>
      <c r="N1563" s="1"/>
      <c r="O1563" s="1"/>
      <c r="P1563" s="1"/>
      <c r="Q1563" s="1"/>
      <c r="R1563" s="1">
        <v>528892</v>
      </c>
      <c r="S1563" t="s">
        <v>12</v>
      </c>
    </row>
    <row r="1564" spans="1:19" x14ac:dyDescent="0.55000000000000004">
      <c r="A1564" t="s">
        <v>33</v>
      </c>
      <c r="B1564">
        <v>1962</v>
      </c>
      <c r="C1564">
        <v>124485</v>
      </c>
      <c r="D1564" s="2">
        <v>10</v>
      </c>
      <c r="E1564" s="3">
        <v>124495</v>
      </c>
      <c r="F1564" t="s">
        <v>12</v>
      </c>
      <c r="G1564" t="s">
        <v>12</v>
      </c>
      <c r="H1564" s="1"/>
      <c r="I1564" s="1">
        <v>187434.59973347699</v>
      </c>
      <c r="J1564" s="1">
        <v>19056.978654057701</v>
      </c>
      <c r="K1564" s="1"/>
      <c r="L1564" s="1"/>
      <c r="M1564" s="1"/>
      <c r="N1564" s="1"/>
      <c r="O1564" s="1"/>
      <c r="P1564" s="1"/>
      <c r="Q1564" s="1"/>
      <c r="R1564" s="1">
        <v>330987</v>
      </c>
      <c r="S1564" t="s">
        <v>12</v>
      </c>
    </row>
    <row r="1565" spans="1:19" x14ac:dyDescent="0.55000000000000004">
      <c r="A1565" t="s">
        <v>33</v>
      </c>
      <c r="B1565">
        <v>1961</v>
      </c>
      <c r="C1565">
        <v>46863</v>
      </c>
      <c r="D1565" s="2">
        <v>378</v>
      </c>
      <c r="E1565" s="3">
        <v>47241</v>
      </c>
      <c r="F1565" t="s">
        <v>12</v>
      </c>
      <c r="G1565" t="s">
        <v>12</v>
      </c>
      <c r="H1565" s="1"/>
      <c r="I1565" s="1">
        <v>95411.128495156896</v>
      </c>
      <c r="J1565" s="1">
        <v>7995.2902694832001</v>
      </c>
      <c r="K1565" s="1"/>
      <c r="L1565" s="1"/>
      <c r="M1565" s="1"/>
      <c r="N1565" s="1"/>
      <c r="O1565" s="1"/>
      <c r="P1565" s="1"/>
      <c r="Q1565" s="1"/>
      <c r="R1565" s="1">
        <v>150647</v>
      </c>
      <c r="S1565" t="s">
        <v>12</v>
      </c>
    </row>
    <row r="1566" spans="1:19" x14ac:dyDescent="0.55000000000000004">
      <c r="A1566" t="s">
        <v>33</v>
      </c>
      <c r="B1566">
        <v>1960</v>
      </c>
      <c r="C1566">
        <v>38880</v>
      </c>
      <c r="D1566" s="2">
        <v>4</v>
      </c>
      <c r="E1566" s="3">
        <v>38884</v>
      </c>
      <c r="F1566" t="s">
        <v>12</v>
      </c>
      <c r="G1566" t="s">
        <v>12</v>
      </c>
      <c r="H1566" s="1"/>
      <c r="I1566" s="1">
        <v>183312.98687072899</v>
      </c>
      <c r="J1566" s="1">
        <v>8374.2958052875401</v>
      </c>
      <c r="K1566" s="1"/>
      <c r="L1566" s="1"/>
      <c r="M1566" s="1"/>
      <c r="N1566" s="1"/>
      <c r="O1566" s="1"/>
      <c r="P1566" s="1"/>
      <c r="Q1566" s="1"/>
      <c r="R1566" s="1">
        <v>230571</v>
      </c>
      <c r="S1566" t="s">
        <v>11</v>
      </c>
    </row>
    <row r="1567" spans="1:19" x14ac:dyDescent="0.55000000000000004">
      <c r="A1567" t="s">
        <v>33</v>
      </c>
      <c r="B1567">
        <v>1959</v>
      </c>
      <c r="C1567">
        <v>79305</v>
      </c>
      <c r="D1567" s="2">
        <v>50</v>
      </c>
      <c r="E1567" s="3">
        <v>79355</v>
      </c>
      <c r="F1567" t="s">
        <v>12</v>
      </c>
      <c r="G1567" t="s">
        <v>12</v>
      </c>
      <c r="H1567" s="1"/>
      <c r="I1567" s="1">
        <v>521654.48504023999</v>
      </c>
      <c r="J1567" s="1">
        <v>8112.1499868168303</v>
      </c>
      <c r="K1567" s="1"/>
      <c r="L1567" s="1"/>
      <c r="M1567" s="1"/>
      <c r="N1567" s="1"/>
      <c r="O1567" s="1"/>
      <c r="P1567" s="1"/>
      <c r="Q1567" s="1"/>
      <c r="R1567" s="1">
        <v>609122</v>
      </c>
      <c r="S1567" t="s">
        <v>12</v>
      </c>
    </row>
    <row r="1568" spans="1:19" x14ac:dyDescent="0.55000000000000004">
      <c r="A1568" t="s">
        <v>33</v>
      </c>
      <c r="B1568">
        <v>1958</v>
      </c>
      <c r="C1568">
        <v>112251</v>
      </c>
      <c r="D1568" s="2">
        <v>22</v>
      </c>
      <c r="E1568" s="3">
        <v>112273</v>
      </c>
      <c r="F1568" t="s">
        <v>12</v>
      </c>
      <c r="G1568" t="s">
        <v>12</v>
      </c>
      <c r="H1568" s="1"/>
      <c r="I1568" s="1">
        <v>1033888.07784601</v>
      </c>
      <c r="J1568" s="1">
        <v>9541.2642178515307</v>
      </c>
      <c r="K1568" s="1"/>
      <c r="L1568" s="1"/>
      <c r="M1568" s="1"/>
      <c r="N1568" s="1"/>
      <c r="O1568" s="1"/>
      <c r="P1568" s="1"/>
      <c r="Q1568" s="1"/>
      <c r="R1568" s="1">
        <v>1155702</v>
      </c>
      <c r="S1568" t="s">
        <v>12</v>
      </c>
    </row>
    <row r="1569" spans="1:19" x14ac:dyDescent="0.55000000000000004">
      <c r="A1569" t="s">
        <v>33</v>
      </c>
      <c r="B1569">
        <v>1957</v>
      </c>
      <c r="C1569">
        <v>38522</v>
      </c>
      <c r="D1569" s="2">
        <v>399</v>
      </c>
      <c r="E1569" s="3">
        <v>38921</v>
      </c>
      <c r="F1569" t="s">
        <v>12</v>
      </c>
      <c r="G1569" t="s">
        <v>12</v>
      </c>
      <c r="H1569" s="1"/>
      <c r="I1569" s="1">
        <v>108298.783711813</v>
      </c>
      <c r="J1569" s="1">
        <v>4185.0847202702398</v>
      </c>
      <c r="K1569" s="1"/>
      <c r="L1569" s="1"/>
      <c r="M1569" s="1"/>
      <c r="N1569" s="1"/>
      <c r="O1569" s="1"/>
      <c r="P1569" s="1"/>
      <c r="Q1569" s="1"/>
      <c r="R1569" s="1">
        <v>151405</v>
      </c>
      <c r="S1569" t="s">
        <v>12</v>
      </c>
    </row>
    <row r="1570" spans="1:19" x14ac:dyDescent="0.55000000000000004">
      <c r="A1570" t="s">
        <v>33</v>
      </c>
      <c r="B1570">
        <v>1956</v>
      </c>
      <c r="C1570">
        <v>38438</v>
      </c>
      <c r="D1570" s="2">
        <v>21</v>
      </c>
      <c r="E1570" s="3">
        <v>38459</v>
      </c>
      <c r="F1570" t="s">
        <v>12</v>
      </c>
      <c r="G1570" t="s">
        <v>12</v>
      </c>
      <c r="H1570" s="1"/>
      <c r="I1570" s="1">
        <v>140047.57780868499</v>
      </c>
      <c r="J1570" s="1">
        <v>6527.7084943079399</v>
      </c>
      <c r="K1570" s="1"/>
      <c r="L1570" s="1"/>
      <c r="M1570" s="1"/>
      <c r="N1570" s="1"/>
      <c r="O1570" s="1"/>
      <c r="P1570" s="1"/>
      <c r="Q1570" s="1"/>
      <c r="R1570" s="1">
        <v>185034</v>
      </c>
      <c r="S1570" t="s">
        <v>12</v>
      </c>
    </row>
    <row r="1571" spans="1:19" x14ac:dyDescent="0.55000000000000004">
      <c r="A1571" t="s">
        <v>33</v>
      </c>
      <c r="B1571">
        <v>1955</v>
      </c>
      <c r="C1571">
        <v>51739</v>
      </c>
      <c r="D1571" s="2">
        <v>7</v>
      </c>
      <c r="E1571" s="3">
        <v>51746</v>
      </c>
      <c r="F1571" t="s">
        <v>12</v>
      </c>
      <c r="G1571" t="s">
        <v>12</v>
      </c>
      <c r="H1571" s="1"/>
      <c r="I1571" s="1">
        <v>297806.93150262302</v>
      </c>
      <c r="J1571" s="1">
        <v>13073.2093875347</v>
      </c>
      <c r="K1571" s="1"/>
      <c r="L1571" s="1"/>
      <c r="M1571" s="1"/>
      <c r="N1571" s="1"/>
      <c r="O1571" s="1"/>
      <c r="P1571" s="1"/>
      <c r="Q1571" s="1"/>
      <c r="R1571" s="1">
        <v>362626</v>
      </c>
      <c r="S1571" t="s">
        <v>11</v>
      </c>
    </row>
    <row r="1572" spans="1:19" x14ac:dyDescent="0.55000000000000004">
      <c r="A1572" t="s">
        <v>33</v>
      </c>
      <c r="B1572">
        <v>1954</v>
      </c>
      <c r="C1572">
        <v>141859</v>
      </c>
      <c r="D1572" s="2">
        <v>23</v>
      </c>
      <c r="E1572" s="3">
        <v>141882</v>
      </c>
      <c r="F1572" t="s">
        <v>12</v>
      </c>
      <c r="G1572" t="s">
        <v>12</v>
      </c>
      <c r="H1572" s="1"/>
      <c r="I1572" s="1">
        <v>730771.22569051897</v>
      </c>
      <c r="J1572" s="1">
        <v>17387.553700909</v>
      </c>
      <c r="K1572" s="1"/>
      <c r="L1572" s="1"/>
      <c r="M1572" s="1"/>
      <c r="N1572" s="1"/>
      <c r="O1572" s="1"/>
      <c r="P1572" s="1"/>
      <c r="Q1572" s="1"/>
      <c r="R1572" s="1">
        <v>890041</v>
      </c>
      <c r="S1572" t="s">
        <v>12</v>
      </c>
    </row>
    <row r="1573" spans="1:19" x14ac:dyDescent="0.55000000000000004">
      <c r="A1573" t="s">
        <v>33</v>
      </c>
      <c r="B1573">
        <v>1953</v>
      </c>
      <c r="C1573">
        <v>42134</v>
      </c>
      <c r="D1573" s="2">
        <v>1554</v>
      </c>
      <c r="E1573" s="3">
        <v>43688</v>
      </c>
      <c r="F1573" t="s">
        <v>12</v>
      </c>
      <c r="G1573" t="s">
        <v>12</v>
      </c>
      <c r="H1573" s="1"/>
      <c r="I1573" s="1">
        <v>134329.62132823901</v>
      </c>
      <c r="J1573" s="1">
        <v>4502.4410238596602</v>
      </c>
      <c r="K1573" s="1"/>
      <c r="L1573" s="1"/>
      <c r="M1573" s="1"/>
      <c r="N1573" s="1"/>
      <c r="O1573" s="1"/>
      <c r="P1573" s="1"/>
      <c r="Q1573" s="1"/>
      <c r="R1573" s="1">
        <v>182520</v>
      </c>
      <c r="S1573" t="s">
        <v>12</v>
      </c>
    </row>
    <row r="1574" spans="1:19" x14ac:dyDescent="0.55000000000000004">
      <c r="A1574" t="s">
        <v>33</v>
      </c>
      <c r="B1574">
        <v>1952</v>
      </c>
      <c r="C1574">
        <v>40384</v>
      </c>
      <c r="D1574" s="2">
        <v>82</v>
      </c>
      <c r="E1574" s="3">
        <v>40466</v>
      </c>
      <c r="F1574" t="s">
        <v>12</v>
      </c>
      <c r="G1574" t="s">
        <v>12</v>
      </c>
      <c r="H1574" s="1"/>
      <c r="I1574" s="1">
        <v>142487.12404819301</v>
      </c>
      <c r="J1574" s="1">
        <v>7044.0092530120401</v>
      </c>
      <c r="K1574" s="1"/>
      <c r="L1574" s="1"/>
      <c r="M1574" s="1"/>
      <c r="N1574" s="1"/>
      <c r="O1574" s="1"/>
      <c r="P1574" s="1"/>
      <c r="Q1574" s="1"/>
      <c r="R1574" s="1">
        <v>189997</v>
      </c>
      <c r="S1574" t="s">
        <v>12</v>
      </c>
    </row>
    <row r="1575" spans="1:19" x14ac:dyDescent="0.55000000000000004">
      <c r="A1575" t="s">
        <v>34</v>
      </c>
      <c r="B1575">
        <v>2023</v>
      </c>
      <c r="C1575">
        <v>1992</v>
      </c>
      <c r="D1575" s="2">
        <v>0</v>
      </c>
      <c r="E1575" s="3">
        <v>1992</v>
      </c>
      <c r="F1575">
        <v>44</v>
      </c>
      <c r="G1575" t="s">
        <v>12</v>
      </c>
      <c r="H1575" s="1">
        <v>0</v>
      </c>
      <c r="I1575" s="1">
        <v>41.7997602576974</v>
      </c>
      <c r="J1575" s="1">
        <v>161.80994610810899</v>
      </c>
      <c r="K1575" s="1"/>
      <c r="L1575" s="1">
        <v>1096</v>
      </c>
      <c r="M1575" s="1"/>
      <c r="N1575" s="1"/>
      <c r="O1575" s="1"/>
      <c r="P1575" s="1"/>
      <c r="Q1575" s="1">
        <v>-3110.1509489118898</v>
      </c>
      <c r="R1575" s="1">
        <v>3336</v>
      </c>
      <c r="S1575" t="s">
        <v>11</v>
      </c>
    </row>
    <row r="1576" spans="1:19" x14ac:dyDescent="0.55000000000000004">
      <c r="A1576" t="s">
        <v>34</v>
      </c>
      <c r="B1576">
        <v>2022</v>
      </c>
      <c r="C1576">
        <v>1913</v>
      </c>
      <c r="D1576" s="2">
        <v>0</v>
      </c>
      <c r="E1576" s="3">
        <v>1913</v>
      </c>
      <c r="F1576" t="s">
        <v>12</v>
      </c>
      <c r="G1576" t="s">
        <v>12</v>
      </c>
      <c r="H1576" s="1">
        <v>0</v>
      </c>
      <c r="I1576" s="1">
        <v>340.676703083593</v>
      </c>
      <c r="J1576" s="1">
        <v>955.94423158559198</v>
      </c>
      <c r="K1576" s="1"/>
      <c r="L1576" s="1">
        <v>478</v>
      </c>
      <c r="M1576" s="1"/>
      <c r="N1576" s="1"/>
      <c r="O1576" s="1"/>
      <c r="P1576" s="1"/>
      <c r="Q1576" s="1">
        <v>-305.69837023240399</v>
      </c>
      <c r="R1576" s="1">
        <v>3688</v>
      </c>
      <c r="S1576" t="s">
        <v>11</v>
      </c>
    </row>
    <row r="1577" spans="1:19" x14ac:dyDescent="0.55000000000000004">
      <c r="A1577" t="s">
        <v>34</v>
      </c>
      <c r="B1577">
        <v>2021</v>
      </c>
      <c r="C1577">
        <v>1327</v>
      </c>
      <c r="D1577" s="2">
        <v>0</v>
      </c>
      <c r="E1577" s="3">
        <v>1327</v>
      </c>
      <c r="F1577" t="s">
        <v>12</v>
      </c>
      <c r="G1577" t="s">
        <v>12</v>
      </c>
      <c r="H1577" s="1">
        <v>0</v>
      </c>
      <c r="I1577" s="1">
        <v>20.141187682536302</v>
      </c>
      <c r="J1577" s="1">
        <v>102.44329448577101</v>
      </c>
      <c r="K1577" s="1"/>
      <c r="L1577" s="1">
        <v>442</v>
      </c>
      <c r="M1577" s="1"/>
      <c r="N1577" s="1"/>
      <c r="O1577" s="1"/>
      <c r="P1577" s="1"/>
      <c r="Q1577" s="1">
        <v>647.51552116737003</v>
      </c>
      <c r="R1577" s="1">
        <v>1892</v>
      </c>
      <c r="S1577" t="s">
        <v>11</v>
      </c>
    </row>
    <row r="1578" spans="1:19" x14ac:dyDescent="0.55000000000000004">
      <c r="A1578" t="s">
        <v>34</v>
      </c>
      <c r="B1578">
        <v>2020</v>
      </c>
      <c r="C1578">
        <v>60</v>
      </c>
      <c r="D1578" s="2">
        <v>0</v>
      </c>
      <c r="E1578" s="3">
        <v>60</v>
      </c>
      <c r="F1578" t="s">
        <v>12</v>
      </c>
      <c r="G1578" t="s">
        <v>12</v>
      </c>
      <c r="H1578" s="1">
        <v>0</v>
      </c>
      <c r="I1578" s="1">
        <v>10.1582441529508</v>
      </c>
      <c r="J1578" s="1">
        <v>119.847256402716</v>
      </c>
      <c r="K1578" s="1"/>
      <c r="L1578" s="1">
        <v>15</v>
      </c>
      <c r="M1578" s="1"/>
      <c r="N1578" s="1"/>
      <c r="O1578" s="1"/>
      <c r="P1578" s="1"/>
      <c r="Q1578" s="1">
        <v>-1034.83312769129</v>
      </c>
      <c r="R1578" s="1">
        <v>205</v>
      </c>
      <c r="S1578" t="s">
        <v>11</v>
      </c>
    </row>
    <row r="1579" spans="1:19" x14ac:dyDescent="0.55000000000000004">
      <c r="A1579" t="s">
        <v>34</v>
      </c>
      <c r="B1579">
        <v>2019</v>
      </c>
      <c r="C1579" s="4"/>
      <c r="D1579" s="5"/>
      <c r="E1579" s="6"/>
      <c r="F1579" s="4"/>
      <c r="G1579" s="4"/>
      <c r="H1579" s="1">
        <v>0</v>
      </c>
      <c r="I1579" s="1">
        <v>11.2342746747661</v>
      </c>
      <c r="J1579" s="1">
        <v>30.205185937412999</v>
      </c>
      <c r="K1579" s="1"/>
      <c r="L1579" s="1">
        <v>250</v>
      </c>
      <c r="M1579" s="1">
        <v>166.666666666667</v>
      </c>
      <c r="N1579" s="1"/>
      <c r="O1579" s="1"/>
      <c r="P1579" s="1"/>
      <c r="Q1579" s="1">
        <v>-420.44801856986498</v>
      </c>
      <c r="R1579" s="1">
        <v>458</v>
      </c>
      <c r="S1579" t="s">
        <v>11</v>
      </c>
    </row>
    <row r="1580" spans="1:19" x14ac:dyDescent="0.55000000000000004">
      <c r="A1580" t="s">
        <v>34</v>
      </c>
      <c r="B1580">
        <v>2018</v>
      </c>
      <c r="C1580">
        <v>70</v>
      </c>
      <c r="D1580" s="2">
        <v>0</v>
      </c>
      <c r="E1580" s="3">
        <v>70</v>
      </c>
      <c r="F1580" t="s">
        <v>12</v>
      </c>
      <c r="G1580" t="s">
        <v>12</v>
      </c>
      <c r="H1580" s="1">
        <v>0</v>
      </c>
      <c r="I1580" s="1">
        <v>381.51015765137902</v>
      </c>
      <c r="J1580" s="1">
        <v>555.06741705588695</v>
      </c>
      <c r="K1580" s="1"/>
      <c r="L1580" s="1">
        <v>23</v>
      </c>
      <c r="M1580" s="1"/>
      <c r="N1580" s="1">
        <v>-824</v>
      </c>
      <c r="O1580" s="1"/>
      <c r="P1580" s="1"/>
      <c r="Q1580" s="1">
        <v>-2030.45670798324</v>
      </c>
      <c r="R1580" s="1">
        <v>206</v>
      </c>
      <c r="S1580" t="s">
        <v>11</v>
      </c>
    </row>
    <row r="1581" spans="1:19" x14ac:dyDescent="0.55000000000000004">
      <c r="A1581" t="s">
        <v>34</v>
      </c>
      <c r="B1581">
        <v>2017</v>
      </c>
      <c r="C1581">
        <v>20</v>
      </c>
      <c r="D1581" s="2">
        <v>0</v>
      </c>
      <c r="E1581" s="3">
        <v>20</v>
      </c>
      <c r="F1581" t="s">
        <v>12</v>
      </c>
      <c r="G1581" t="s">
        <v>12</v>
      </c>
      <c r="H1581" s="1">
        <v>0</v>
      </c>
      <c r="I1581" s="1">
        <v>1.11138886581492</v>
      </c>
      <c r="J1581" s="1">
        <v>16.093793886243802</v>
      </c>
      <c r="K1581" s="1"/>
      <c r="L1581" s="1">
        <v>5</v>
      </c>
      <c r="M1581" s="1">
        <v>10</v>
      </c>
      <c r="N1581" s="1">
        <v>-13</v>
      </c>
      <c r="O1581" s="1"/>
      <c r="P1581" s="1"/>
      <c r="Q1581" s="1">
        <v>-526.23453347080999</v>
      </c>
      <c r="R1581" s="1">
        <v>39</v>
      </c>
      <c r="S1581" t="s">
        <v>11</v>
      </c>
    </row>
    <row r="1582" spans="1:19" x14ac:dyDescent="0.55000000000000004">
      <c r="A1582" t="s">
        <v>34</v>
      </c>
      <c r="B1582">
        <v>2016</v>
      </c>
      <c r="C1582">
        <v>164</v>
      </c>
      <c r="D1582" s="2">
        <v>0</v>
      </c>
      <c r="E1582" s="3">
        <v>164</v>
      </c>
      <c r="F1582" t="s">
        <v>12</v>
      </c>
      <c r="G1582" t="s">
        <v>12</v>
      </c>
      <c r="H1582" s="1">
        <v>0</v>
      </c>
      <c r="I1582" s="1">
        <v>40.873320009803898</v>
      </c>
      <c r="J1582" s="1">
        <v>772.31002487002797</v>
      </c>
      <c r="K1582" s="1"/>
      <c r="L1582" s="1">
        <v>41</v>
      </c>
      <c r="M1582" s="1"/>
      <c r="N1582" s="1">
        <v>-696</v>
      </c>
      <c r="O1582" s="1"/>
      <c r="P1582" s="1"/>
      <c r="Q1582" s="1">
        <v>-933.89519200654195</v>
      </c>
      <c r="R1582" s="1">
        <v>322</v>
      </c>
      <c r="S1582" t="s">
        <v>11</v>
      </c>
    </row>
    <row r="1583" spans="1:19" x14ac:dyDescent="0.55000000000000004">
      <c r="A1583" t="s">
        <v>34</v>
      </c>
      <c r="B1583">
        <v>2015</v>
      </c>
      <c r="C1583">
        <v>980</v>
      </c>
      <c r="D1583" s="2">
        <v>0</v>
      </c>
      <c r="E1583" s="3">
        <v>980</v>
      </c>
      <c r="F1583" t="s">
        <v>12</v>
      </c>
      <c r="G1583" t="s">
        <v>12</v>
      </c>
      <c r="H1583" s="1">
        <v>0</v>
      </c>
      <c r="I1583" s="1">
        <v>1165.8777238704499</v>
      </c>
      <c r="J1583" s="1">
        <v>1919.31691572157</v>
      </c>
      <c r="K1583" s="1">
        <v>229</v>
      </c>
      <c r="L1583" s="1">
        <v>368</v>
      </c>
      <c r="M1583" s="1">
        <v>490</v>
      </c>
      <c r="N1583" s="1">
        <v>-2551</v>
      </c>
      <c r="O1583" s="1"/>
      <c r="P1583" s="1"/>
      <c r="Q1583" s="1">
        <v>-12190.4784417016</v>
      </c>
      <c r="R1583" s="1">
        <v>2601</v>
      </c>
      <c r="S1583" t="s">
        <v>11</v>
      </c>
    </row>
    <row r="1584" spans="1:19" x14ac:dyDescent="0.55000000000000004">
      <c r="A1584" t="s">
        <v>34</v>
      </c>
      <c r="B1584">
        <v>2014</v>
      </c>
      <c r="C1584">
        <v>114</v>
      </c>
      <c r="D1584" s="2">
        <v>0</v>
      </c>
      <c r="E1584" s="3">
        <v>114</v>
      </c>
      <c r="F1584" t="s">
        <v>12</v>
      </c>
      <c r="G1584" t="s">
        <v>12</v>
      </c>
      <c r="H1584" s="1">
        <v>0</v>
      </c>
      <c r="I1584" s="1">
        <v>34.334261540735802</v>
      </c>
      <c r="J1584" s="1">
        <v>93.163435449371093</v>
      </c>
      <c r="K1584" s="1"/>
      <c r="L1584" s="1">
        <v>56</v>
      </c>
      <c r="M1584" s="1">
        <v>53</v>
      </c>
      <c r="N1584" s="1"/>
      <c r="O1584" s="1"/>
      <c r="P1584" s="1"/>
      <c r="Q1584" s="1">
        <v>-255.957983936999</v>
      </c>
      <c r="R1584" s="1">
        <v>350</v>
      </c>
      <c r="S1584" t="s">
        <v>11</v>
      </c>
    </row>
    <row r="1585" spans="1:19" x14ac:dyDescent="0.55000000000000004">
      <c r="A1585" t="s">
        <v>34</v>
      </c>
      <c r="B1585">
        <v>2013</v>
      </c>
      <c r="C1585">
        <v>201</v>
      </c>
      <c r="D1585" s="2">
        <v>12</v>
      </c>
      <c r="E1585" s="3">
        <v>213</v>
      </c>
      <c r="F1585" t="s">
        <v>12</v>
      </c>
      <c r="G1585" t="s">
        <v>12</v>
      </c>
      <c r="H1585" s="1">
        <v>0</v>
      </c>
      <c r="I1585" s="1">
        <v>110.173251550263</v>
      </c>
      <c r="J1585" s="1">
        <v>341.40519944961801</v>
      </c>
      <c r="K1585" s="1"/>
      <c r="L1585" s="1">
        <v>67</v>
      </c>
      <c r="M1585" s="1"/>
      <c r="N1585" s="1"/>
      <c r="O1585" s="1">
        <v>4</v>
      </c>
      <c r="P1585" s="1"/>
      <c r="Q1585" s="1">
        <v>-398.97311359852898</v>
      </c>
      <c r="R1585" s="1">
        <v>736</v>
      </c>
      <c r="S1585" t="s">
        <v>11</v>
      </c>
    </row>
    <row r="1586" spans="1:19" x14ac:dyDescent="0.55000000000000004">
      <c r="A1586" t="s">
        <v>34</v>
      </c>
      <c r="B1586">
        <v>2012</v>
      </c>
      <c r="C1586">
        <v>100</v>
      </c>
      <c r="D1586" s="2">
        <v>0</v>
      </c>
      <c r="E1586" s="3">
        <v>100</v>
      </c>
      <c r="F1586" t="s">
        <v>12</v>
      </c>
      <c r="G1586" t="s">
        <v>12</v>
      </c>
      <c r="H1586" s="1">
        <v>0.19178004578152</v>
      </c>
      <c r="I1586" s="1">
        <v>155.099117557656</v>
      </c>
      <c r="J1586" s="1">
        <v>448.57551943664498</v>
      </c>
      <c r="K1586" s="1">
        <v>-86</v>
      </c>
      <c r="L1586" s="1">
        <v>72</v>
      </c>
      <c r="M1586" s="1"/>
      <c r="N1586" s="1"/>
      <c r="O1586" s="1"/>
      <c r="P1586" s="1"/>
      <c r="Q1586" s="1">
        <v>-401.45564049778898</v>
      </c>
      <c r="R1586" s="1">
        <v>690</v>
      </c>
      <c r="S1586" t="s">
        <v>11</v>
      </c>
    </row>
    <row r="1587" spans="1:19" x14ac:dyDescent="0.55000000000000004">
      <c r="A1587" t="s">
        <v>34</v>
      </c>
      <c r="B1587">
        <v>2011</v>
      </c>
      <c r="C1587">
        <v>964</v>
      </c>
      <c r="D1587" s="2">
        <v>0</v>
      </c>
      <c r="E1587" s="3">
        <v>964</v>
      </c>
      <c r="F1587" t="s">
        <v>12</v>
      </c>
      <c r="G1587" t="s">
        <v>12</v>
      </c>
      <c r="H1587" s="1">
        <v>0.20265884040500001</v>
      </c>
      <c r="I1587" s="1">
        <v>557.58913122868205</v>
      </c>
      <c r="J1587" s="1">
        <v>459.72809531560398</v>
      </c>
      <c r="K1587" s="1"/>
      <c r="L1587" s="1">
        <v>482</v>
      </c>
      <c r="M1587" s="1"/>
      <c r="N1587" s="1"/>
      <c r="O1587" s="1"/>
      <c r="P1587" s="1"/>
      <c r="Q1587" s="1">
        <v>177.713310610131</v>
      </c>
      <c r="R1587" s="1">
        <v>2464</v>
      </c>
      <c r="S1587" t="s">
        <v>11</v>
      </c>
    </row>
    <row r="1588" spans="1:19" x14ac:dyDescent="0.55000000000000004">
      <c r="A1588" t="s">
        <v>34</v>
      </c>
      <c r="B1588">
        <v>2010</v>
      </c>
      <c r="C1588">
        <v>1117</v>
      </c>
      <c r="D1588" s="2">
        <v>0</v>
      </c>
      <c r="E1588" s="3">
        <v>1117</v>
      </c>
      <c r="F1588" t="s">
        <v>12</v>
      </c>
      <c r="G1588" t="s">
        <v>12</v>
      </c>
      <c r="H1588" s="1">
        <v>0</v>
      </c>
      <c r="I1588" s="1">
        <v>1571.25310880952</v>
      </c>
      <c r="J1588" s="1"/>
      <c r="K1588" s="1"/>
      <c r="L1588" s="1">
        <v>237</v>
      </c>
      <c r="M1588" s="1"/>
      <c r="N1588" s="1">
        <v>-1798</v>
      </c>
      <c r="O1588" s="1"/>
      <c r="P1588" s="1"/>
      <c r="Q1588" s="1">
        <v>-4773.8342108179904</v>
      </c>
      <c r="R1588" s="1">
        <v>1127</v>
      </c>
      <c r="S1588" t="s">
        <v>11</v>
      </c>
    </row>
    <row r="1589" spans="1:19" x14ac:dyDescent="0.55000000000000004">
      <c r="A1589" t="s">
        <v>34</v>
      </c>
      <c r="B1589">
        <v>2009</v>
      </c>
      <c r="C1589">
        <v>40</v>
      </c>
      <c r="D1589" s="2">
        <v>0</v>
      </c>
      <c r="E1589" s="3">
        <v>40</v>
      </c>
      <c r="F1589" t="s">
        <v>12</v>
      </c>
      <c r="G1589" t="s">
        <v>12</v>
      </c>
      <c r="H1589" s="1">
        <v>0</v>
      </c>
      <c r="I1589" s="1">
        <v>57.398517736489303</v>
      </c>
      <c r="J1589" s="1">
        <v>131.89701652806801</v>
      </c>
      <c r="K1589" s="1"/>
      <c r="L1589" s="1">
        <v>40</v>
      </c>
      <c r="M1589" s="1"/>
      <c r="N1589" s="1">
        <v>-178</v>
      </c>
      <c r="O1589" s="1"/>
      <c r="P1589" s="1"/>
      <c r="Q1589" s="1">
        <v>-490.91608568706903</v>
      </c>
      <c r="R1589" s="1">
        <v>91</v>
      </c>
      <c r="S1589" t="s">
        <v>11</v>
      </c>
    </row>
    <row r="1590" spans="1:19" x14ac:dyDescent="0.55000000000000004">
      <c r="A1590" t="s">
        <v>34</v>
      </c>
      <c r="B1590">
        <v>2008</v>
      </c>
      <c r="C1590">
        <v>60</v>
      </c>
      <c r="D1590" s="2">
        <v>0</v>
      </c>
      <c r="E1590" s="3">
        <v>60</v>
      </c>
      <c r="F1590" t="s">
        <v>12</v>
      </c>
      <c r="G1590" t="s">
        <v>12</v>
      </c>
      <c r="H1590" s="1">
        <v>2.6910644294800001E-2</v>
      </c>
      <c r="I1590" s="1">
        <v>471.58840692217598</v>
      </c>
      <c r="J1590" s="1">
        <v>758.887406444421</v>
      </c>
      <c r="K1590" s="1"/>
      <c r="L1590" s="1"/>
      <c r="M1590" s="1"/>
      <c r="N1590" s="1"/>
      <c r="O1590" s="1"/>
      <c r="P1590" s="1"/>
      <c r="Q1590" s="1">
        <v>-1612.5302430854299</v>
      </c>
      <c r="R1590" s="1">
        <v>2903</v>
      </c>
      <c r="S1590" t="s">
        <v>9</v>
      </c>
    </row>
    <row r="1591" spans="1:19" x14ac:dyDescent="0.55000000000000004">
      <c r="A1591" t="s">
        <v>34</v>
      </c>
      <c r="B1591">
        <v>2007</v>
      </c>
      <c r="C1591">
        <v>233</v>
      </c>
      <c r="D1591" s="2">
        <v>0</v>
      </c>
      <c r="E1591" s="3">
        <v>233</v>
      </c>
      <c r="F1591" t="s">
        <v>12</v>
      </c>
      <c r="G1591" t="s">
        <v>12</v>
      </c>
      <c r="H1591" s="1">
        <v>0</v>
      </c>
      <c r="I1591" s="1">
        <v>14.975039803452001</v>
      </c>
      <c r="J1591" s="1">
        <v>141.992941767432</v>
      </c>
      <c r="K1591" s="1"/>
      <c r="L1591" s="1"/>
      <c r="M1591" s="1"/>
      <c r="N1591" s="1"/>
      <c r="O1591" s="1"/>
      <c r="P1591" s="1"/>
      <c r="Q1591" s="1">
        <v>-886.75253634256796</v>
      </c>
      <c r="R1591" s="1">
        <v>1277</v>
      </c>
      <c r="S1591" t="s">
        <v>9</v>
      </c>
    </row>
    <row r="1592" spans="1:19" x14ac:dyDescent="0.55000000000000004">
      <c r="A1592" t="s">
        <v>34</v>
      </c>
      <c r="B1592">
        <v>2006</v>
      </c>
      <c r="C1592">
        <v>2140</v>
      </c>
      <c r="D1592" s="2">
        <v>0</v>
      </c>
      <c r="E1592" s="3">
        <v>2140</v>
      </c>
      <c r="F1592" t="s">
        <v>12</v>
      </c>
      <c r="G1592" t="s">
        <v>12</v>
      </c>
      <c r="H1592" s="1">
        <v>3.3060840941727898</v>
      </c>
      <c r="I1592" s="1">
        <v>1498.2715520691099</v>
      </c>
      <c r="J1592" s="1">
        <v>532.08045772532103</v>
      </c>
      <c r="K1592" s="1"/>
      <c r="L1592" s="1"/>
      <c r="M1592" s="1"/>
      <c r="N1592" s="1"/>
      <c r="O1592" s="1"/>
      <c r="P1592" s="1"/>
      <c r="Q1592" s="1">
        <v>-155.94166599847799</v>
      </c>
      <c r="R1592" s="1">
        <v>4330</v>
      </c>
      <c r="S1592" t="s">
        <v>9</v>
      </c>
    </row>
    <row r="1593" spans="1:19" x14ac:dyDescent="0.55000000000000004">
      <c r="A1593" t="s">
        <v>34</v>
      </c>
      <c r="B1593">
        <v>2005</v>
      </c>
      <c r="C1593">
        <v>520</v>
      </c>
      <c r="D1593" s="2">
        <v>0</v>
      </c>
      <c r="E1593" s="3">
        <v>520</v>
      </c>
      <c r="F1593" t="s">
        <v>12</v>
      </c>
      <c r="G1593" t="s">
        <v>12</v>
      </c>
      <c r="H1593" s="1">
        <v>1.822470401308</v>
      </c>
      <c r="I1593" s="1">
        <v>548.39091719409601</v>
      </c>
      <c r="J1593" s="1">
        <v>288.955939548625</v>
      </c>
      <c r="K1593" s="1"/>
      <c r="L1593" s="1"/>
      <c r="M1593" s="1"/>
      <c r="N1593" s="1"/>
      <c r="O1593" s="1"/>
      <c r="P1593" s="1"/>
      <c r="Q1593" s="1">
        <v>227.12522418184599</v>
      </c>
      <c r="R1593" s="1">
        <v>1359</v>
      </c>
      <c r="S1593" t="s">
        <v>9</v>
      </c>
    </row>
    <row r="1594" spans="1:19" x14ac:dyDescent="0.55000000000000004">
      <c r="A1594" t="s">
        <v>34</v>
      </c>
      <c r="B1594">
        <v>2004</v>
      </c>
      <c r="C1594">
        <v>320</v>
      </c>
      <c r="D1594" s="2">
        <v>0</v>
      </c>
      <c r="E1594" s="3">
        <v>320</v>
      </c>
      <c r="F1594" t="s">
        <v>12</v>
      </c>
      <c r="G1594" t="s">
        <v>12</v>
      </c>
      <c r="H1594" s="1">
        <v>86.850561464285704</v>
      </c>
      <c r="I1594" s="1">
        <v>4260.3529258658</v>
      </c>
      <c r="J1594" s="1">
        <v>2335.1959785076401</v>
      </c>
      <c r="K1594" s="1"/>
      <c r="L1594" s="1"/>
      <c r="M1594" s="1"/>
      <c r="N1594" s="1"/>
      <c r="O1594" s="1"/>
      <c r="P1594" s="1"/>
      <c r="Q1594" s="1">
        <v>-5364.5104721287498</v>
      </c>
      <c r="R1594" s="1">
        <v>12367</v>
      </c>
      <c r="S1594" t="s">
        <v>9</v>
      </c>
    </row>
    <row r="1595" spans="1:19" x14ac:dyDescent="0.55000000000000004">
      <c r="A1595" t="s">
        <v>34</v>
      </c>
      <c r="B1595">
        <v>2003</v>
      </c>
      <c r="C1595">
        <v>380</v>
      </c>
      <c r="D1595" s="2">
        <v>0</v>
      </c>
      <c r="E1595" s="3">
        <v>380</v>
      </c>
      <c r="F1595" t="s">
        <v>12</v>
      </c>
      <c r="G1595" t="s">
        <v>12</v>
      </c>
      <c r="H1595" s="1">
        <v>58.072192940449298</v>
      </c>
      <c r="I1595" s="1">
        <v>2157.4378340665498</v>
      </c>
      <c r="J1595" s="1">
        <v>822.24221021625794</v>
      </c>
      <c r="K1595" s="1"/>
      <c r="L1595" s="1"/>
      <c r="M1595" s="1"/>
      <c r="N1595" s="1"/>
      <c r="O1595" s="1"/>
      <c r="P1595" s="1"/>
      <c r="Q1595" s="1">
        <v>-824.12832127954198</v>
      </c>
      <c r="R1595" s="1">
        <v>4242</v>
      </c>
      <c r="S1595" t="s">
        <v>9</v>
      </c>
    </row>
    <row r="1596" spans="1:19" x14ac:dyDescent="0.55000000000000004">
      <c r="A1596" t="s">
        <v>34</v>
      </c>
      <c r="B1596">
        <v>2002</v>
      </c>
      <c r="C1596">
        <v>1300</v>
      </c>
      <c r="D1596" s="2">
        <v>0</v>
      </c>
      <c r="E1596" s="3">
        <v>1300</v>
      </c>
      <c r="F1596" t="s">
        <v>12</v>
      </c>
      <c r="G1596" t="s">
        <v>12</v>
      </c>
      <c r="H1596" s="1">
        <v>0.102093932547541</v>
      </c>
      <c r="I1596" s="1">
        <v>862.20528415972001</v>
      </c>
      <c r="J1596" s="1">
        <v>80.354590383850393</v>
      </c>
      <c r="K1596" s="1"/>
      <c r="L1596" s="1"/>
      <c r="M1596" s="1"/>
      <c r="N1596" s="1"/>
      <c r="O1596" s="1"/>
      <c r="P1596" s="1"/>
      <c r="Q1596" s="1">
        <v>-1429.48142586986</v>
      </c>
      <c r="R1596" s="1">
        <v>3672</v>
      </c>
      <c r="S1596" t="s">
        <v>9</v>
      </c>
    </row>
    <row r="1597" spans="1:19" x14ac:dyDescent="0.55000000000000004">
      <c r="A1597" t="s">
        <v>34</v>
      </c>
      <c r="B1597">
        <v>2001</v>
      </c>
      <c r="C1597">
        <v>1000</v>
      </c>
      <c r="D1597" s="2">
        <v>0</v>
      </c>
      <c r="E1597" s="3">
        <v>1000</v>
      </c>
      <c r="F1597" t="s">
        <v>12</v>
      </c>
      <c r="G1597" t="s">
        <v>12</v>
      </c>
      <c r="H1597" s="1">
        <v>7.2618541719563598</v>
      </c>
      <c r="I1597" s="1">
        <v>187.43355762124801</v>
      </c>
      <c r="J1597" s="1">
        <v>94.881292432948399</v>
      </c>
      <c r="K1597" s="1"/>
      <c r="L1597" s="1"/>
      <c r="M1597" s="1"/>
      <c r="N1597" s="1"/>
      <c r="O1597" s="1"/>
      <c r="P1597" s="1"/>
      <c r="Q1597" s="1">
        <v>270.86593380705199</v>
      </c>
      <c r="R1597" s="1">
        <v>1290</v>
      </c>
      <c r="S1597" t="s">
        <v>9</v>
      </c>
    </row>
    <row r="1598" spans="1:19" x14ac:dyDescent="0.55000000000000004">
      <c r="A1598" t="s">
        <v>34</v>
      </c>
      <c r="B1598">
        <v>2000</v>
      </c>
      <c r="C1598">
        <v>3000</v>
      </c>
      <c r="D1598" s="2">
        <v>0</v>
      </c>
      <c r="E1598" s="3">
        <v>3000</v>
      </c>
      <c r="F1598" t="s">
        <v>12</v>
      </c>
      <c r="G1598" t="s">
        <v>12</v>
      </c>
      <c r="H1598" s="1">
        <v>2.96436815556129</v>
      </c>
      <c r="I1598" s="1">
        <v>2300.9027185551699</v>
      </c>
      <c r="J1598" s="1">
        <v>615.16713873803099</v>
      </c>
      <c r="K1598" s="1"/>
      <c r="L1598" s="1"/>
      <c r="M1598" s="1"/>
      <c r="N1598" s="1"/>
      <c r="O1598" s="1"/>
      <c r="P1598" s="1"/>
      <c r="Q1598" s="1">
        <v>1010.03232808142</v>
      </c>
      <c r="R1598" s="1">
        <v>5919</v>
      </c>
      <c r="S1598" t="s">
        <v>9</v>
      </c>
    </row>
    <row r="1599" spans="1:19" x14ac:dyDescent="0.55000000000000004">
      <c r="A1599" t="s">
        <v>34</v>
      </c>
      <c r="B1599">
        <v>1999</v>
      </c>
      <c r="C1599">
        <v>1160</v>
      </c>
      <c r="D1599" s="2">
        <v>0</v>
      </c>
      <c r="E1599" s="3">
        <v>1160</v>
      </c>
      <c r="F1599" t="s">
        <v>12</v>
      </c>
      <c r="G1599" t="s">
        <v>12</v>
      </c>
      <c r="H1599" s="1">
        <v>0.93111608020899905</v>
      </c>
      <c r="I1599" s="1">
        <v>123.74957441139701</v>
      </c>
      <c r="J1599" s="1">
        <v>114.06772065241699</v>
      </c>
      <c r="K1599" s="1"/>
      <c r="L1599" s="1"/>
      <c r="M1599" s="1"/>
      <c r="N1599" s="1"/>
      <c r="O1599" s="1"/>
      <c r="P1599" s="1"/>
      <c r="Q1599" s="1">
        <v>17.646192755662</v>
      </c>
      <c r="R1599" s="1">
        <v>1399</v>
      </c>
      <c r="S1599" t="s">
        <v>9</v>
      </c>
    </row>
    <row r="1600" spans="1:19" x14ac:dyDescent="0.55000000000000004">
      <c r="A1600" t="s">
        <v>34</v>
      </c>
      <c r="B1600">
        <v>1998</v>
      </c>
      <c r="C1600">
        <v>400</v>
      </c>
      <c r="D1600" s="2">
        <v>0</v>
      </c>
      <c r="E1600" s="3">
        <v>400</v>
      </c>
      <c r="F1600" t="s">
        <v>12</v>
      </c>
      <c r="G1600" t="s">
        <v>12</v>
      </c>
      <c r="H1600" s="1">
        <v>17.6702076344076</v>
      </c>
      <c r="I1600" s="1">
        <v>231.77557606221799</v>
      </c>
      <c r="J1600" s="1">
        <v>73.307653763795699</v>
      </c>
      <c r="K1600" s="1"/>
      <c r="L1600" s="1"/>
      <c r="M1600" s="1"/>
      <c r="N1600" s="1"/>
      <c r="O1600" s="1"/>
      <c r="P1600" s="1"/>
      <c r="Q1600" s="1">
        <v>-129.16343247611701</v>
      </c>
      <c r="R1600" s="1">
        <v>852</v>
      </c>
      <c r="S1600" t="s">
        <v>9</v>
      </c>
    </row>
    <row r="1601" spans="1:19" x14ac:dyDescent="0.55000000000000004">
      <c r="A1601" t="s">
        <v>34</v>
      </c>
      <c r="B1601">
        <v>1997</v>
      </c>
      <c r="C1601">
        <v>325</v>
      </c>
      <c r="D1601" s="2">
        <v>0</v>
      </c>
      <c r="E1601" s="3">
        <v>325</v>
      </c>
      <c r="F1601" t="s">
        <v>12</v>
      </c>
      <c r="G1601" t="s">
        <v>12</v>
      </c>
      <c r="H1601" s="1">
        <v>20.346996764560298</v>
      </c>
      <c r="I1601" s="1">
        <v>1048.3998123727999</v>
      </c>
      <c r="J1601" s="1">
        <v>32.5670548775296</v>
      </c>
      <c r="K1601" s="1"/>
      <c r="L1601" s="1"/>
      <c r="M1601" s="1"/>
      <c r="N1601" s="1"/>
      <c r="O1601" s="1"/>
      <c r="P1601" s="1"/>
      <c r="Q1601" s="1">
        <v>11.139320499948701</v>
      </c>
      <c r="R1601" s="1">
        <v>1426</v>
      </c>
      <c r="S1601" t="s">
        <v>9</v>
      </c>
    </row>
    <row r="1602" spans="1:19" x14ac:dyDescent="0.55000000000000004">
      <c r="A1602" t="s">
        <v>34</v>
      </c>
      <c r="B1602">
        <v>1996</v>
      </c>
      <c r="C1602">
        <v>1470</v>
      </c>
      <c r="D1602" s="2">
        <v>0</v>
      </c>
      <c r="E1602" s="3">
        <v>1470</v>
      </c>
      <c r="F1602" t="s">
        <v>12</v>
      </c>
      <c r="G1602" t="s">
        <v>12</v>
      </c>
      <c r="H1602" s="1">
        <v>16.883937215794301</v>
      </c>
      <c r="I1602" s="1">
        <v>1026.48314261879</v>
      </c>
      <c r="J1602" s="1">
        <v>371.16341787940098</v>
      </c>
      <c r="K1602" s="1"/>
      <c r="L1602" s="1"/>
      <c r="M1602" s="1"/>
      <c r="N1602" s="1"/>
      <c r="O1602" s="1"/>
      <c r="P1602" s="1"/>
      <c r="Q1602" s="1">
        <v>632.77602502053901</v>
      </c>
      <c r="R1602" s="1">
        <v>2885</v>
      </c>
      <c r="S1602" t="s">
        <v>9</v>
      </c>
    </row>
    <row r="1603" spans="1:19" x14ac:dyDescent="0.55000000000000004">
      <c r="A1603" t="s">
        <v>34</v>
      </c>
      <c r="B1603">
        <v>1995</v>
      </c>
      <c r="C1603">
        <v>1840</v>
      </c>
      <c r="D1603" s="2">
        <v>0</v>
      </c>
      <c r="E1603" s="3">
        <v>1840</v>
      </c>
      <c r="F1603" t="s">
        <v>12</v>
      </c>
      <c r="G1603" t="s">
        <v>12</v>
      </c>
      <c r="H1603" s="1">
        <v>7.81600599172328</v>
      </c>
      <c r="I1603" s="1">
        <v>1441.8183599164199</v>
      </c>
      <c r="J1603" s="1">
        <v>1064.3318521348101</v>
      </c>
      <c r="K1603" s="1"/>
      <c r="L1603" s="1"/>
      <c r="M1603" s="1"/>
      <c r="N1603" s="1"/>
      <c r="O1603" s="1"/>
      <c r="P1603" s="1"/>
      <c r="Q1603" s="1">
        <v>537.81322267864198</v>
      </c>
      <c r="R1603" s="1">
        <v>4354</v>
      </c>
      <c r="S1603" t="s">
        <v>9</v>
      </c>
    </row>
    <row r="1604" spans="1:19" x14ac:dyDescent="0.55000000000000004">
      <c r="A1604" t="s">
        <v>34</v>
      </c>
      <c r="B1604">
        <v>1994</v>
      </c>
      <c r="C1604">
        <v>270</v>
      </c>
      <c r="D1604" s="2">
        <v>0</v>
      </c>
      <c r="E1604" s="3">
        <v>270</v>
      </c>
      <c r="F1604" t="s">
        <v>12</v>
      </c>
      <c r="G1604" t="s">
        <v>12</v>
      </c>
      <c r="H1604" s="1">
        <v>15.267152540870301</v>
      </c>
      <c r="I1604" s="1">
        <v>1035.8486913051499</v>
      </c>
      <c r="J1604" s="1">
        <v>123.074598405828</v>
      </c>
      <c r="K1604" s="1"/>
      <c r="L1604" s="1"/>
      <c r="M1604" s="1"/>
      <c r="N1604" s="1"/>
      <c r="O1604" s="1"/>
      <c r="P1604" s="1"/>
      <c r="Q1604" s="1">
        <v>-96.583895670364299</v>
      </c>
      <c r="R1604" s="1">
        <v>1541</v>
      </c>
      <c r="S1604" t="s">
        <v>9</v>
      </c>
    </row>
    <row r="1605" spans="1:19" x14ac:dyDescent="0.55000000000000004">
      <c r="A1605" t="s">
        <v>34</v>
      </c>
      <c r="B1605">
        <v>1992</v>
      </c>
      <c r="C1605">
        <v>970</v>
      </c>
      <c r="D1605" s="2">
        <v>0</v>
      </c>
      <c r="E1605" s="3">
        <v>970</v>
      </c>
      <c r="F1605" t="s">
        <v>12</v>
      </c>
      <c r="G1605" t="s">
        <v>12</v>
      </c>
      <c r="H1605" s="1">
        <v>162.202095556112</v>
      </c>
      <c r="I1605" s="1">
        <v>12685.190511782301</v>
      </c>
      <c r="J1605" s="1">
        <v>2347.7658965058499</v>
      </c>
      <c r="K1605" s="1"/>
      <c r="L1605" s="1"/>
      <c r="M1605" s="1"/>
      <c r="N1605" s="1"/>
      <c r="O1605" s="1"/>
      <c r="P1605" s="1"/>
      <c r="Q1605" s="1">
        <v>-1643.1669853647099</v>
      </c>
      <c r="R1605" s="1">
        <v>17808</v>
      </c>
      <c r="S1605" t="s">
        <v>9</v>
      </c>
    </row>
    <row r="1606" spans="1:19" x14ac:dyDescent="0.55000000000000004">
      <c r="A1606" t="s">
        <v>34</v>
      </c>
      <c r="B1606">
        <v>1989</v>
      </c>
      <c r="C1606">
        <v>65</v>
      </c>
      <c r="D1606" s="2">
        <v>0</v>
      </c>
      <c r="E1606" s="3">
        <v>65</v>
      </c>
      <c r="F1606" t="s">
        <v>12</v>
      </c>
      <c r="G1606" t="s">
        <v>12</v>
      </c>
      <c r="H1606" s="1">
        <v>2.1353729056322202</v>
      </c>
      <c r="I1606" s="1">
        <v>459.580298178249</v>
      </c>
      <c r="J1606" s="1">
        <v>21.3697289701615</v>
      </c>
      <c r="K1606" s="1"/>
      <c r="L1606" s="1"/>
      <c r="M1606" s="1"/>
      <c r="N1606" s="1"/>
      <c r="O1606" s="1"/>
      <c r="P1606" s="1"/>
      <c r="Q1606" s="1">
        <v>-22.5473541820799</v>
      </c>
      <c r="R1606" s="1">
        <v>571</v>
      </c>
      <c r="S1606" t="s">
        <v>9</v>
      </c>
    </row>
    <row r="1607" spans="1:19" x14ac:dyDescent="0.55000000000000004">
      <c r="A1607" t="s">
        <v>34</v>
      </c>
      <c r="B1607">
        <v>1988</v>
      </c>
      <c r="C1607">
        <v>11138</v>
      </c>
      <c r="D1607" s="2">
        <v>0</v>
      </c>
      <c r="E1607" s="3">
        <v>11138</v>
      </c>
      <c r="F1607" t="s">
        <v>12</v>
      </c>
      <c r="G1607" t="s">
        <v>12</v>
      </c>
      <c r="H1607" s="1">
        <v>0</v>
      </c>
      <c r="I1607" s="1">
        <v>14013.5101445787</v>
      </c>
      <c r="J1607" s="1">
        <v>4086.6227161192701</v>
      </c>
      <c r="K1607" s="1"/>
      <c r="L1607" s="1"/>
      <c r="M1607" s="1"/>
      <c r="N1607" s="1"/>
      <c r="O1607" s="1"/>
      <c r="P1607" s="1"/>
      <c r="Q1607" s="1">
        <v>620.53777379581004</v>
      </c>
      <c r="R1607" s="1">
        <v>29238</v>
      </c>
      <c r="S1607" t="s">
        <v>9</v>
      </c>
    </row>
    <row r="1608" spans="1:19" x14ac:dyDescent="0.55000000000000004">
      <c r="A1608" t="s">
        <v>34</v>
      </c>
      <c r="B1608">
        <v>1987</v>
      </c>
      <c r="C1608">
        <v>3571</v>
      </c>
      <c r="D1608" s="2">
        <v>21</v>
      </c>
      <c r="E1608" s="3">
        <v>3592</v>
      </c>
      <c r="F1608" t="s">
        <v>12</v>
      </c>
      <c r="G1608" t="s">
        <v>12</v>
      </c>
      <c r="H1608" s="1">
        <v>4.7124462439409198</v>
      </c>
      <c r="I1608" s="1">
        <v>14646.699496569099</v>
      </c>
      <c r="J1608" s="1">
        <v>1217.2835255990501</v>
      </c>
      <c r="K1608" s="1"/>
      <c r="L1608" s="1"/>
      <c r="M1608" s="1"/>
      <c r="N1608" s="1"/>
      <c r="O1608" s="1"/>
      <c r="P1608" s="1"/>
      <c r="Q1608" s="1">
        <v>-787.11134270578998</v>
      </c>
      <c r="R1608" s="1">
        <v>20248</v>
      </c>
      <c r="S1608" t="s">
        <v>9</v>
      </c>
    </row>
    <row r="1609" spans="1:19" x14ac:dyDescent="0.55000000000000004">
      <c r="A1609" t="s">
        <v>34</v>
      </c>
      <c r="B1609">
        <v>1985</v>
      </c>
      <c r="C1609">
        <v>0</v>
      </c>
      <c r="D1609" s="2">
        <v>0</v>
      </c>
      <c r="E1609" s="3">
        <v>0</v>
      </c>
      <c r="F1609" t="s">
        <v>12</v>
      </c>
      <c r="G1609" t="s">
        <v>12</v>
      </c>
      <c r="H1609" s="1"/>
      <c r="I1609" s="1"/>
      <c r="J1609" s="1"/>
      <c r="K1609" s="1"/>
      <c r="L1609" s="1"/>
      <c r="M1609" s="1"/>
      <c r="N1609" s="1"/>
      <c r="O1609" s="1"/>
      <c r="P1609" s="1"/>
      <c r="Q1609" s="1">
        <v>0</v>
      </c>
      <c r="R1609" s="1">
        <v>0</v>
      </c>
      <c r="S1609" t="s">
        <v>9</v>
      </c>
    </row>
    <row r="1610" spans="1:19" x14ac:dyDescent="0.55000000000000004">
      <c r="A1610" t="s">
        <v>34</v>
      </c>
      <c r="B1610">
        <v>1984</v>
      </c>
      <c r="C1610">
        <v>2771</v>
      </c>
      <c r="D1610" s="2">
        <v>0</v>
      </c>
      <c r="E1610" s="3">
        <v>2771</v>
      </c>
      <c r="F1610" t="s">
        <v>12</v>
      </c>
      <c r="G1610" t="s">
        <v>12</v>
      </c>
      <c r="H1610" s="1">
        <v>0</v>
      </c>
      <c r="I1610" s="1">
        <v>9017.2637829868108</v>
      </c>
      <c r="J1610" s="1">
        <v>1143.1451119496201</v>
      </c>
      <c r="K1610" s="1"/>
      <c r="L1610" s="1"/>
      <c r="M1610" s="1"/>
      <c r="N1610" s="1"/>
      <c r="O1610" s="1"/>
      <c r="P1610" s="1"/>
      <c r="Q1610" s="1">
        <v>1358.72719964678</v>
      </c>
      <c r="R1610" s="1">
        <v>12931</v>
      </c>
      <c r="S1610" t="s">
        <v>9</v>
      </c>
    </row>
    <row r="1611" spans="1:19" x14ac:dyDescent="0.55000000000000004">
      <c r="A1611" t="s">
        <v>34</v>
      </c>
      <c r="B1611">
        <v>1983</v>
      </c>
      <c r="C1611">
        <v>1630</v>
      </c>
      <c r="D1611" s="2">
        <v>0</v>
      </c>
      <c r="E1611" s="3">
        <v>1630</v>
      </c>
      <c r="F1611" t="s">
        <v>12</v>
      </c>
      <c r="G1611" t="s">
        <v>12</v>
      </c>
      <c r="H1611" s="1">
        <v>169.59822548944101</v>
      </c>
      <c r="I1611" s="1">
        <v>1982.88454520142</v>
      </c>
      <c r="J1611" s="1">
        <v>750.79753007009401</v>
      </c>
      <c r="K1611" s="1"/>
      <c r="L1611" s="1"/>
      <c r="M1611" s="1"/>
      <c r="N1611" s="1"/>
      <c r="O1611" s="1"/>
      <c r="P1611" s="1"/>
      <c r="Q1611" s="1">
        <v>1309.1106244432001</v>
      </c>
      <c r="R1611" s="1">
        <v>4533</v>
      </c>
      <c r="S1611" t="s">
        <v>9</v>
      </c>
    </row>
    <row r="1612" spans="1:19" x14ac:dyDescent="0.55000000000000004">
      <c r="A1612" t="s">
        <v>34</v>
      </c>
      <c r="B1612">
        <v>1980</v>
      </c>
      <c r="C1612">
        <v>679</v>
      </c>
      <c r="D1612" s="2">
        <v>0</v>
      </c>
      <c r="E1612" s="3">
        <v>679</v>
      </c>
      <c r="F1612" t="s">
        <v>12</v>
      </c>
      <c r="G1612" t="s">
        <v>12</v>
      </c>
      <c r="H1612" s="1"/>
      <c r="I1612" s="1">
        <v>1466.62940948035</v>
      </c>
      <c r="J1612" s="1">
        <v>134.80534515533</v>
      </c>
      <c r="K1612" s="1"/>
      <c r="L1612" s="1"/>
      <c r="M1612" s="1"/>
      <c r="N1612" s="1"/>
      <c r="O1612" s="1"/>
      <c r="P1612" s="1"/>
      <c r="Q1612" s="1">
        <v>2.86861685194719</v>
      </c>
      <c r="R1612" s="1">
        <v>2280</v>
      </c>
      <c r="S1612" t="s">
        <v>9</v>
      </c>
    </row>
    <row r="1613" spans="1:19" x14ac:dyDescent="0.55000000000000004">
      <c r="A1613" t="s">
        <v>34</v>
      </c>
      <c r="B1613">
        <v>1979</v>
      </c>
      <c r="C1613">
        <v>0</v>
      </c>
      <c r="D1613" s="2">
        <v>0</v>
      </c>
      <c r="E1613" s="3">
        <v>0</v>
      </c>
      <c r="F1613" t="s">
        <v>12</v>
      </c>
      <c r="G1613" t="s">
        <v>12</v>
      </c>
      <c r="H1613" s="1"/>
      <c r="I1613" s="1"/>
      <c r="J1613" s="1"/>
      <c r="K1613" s="1"/>
      <c r="L1613" s="1"/>
      <c r="M1613" s="1"/>
      <c r="N1613" s="1"/>
      <c r="O1613" s="1"/>
      <c r="P1613" s="1"/>
      <c r="Q1613" s="1">
        <v>0</v>
      </c>
      <c r="R1613" s="1">
        <v>0</v>
      </c>
      <c r="S1613" t="s">
        <v>9</v>
      </c>
    </row>
    <row r="1614" spans="1:19" x14ac:dyDescent="0.55000000000000004">
      <c r="A1614" t="s">
        <v>34</v>
      </c>
      <c r="B1614">
        <v>1977</v>
      </c>
      <c r="C1614">
        <v>0</v>
      </c>
      <c r="D1614" s="2">
        <v>0</v>
      </c>
      <c r="E1614" s="3">
        <v>0</v>
      </c>
      <c r="F1614" t="s">
        <v>12</v>
      </c>
      <c r="G1614" t="s">
        <v>12</v>
      </c>
      <c r="H1614" s="1"/>
      <c r="I1614" s="1"/>
      <c r="J1614" s="1"/>
      <c r="K1614" s="1"/>
      <c r="L1614" s="1"/>
      <c r="M1614" s="1"/>
      <c r="N1614" s="1"/>
      <c r="O1614" s="1"/>
      <c r="P1614" s="1"/>
      <c r="Q1614" s="1">
        <v>0</v>
      </c>
      <c r="R1614" s="1">
        <v>0</v>
      </c>
      <c r="S1614" t="s">
        <v>9</v>
      </c>
    </row>
    <row r="1615" spans="1:19" x14ac:dyDescent="0.55000000000000004">
      <c r="A1615" t="s">
        <v>34</v>
      </c>
      <c r="B1615">
        <v>1976</v>
      </c>
      <c r="C1615">
        <v>630</v>
      </c>
      <c r="D1615" s="2">
        <v>4</v>
      </c>
      <c r="E1615" s="3">
        <v>634</v>
      </c>
      <c r="F1615" t="s">
        <v>12</v>
      </c>
      <c r="G1615" t="s">
        <v>12</v>
      </c>
      <c r="H1615" s="1"/>
      <c r="I1615" s="1">
        <v>2466</v>
      </c>
      <c r="J1615" s="1">
        <v>54</v>
      </c>
      <c r="K1615" s="1"/>
      <c r="L1615" s="1"/>
      <c r="M1615" s="1"/>
      <c r="N1615" s="1"/>
      <c r="O1615" s="1"/>
      <c r="P1615" s="1"/>
      <c r="Q1615" s="1"/>
      <c r="R1615" s="1">
        <v>3154</v>
      </c>
      <c r="S1615" t="s">
        <v>12</v>
      </c>
    </row>
    <row r="1616" spans="1:19" x14ac:dyDescent="0.55000000000000004">
      <c r="A1616" t="s">
        <v>34</v>
      </c>
      <c r="B1616">
        <v>1975</v>
      </c>
      <c r="C1616">
        <v>4394</v>
      </c>
      <c r="D1616" s="2">
        <v>0</v>
      </c>
      <c r="E1616" s="3">
        <v>4394</v>
      </c>
      <c r="F1616" t="s">
        <v>12</v>
      </c>
      <c r="G1616" t="s">
        <v>12</v>
      </c>
      <c r="H1616" s="1"/>
      <c r="I1616" s="1">
        <v>10991</v>
      </c>
      <c r="J1616" s="1">
        <v>1354</v>
      </c>
      <c r="K1616" s="1"/>
      <c r="L1616" s="1"/>
      <c r="M1616" s="1"/>
      <c r="N1616" s="1"/>
      <c r="O1616" s="1"/>
      <c r="P1616" s="1"/>
      <c r="Q1616" s="1"/>
      <c r="R1616" s="1">
        <v>16739</v>
      </c>
      <c r="S1616" t="s">
        <v>11</v>
      </c>
    </row>
    <row r="1617" spans="1:19" x14ac:dyDescent="0.55000000000000004">
      <c r="A1617" t="s">
        <v>34</v>
      </c>
      <c r="B1617">
        <v>1974</v>
      </c>
      <c r="C1617">
        <v>0</v>
      </c>
      <c r="D1617" s="2">
        <v>0</v>
      </c>
      <c r="E1617" s="3">
        <v>0</v>
      </c>
      <c r="F1617" t="s">
        <v>12</v>
      </c>
      <c r="G1617" t="s">
        <v>12</v>
      </c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>
        <v>0</v>
      </c>
      <c r="S1617" t="s">
        <v>12</v>
      </c>
    </row>
    <row r="1618" spans="1:19" x14ac:dyDescent="0.55000000000000004">
      <c r="A1618" t="s">
        <v>34</v>
      </c>
      <c r="B1618">
        <v>1973</v>
      </c>
      <c r="C1618">
        <v>0</v>
      </c>
      <c r="D1618" s="2">
        <v>0</v>
      </c>
      <c r="E1618" s="3">
        <v>0</v>
      </c>
      <c r="F1618" t="s">
        <v>12</v>
      </c>
      <c r="G1618" t="s">
        <v>12</v>
      </c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>
        <v>0</v>
      </c>
      <c r="S1618" t="s">
        <v>12</v>
      </c>
    </row>
    <row r="1619" spans="1:19" x14ac:dyDescent="0.55000000000000004">
      <c r="A1619" t="s">
        <v>34</v>
      </c>
      <c r="B1619">
        <v>1972</v>
      </c>
      <c r="C1619">
        <v>2285</v>
      </c>
      <c r="D1619" s="2">
        <v>2</v>
      </c>
      <c r="E1619" s="3">
        <v>2287</v>
      </c>
      <c r="F1619" t="s">
        <v>12</v>
      </c>
      <c r="G1619" t="s">
        <v>12</v>
      </c>
      <c r="H1619" s="1"/>
      <c r="I1619" s="1">
        <v>18250</v>
      </c>
      <c r="J1619" s="1">
        <v>1401</v>
      </c>
      <c r="K1619" s="1"/>
      <c r="L1619" s="1"/>
      <c r="M1619" s="1"/>
      <c r="N1619" s="1"/>
      <c r="O1619" s="1"/>
      <c r="P1619" s="1"/>
      <c r="Q1619" s="1"/>
      <c r="R1619" s="1">
        <v>21938</v>
      </c>
      <c r="S1619" t="s">
        <v>12</v>
      </c>
    </row>
    <row r="1620" spans="1:19" x14ac:dyDescent="0.55000000000000004">
      <c r="A1620" t="s">
        <v>34</v>
      </c>
      <c r="B1620">
        <v>1971</v>
      </c>
      <c r="C1620">
        <v>10500</v>
      </c>
      <c r="D1620" s="2">
        <v>0</v>
      </c>
      <c r="E1620" s="3">
        <v>10500</v>
      </c>
      <c r="F1620" t="s">
        <v>12</v>
      </c>
      <c r="G1620" t="s">
        <v>12</v>
      </c>
      <c r="H1620" s="1"/>
      <c r="I1620" s="1">
        <v>62210</v>
      </c>
      <c r="J1620" s="1">
        <v>2675</v>
      </c>
      <c r="K1620" s="1"/>
      <c r="L1620" s="1"/>
      <c r="M1620" s="1"/>
      <c r="N1620" s="1"/>
      <c r="O1620" s="1"/>
      <c r="P1620" s="1"/>
      <c r="Q1620" s="1"/>
      <c r="R1620" s="1">
        <v>75385</v>
      </c>
      <c r="S1620" t="s">
        <v>12</v>
      </c>
    </row>
    <row r="1621" spans="1:19" x14ac:dyDescent="0.55000000000000004">
      <c r="A1621" t="s">
        <v>34</v>
      </c>
      <c r="B1621">
        <v>1970</v>
      </c>
      <c r="C1621">
        <v>0</v>
      </c>
      <c r="D1621" s="2">
        <v>0</v>
      </c>
      <c r="E1621" s="3">
        <v>0</v>
      </c>
      <c r="F1621" t="s">
        <v>12</v>
      </c>
      <c r="G1621" t="s">
        <v>12</v>
      </c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>
        <v>0</v>
      </c>
      <c r="S1621" t="s">
        <v>12</v>
      </c>
    </row>
    <row r="1622" spans="1:19" x14ac:dyDescent="0.55000000000000004">
      <c r="A1622" t="s">
        <v>34</v>
      </c>
      <c r="B1622">
        <v>1969</v>
      </c>
      <c r="C1622">
        <v>0</v>
      </c>
      <c r="D1622" s="2">
        <v>0</v>
      </c>
      <c r="E1622" s="3">
        <v>0</v>
      </c>
      <c r="F1622" t="s">
        <v>12</v>
      </c>
      <c r="G1622" t="s">
        <v>12</v>
      </c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>
        <v>0</v>
      </c>
      <c r="S1622" t="s">
        <v>12</v>
      </c>
    </row>
    <row r="1623" spans="1:19" x14ac:dyDescent="0.55000000000000004">
      <c r="A1623" t="s">
        <v>34</v>
      </c>
      <c r="B1623">
        <v>1968</v>
      </c>
      <c r="C1623">
        <v>0</v>
      </c>
      <c r="D1623" s="2">
        <v>0</v>
      </c>
      <c r="E1623" s="3">
        <v>0</v>
      </c>
      <c r="F1623" t="s">
        <v>12</v>
      </c>
      <c r="G1623" t="s">
        <v>12</v>
      </c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>
        <v>0</v>
      </c>
      <c r="S1623" t="s">
        <v>12</v>
      </c>
    </row>
    <row r="1624" spans="1:19" x14ac:dyDescent="0.55000000000000004">
      <c r="A1624" t="s">
        <v>34</v>
      </c>
      <c r="B1624">
        <v>1967</v>
      </c>
      <c r="C1624">
        <v>5700</v>
      </c>
      <c r="D1624" s="2">
        <v>0</v>
      </c>
      <c r="E1624" s="3">
        <v>5700</v>
      </c>
      <c r="F1624" t="s">
        <v>12</v>
      </c>
      <c r="G1624" t="s">
        <v>12</v>
      </c>
      <c r="H1624" s="1"/>
      <c r="I1624" s="1">
        <v>30989.607429039701</v>
      </c>
      <c r="J1624" s="1">
        <v>758</v>
      </c>
      <c r="K1624" s="1"/>
      <c r="L1624" s="1"/>
      <c r="M1624" s="1"/>
      <c r="N1624" s="1"/>
      <c r="O1624" s="1"/>
      <c r="P1624" s="1"/>
      <c r="Q1624" s="1"/>
      <c r="R1624" s="1">
        <v>37448</v>
      </c>
      <c r="S1624" t="s">
        <v>12</v>
      </c>
    </row>
    <row r="1625" spans="1:19" x14ac:dyDescent="0.55000000000000004">
      <c r="A1625" t="s">
        <v>34</v>
      </c>
      <c r="B1625">
        <v>1966</v>
      </c>
      <c r="C1625">
        <v>353</v>
      </c>
      <c r="D1625" s="2">
        <v>0</v>
      </c>
      <c r="E1625" s="3">
        <v>353</v>
      </c>
      <c r="F1625" t="s">
        <v>12</v>
      </c>
      <c r="G1625" t="s">
        <v>12</v>
      </c>
      <c r="H1625" s="1"/>
      <c r="I1625" s="1">
        <v>1394.5557311299401</v>
      </c>
      <c r="J1625" s="1">
        <v>95</v>
      </c>
      <c r="K1625" s="1"/>
      <c r="L1625" s="1"/>
      <c r="M1625" s="1"/>
      <c r="N1625" s="1"/>
      <c r="O1625" s="1"/>
      <c r="P1625" s="1"/>
      <c r="Q1625" s="1"/>
      <c r="R1625" s="1">
        <v>1843</v>
      </c>
      <c r="S1625" t="s">
        <v>12</v>
      </c>
    </row>
    <row r="1626" spans="1:19" x14ac:dyDescent="0.55000000000000004">
      <c r="A1626" t="s">
        <v>34</v>
      </c>
      <c r="B1626">
        <v>1965</v>
      </c>
      <c r="C1626">
        <v>0</v>
      </c>
      <c r="D1626" s="2">
        <v>0</v>
      </c>
      <c r="E1626" s="3">
        <v>0</v>
      </c>
      <c r="F1626" t="s">
        <v>12</v>
      </c>
      <c r="G1626" t="s">
        <v>12</v>
      </c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>
        <v>0</v>
      </c>
      <c r="S1626" t="s">
        <v>12</v>
      </c>
    </row>
    <row r="1627" spans="1:19" x14ac:dyDescent="0.55000000000000004">
      <c r="A1627" t="s">
        <v>34</v>
      </c>
      <c r="B1627">
        <v>1964</v>
      </c>
      <c r="C1627">
        <v>433</v>
      </c>
      <c r="D1627" s="2">
        <v>0</v>
      </c>
      <c r="E1627" s="3">
        <v>433</v>
      </c>
      <c r="F1627" t="s">
        <v>12</v>
      </c>
      <c r="G1627" t="s">
        <v>12</v>
      </c>
      <c r="H1627" s="1"/>
      <c r="I1627" s="1">
        <v>2138.5962279383898</v>
      </c>
      <c r="J1627" s="1">
        <v>167</v>
      </c>
      <c r="K1627" s="1"/>
      <c r="L1627" s="1"/>
      <c r="M1627" s="1"/>
      <c r="N1627" s="1"/>
      <c r="O1627" s="1"/>
      <c r="P1627" s="1"/>
      <c r="Q1627" s="1"/>
      <c r="R1627" s="1">
        <v>2739</v>
      </c>
      <c r="S1627" t="s">
        <v>11</v>
      </c>
    </row>
    <row r="1628" spans="1:19" x14ac:dyDescent="0.55000000000000004">
      <c r="A1628" t="s">
        <v>34</v>
      </c>
      <c r="B1628">
        <v>1963</v>
      </c>
      <c r="C1628">
        <v>31634</v>
      </c>
      <c r="D1628" s="2">
        <v>33</v>
      </c>
      <c r="E1628" s="3">
        <v>31667</v>
      </c>
      <c r="F1628" t="s">
        <v>12</v>
      </c>
      <c r="G1628" t="s">
        <v>12</v>
      </c>
      <c r="H1628" s="1"/>
      <c r="I1628" s="1">
        <v>35232.390143253098</v>
      </c>
      <c r="J1628" s="1">
        <v>3612</v>
      </c>
      <c r="K1628" s="1"/>
      <c r="L1628" s="1"/>
      <c r="M1628" s="1"/>
      <c r="N1628" s="1"/>
      <c r="O1628" s="1"/>
      <c r="P1628" s="1"/>
      <c r="Q1628" s="1"/>
      <c r="R1628" s="1">
        <v>70511</v>
      </c>
      <c r="S1628" t="s">
        <v>12</v>
      </c>
    </row>
    <row r="1629" spans="1:19" x14ac:dyDescent="0.55000000000000004">
      <c r="A1629" t="s">
        <v>34</v>
      </c>
      <c r="B1629">
        <v>1962</v>
      </c>
      <c r="C1629">
        <v>649</v>
      </c>
      <c r="D1629" s="2">
        <v>8</v>
      </c>
      <c r="E1629" s="3">
        <v>657</v>
      </c>
      <c r="F1629" t="s">
        <v>12</v>
      </c>
      <c r="G1629" t="s">
        <v>12</v>
      </c>
      <c r="H1629" s="1"/>
      <c r="I1629" s="1">
        <v>2165.1989347794802</v>
      </c>
      <c r="J1629" s="1">
        <v>161</v>
      </c>
      <c r="K1629" s="1"/>
      <c r="L1629" s="1"/>
      <c r="M1629" s="1"/>
      <c r="N1629" s="1"/>
      <c r="O1629" s="1"/>
      <c r="P1629" s="1"/>
      <c r="Q1629" s="1"/>
      <c r="R1629" s="1">
        <v>2983</v>
      </c>
      <c r="S1629" t="s">
        <v>12</v>
      </c>
    </row>
    <row r="1630" spans="1:19" x14ac:dyDescent="0.55000000000000004">
      <c r="A1630" t="s">
        <v>34</v>
      </c>
      <c r="B1630">
        <v>1961</v>
      </c>
      <c r="C1630">
        <v>80</v>
      </c>
      <c r="D1630" s="2">
        <v>0</v>
      </c>
      <c r="E1630" s="3">
        <v>80</v>
      </c>
      <c r="F1630" t="s">
        <v>12</v>
      </c>
      <c r="G1630" t="s">
        <v>12</v>
      </c>
      <c r="H1630" s="1"/>
      <c r="I1630" s="1">
        <v>196</v>
      </c>
      <c r="J1630" s="1">
        <v>17</v>
      </c>
      <c r="K1630" s="1"/>
      <c r="L1630" s="1"/>
      <c r="M1630" s="1"/>
      <c r="N1630" s="1"/>
      <c r="O1630" s="1"/>
      <c r="P1630" s="1"/>
      <c r="Q1630" s="1"/>
      <c r="R1630" s="1">
        <v>293</v>
      </c>
      <c r="S1630" t="s">
        <v>12</v>
      </c>
    </row>
    <row r="1631" spans="1:19" x14ac:dyDescent="0.55000000000000004">
      <c r="A1631" t="s">
        <v>34</v>
      </c>
      <c r="B1631">
        <v>1960</v>
      </c>
      <c r="C1631">
        <v>2726</v>
      </c>
      <c r="D1631" s="2">
        <v>0</v>
      </c>
      <c r="E1631" s="3">
        <v>2726</v>
      </c>
      <c r="F1631" t="s">
        <v>12</v>
      </c>
      <c r="G1631" t="s">
        <v>12</v>
      </c>
      <c r="H1631" s="1"/>
      <c r="I1631" s="1">
        <v>10771</v>
      </c>
      <c r="J1631" s="1">
        <v>341</v>
      </c>
      <c r="K1631" s="1"/>
      <c r="L1631" s="1"/>
      <c r="M1631" s="1"/>
      <c r="N1631" s="1"/>
      <c r="O1631" s="1"/>
      <c r="P1631" s="1"/>
      <c r="Q1631" s="1"/>
      <c r="R1631" s="1">
        <v>13838</v>
      </c>
      <c r="S1631" t="s">
        <v>11</v>
      </c>
    </row>
    <row r="1632" spans="1:19" x14ac:dyDescent="0.55000000000000004">
      <c r="A1632" t="s">
        <v>34</v>
      </c>
      <c r="B1632">
        <v>1959</v>
      </c>
      <c r="C1632">
        <v>16320</v>
      </c>
      <c r="D1632" s="2">
        <v>90</v>
      </c>
      <c r="E1632" s="3">
        <v>16410</v>
      </c>
      <c r="F1632" t="s">
        <v>12</v>
      </c>
      <c r="G1632" t="s">
        <v>12</v>
      </c>
      <c r="H1632" s="1"/>
      <c r="I1632" s="1">
        <v>35283</v>
      </c>
      <c r="J1632" s="1">
        <v>1141</v>
      </c>
      <c r="K1632" s="1"/>
      <c r="L1632" s="1"/>
      <c r="M1632" s="1"/>
      <c r="N1632" s="1"/>
      <c r="O1632" s="1"/>
      <c r="P1632" s="1"/>
      <c r="Q1632" s="1"/>
      <c r="R1632" s="1">
        <v>52834</v>
      </c>
      <c r="S1632" t="s">
        <v>12</v>
      </c>
    </row>
    <row r="1633" spans="1:19" x14ac:dyDescent="0.55000000000000004">
      <c r="A1633" t="s">
        <v>34</v>
      </c>
      <c r="B1633">
        <v>1958</v>
      </c>
      <c r="C1633">
        <v>7513</v>
      </c>
      <c r="D1633" s="2">
        <v>25</v>
      </c>
      <c r="E1633" s="3">
        <v>7538</v>
      </c>
      <c r="F1633" t="s">
        <v>12</v>
      </c>
      <c r="G1633" t="s">
        <v>12</v>
      </c>
      <c r="H1633" s="1"/>
      <c r="I1633" s="1">
        <v>34155.006949294402</v>
      </c>
      <c r="J1633" s="1">
        <v>715.02557755204998</v>
      </c>
      <c r="K1633" s="1"/>
      <c r="L1633" s="1"/>
      <c r="M1633" s="1"/>
      <c r="N1633" s="1"/>
      <c r="O1633" s="1"/>
      <c r="P1633" s="1"/>
      <c r="Q1633" s="1"/>
      <c r="R1633" s="1">
        <v>42408</v>
      </c>
      <c r="S1633" t="s">
        <v>12</v>
      </c>
    </row>
    <row r="1634" spans="1:19" x14ac:dyDescent="0.55000000000000004">
      <c r="A1634" t="s">
        <v>34</v>
      </c>
      <c r="B1634">
        <v>1957</v>
      </c>
      <c r="C1634">
        <v>3647</v>
      </c>
      <c r="D1634" s="2">
        <v>20</v>
      </c>
      <c r="E1634" s="3">
        <v>3667</v>
      </c>
      <c r="F1634" t="s">
        <v>12</v>
      </c>
      <c r="G1634" t="s">
        <v>12</v>
      </c>
      <c r="H1634" s="1"/>
      <c r="I1634" s="1">
        <v>8235.9999999999909</v>
      </c>
      <c r="J1634" s="1">
        <v>395</v>
      </c>
      <c r="K1634" s="1"/>
      <c r="L1634" s="1"/>
      <c r="M1634" s="1"/>
      <c r="N1634" s="1"/>
      <c r="O1634" s="1"/>
      <c r="P1634" s="1"/>
      <c r="Q1634" s="1"/>
      <c r="R1634" s="1">
        <v>12298</v>
      </c>
      <c r="S1634" t="s">
        <v>12</v>
      </c>
    </row>
    <row r="1635" spans="1:19" x14ac:dyDescent="0.55000000000000004">
      <c r="A1635" t="s">
        <v>34</v>
      </c>
      <c r="B1635">
        <v>1956</v>
      </c>
      <c r="C1635">
        <v>1994</v>
      </c>
      <c r="D1635" s="2">
        <v>1</v>
      </c>
      <c r="E1635" s="3">
        <v>1995</v>
      </c>
      <c r="F1635" t="s">
        <v>12</v>
      </c>
      <c r="G1635" t="s">
        <v>12</v>
      </c>
      <c r="H1635" s="1"/>
      <c r="I1635" s="1">
        <v>3316</v>
      </c>
      <c r="J1635" s="1">
        <v>112</v>
      </c>
      <c r="K1635" s="1"/>
      <c r="L1635" s="1"/>
      <c r="M1635" s="1"/>
      <c r="N1635" s="1"/>
      <c r="O1635" s="1"/>
      <c r="P1635" s="1"/>
      <c r="Q1635" s="1"/>
      <c r="R1635" s="1">
        <v>5423</v>
      </c>
      <c r="S1635" t="s">
        <v>12</v>
      </c>
    </row>
    <row r="1636" spans="1:19" x14ac:dyDescent="0.55000000000000004">
      <c r="A1636" t="s">
        <v>34</v>
      </c>
      <c r="B1636">
        <v>1955</v>
      </c>
      <c r="C1636">
        <v>4400</v>
      </c>
      <c r="D1636" s="2">
        <v>0</v>
      </c>
      <c r="E1636" s="3">
        <v>4400</v>
      </c>
      <c r="F1636" t="s">
        <v>12</v>
      </c>
      <c r="G1636" t="s">
        <v>12</v>
      </c>
      <c r="H1636" s="1"/>
      <c r="I1636" s="1">
        <v>19280</v>
      </c>
      <c r="J1636" s="1">
        <v>913</v>
      </c>
      <c r="K1636" s="1"/>
      <c r="L1636" s="1"/>
      <c r="M1636" s="1"/>
      <c r="N1636" s="1"/>
      <c r="O1636" s="1"/>
      <c r="P1636" s="1"/>
      <c r="Q1636" s="1"/>
      <c r="R1636" s="1">
        <v>24593</v>
      </c>
      <c r="S1636" t="s">
        <v>11</v>
      </c>
    </row>
    <row r="1637" spans="1:19" x14ac:dyDescent="0.55000000000000004">
      <c r="A1637" t="s">
        <v>34</v>
      </c>
      <c r="B1637">
        <v>1954</v>
      </c>
      <c r="C1637">
        <v>3500</v>
      </c>
      <c r="D1637" s="2">
        <v>0</v>
      </c>
      <c r="E1637" s="3">
        <v>3500</v>
      </c>
      <c r="F1637" t="s">
        <v>12</v>
      </c>
      <c r="G1637" t="s">
        <v>12</v>
      </c>
      <c r="H1637" s="1"/>
      <c r="I1637" s="1">
        <v>17936.874136217099</v>
      </c>
      <c r="J1637" s="1">
        <v>857.28487258443795</v>
      </c>
      <c r="K1637" s="1"/>
      <c r="L1637" s="1"/>
      <c r="M1637" s="1"/>
      <c r="N1637" s="1"/>
      <c r="O1637" s="1"/>
      <c r="P1637" s="1"/>
      <c r="Q1637" s="1"/>
      <c r="R1637" s="1">
        <v>22294</v>
      </c>
      <c r="S1637" t="s">
        <v>12</v>
      </c>
    </row>
    <row r="1638" spans="1:19" x14ac:dyDescent="0.55000000000000004">
      <c r="A1638" t="s">
        <v>34</v>
      </c>
      <c r="B1638">
        <v>1953</v>
      </c>
      <c r="C1638">
        <v>4422</v>
      </c>
      <c r="D1638" s="2">
        <v>0</v>
      </c>
      <c r="E1638" s="3">
        <v>4422</v>
      </c>
      <c r="F1638" t="s">
        <v>12</v>
      </c>
      <c r="G1638" t="s">
        <v>12</v>
      </c>
      <c r="H1638" s="1"/>
      <c r="I1638" s="1">
        <v>12899</v>
      </c>
      <c r="J1638" s="1">
        <v>411</v>
      </c>
      <c r="K1638" s="1"/>
      <c r="L1638" s="1"/>
      <c r="M1638" s="1"/>
      <c r="N1638" s="1"/>
      <c r="O1638" s="1"/>
      <c r="P1638" s="1"/>
      <c r="Q1638" s="1"/>
      <c r="R1638" s="1">
        <v>17732</v>
      </c>
      <c r="S1638" t="s">
        <v>12</v>
      </c>
    </row>
    <row r="1639" spans="1:19" x14ac:dyDescent="0.55000000000000004">
      <c r="A1639" t="s">
        <v>34</v>
      </c>
      <c r="B1639">
        <v>1952</v>
      </c>
      <c r="C1639">
        <v>3647</v>
      </c>
      <c r="D1639" s="2">
        <v>0</v>
      </c>
      <c r="E1639" s="3">
        <v>3647</v>
      </c>
      <c r="F1639" t="s">
        <v>12</v>
      </c>
      <c r="G1639" t="s">
        <v>12</v>
      </c>
      <c r="H1639" s="1"/>
      <c r="I1639" s="1">
        <v>8866.0000000000091</v>
      </c>
      <c r="J1639" s="1">
        <v>384</v>
      </c>
      <c r="K1639" s="1"/>
      <c r="L1639" s="1"/>
      <c r="M1639" s="1"/>
      <c r="N1639" s="1"/>
      <c r="O1639" s="1"/>
      <c r="P1639" s="1"/>
      <c r="Q1639" s="1"/>
      <c r="R1639" s="1">
        <v>12897</v>
      </c>
      <c r="S1639" t="s">
        <v>12</v>
      </c>
    </row>
    <row r="1640" spans="1:19" x14ac:dyDescent="0.55000000000000004">
      <c r="A1640" t="s">
        <v>35</v>
      </c>
      <c r="B1640">
        <v>2023</v>
      </c>
      <c r="C1640">
        <v>2141</v>
      </c>
      <c r="D1640" s="2">
        <v>3</v>
      </c>
      <c r="E1640" s="3">
        <v>2144</v>
      </c>
      <c r="F1640" t="s">
        <v>12</v>
      </c>
      <c r="G1640" t="s">
        <v>12</v>
      </c>
      <c r="H1640" s="1">
        <v>2.0790014347704899E-2</v>
      </c>
      <c r="I1640" s="1">
        <v>56.419194676511701</v>
      </c>
      <c r="J1640" s="1">
        <v>20.0420740979534</v>
      </c>
      <c r="K1640" s="1"/>
      <c r="L1640" s="1">
        <v>1153</v>
      </c>
      <c r="M1640" s="1"/>
      <c r="N1640" s="1"/>
      <c r="O1640" s="1">
        <v>2</v>
      </c>
      <c r="P1640" s="1"/>
      <c r="Q1640" s="1">
        <v>-2210.32416420961</v>
      </c>
      <c r="R1640" s="1">
        <v>3375</v>
      </c>
      <c r="S1640" t="s">
        <v>11</v>
      </c>
    </row>
    <row r="1641" spans="1:19" x14ac:dyDescent="0.55000000000000004">
      <c r="A1641" t="s">
        <v>35</v>
      </c>
      <c r="B1641">
        <v>2022</v>
      </c>
      <c r="C1641">
        <v>5319</v>
      </c>
      <c r="D1641" s="2">
        <v>0</v>
      </c>
      <c r="E1641" s="3">
        <v>5319</v>
      </c>
      <c r="F1641" t="s">
        <v>12</v>
      </c>
      <c r="G1641" t="s">
        <v>12</v>
      </c>
      <c r="H1641" s="1">
        <v>0</v>
      </c>
      <c r="I1641" s="1">
        <v>556.93568603818505</v>
      </c>
      <c r="J1641" s="1">
        <v>446.35589278742498</v>
      </c>
      <c r="K1641" s="1"/>
      <c r="L1641" s="1">
        <v>1773</v>
      </c>
      <c r="M1641" s="1"/>
      <c r="N1641" s="1"/>
      <c r="O1641" s="1"/>
      <c r="P1641" s="1"/>
      <c r="Q1641" s="1">
        <v>-1320.5555768905299</v>
      </c>
      <c r="R1641" s="1">
        <v>8095</v>
      </c>
      <c r="S1641" t="s">
        <v>11</v>
      </c>
    </row>
    <row r="1642" spans="1:19" x14ac:dyDescent="0.55000000000000004">
      <c r="A1642" t="s">
        <v>35</v>
      </c>
      <c r="B1642">
        <v>2021</v>
      </c>
      <c r="C1642">
        <v>891</v>
      </c>
      <c r="D1642" s="2">
        <v>0</v>
      </c>
      <c r="E1642" s="3">
        <v>891</v>
      </c>
      <c r="F1642" t="s">
        <v>12</v>
      </c>
      <c r="G1642" t="s">
        <v>12</v>
      </c>
      <c r="H1642" s="1">
        <v>0</v>
      </c>
      <c r="I1642" s="1">
        <v>13.0106239310633</v>
      </c>
      <c r="J1642" s="1">
        <v>6.14516808690286</v>
      </c>
      <c r="K1642" s="1"/>
      <c r="L1642" s="1">
        <v>297</v>
      </c>
      <c r="M1642" s="1"/>
      <c r="N1642" s="1"/>
      <c r="O1642" s="1"/>
      <c r="P1642" s="1"/>
      <c r="Q1642" s="1">
        <v>-386.70395807837599</v>
      </c>
      <c r="R1642" s="1">
        <v>1207</v>
      </c>
      <c r="S1642" t="s">
        <v>11</v>
      </c>
    </row>
    <row r="1643" spans="1:19" x14ac:dyDescent="0.55000000000000004">
      <c r="A1643" t="s">
        <v>35</v>
      </c>
      <c r="B1643">
        <v>2020</v>
      </c>
      <c r="C1643">
        <v>981</v>
      </c>
      <c r="D1643" s="2">
        <v>0</v>
      </c>
      <c r="E1643" s="3">
        <v>981</v>
      </c>
      <c r="F1643" t="s">
        <v>12</v>
      </c>
      <c r="G1643" t="s">
        <v>12</v>
      </c>
      <c r="H1643" s="1">
        <v>20.933250251899999</v>
      </c>
      <c r="I1643" s="1">
        <v>25.969352879770302</v>
      </c>
      <c r="J1643" s="1">
        <v>27.2723014982991</v>
      </c>
      <c r="K1643" s="1"/>
      <c r="L1643" s="1">
        <v>245</v>
      </c>
      <c r="M1643" s="1"/>
      <c r="N1643" s="1"/>
      <c r="O1643" s="1"/>
      <c r="P1643" s="1"/>
      <c r="Q1643" s="1">
        <v>-1217.23953062906</v>
      </c>
      <c r="R1643" s="1">
        <v>1300</v>
      </c>
      <c r="S1643" t="s">
        <v>11</v>
      </c>
    </row>
    <row r="1644" spans="1:19" x14ac:dyDescent="0.55000000000000004">
      <c r="A1644" t="s">
        <v>35</v>
      </c>
      <c r="B1644">
        <v>2019</v>
      </c>
      <c r="C1644">
        <v>524</v>
      </c>
      <c r="D1644" s="2">
        <v>0</v>
      </c>
      <c r="E1644" s="3">
        <v>524</v>
      </c>
      <c r="F1644" t="s">
        <v>12</v>
      </c>
      <c r="G1644" t="s">
        <v>12</v>
      </c>
      <c r="H1644" s="1">
        <v>0</v>
      </c>
      <c r="I1644" s="1">
        <v>18.338053592435699</v>
      </c>
      <c r="J1644" s="1">
        <v>2.4934820588755899</v>
      </c>
      <c r="K1644" s="1"/>
      <c r="L1644" s="1">
        <v>131</v>
      </c>
      <c r="M1644" s="1"/>
      <c r="N1644" s="1"/>
      <c r="O1644" s="1"/>
      <c r="P1644" s="1"/>
      <c r="Q1644" s="1">
        <v>-164.87013197590301</v>
      </c>
      <c r="R1644" s="1">
        <v>676</v>
      </c>
      <c r="S1644" t="s">
        <v>11</v>
      </c>
    </row>
    <row r="1645" spans="1:19" x14ac:dyDescent="0.55000000000000004">
      <c r="A1645" t="s">
        <v>35</v>
      </c>
      <c r="B1645">
        <v>2018</v>
      </c>
      <c r="C1645">
        <v>2430</v>
      </c>
      <c r="D1645" s="2">
        <v>0</v>
      </c>
      <c r="E1645" s="3">
        <v>2430</v>
      </c>
      <c r="F1645" t="s">
        <v>12</v>
      </c>
      <c r="G1645" t="s">
        <v>12</v>
      </c>
      <c r="H1645" s="1">
        <v>177.52867362000001</v>
      </c>
      <c r="I1645" s="1">
        <v>2193.4214440900701</v>
      </c>
      <c r="J1645" s="1">
        <v>505.93453884660897</v>
      </c>
      <c r="K1645" s="1"/>
      <c r="L1645" s="1">
        <v>1308</v>
      </c>
      <c r="M1645" s="1"/>
      <c r="N1645" s="1">
        <v>136</v>
      </c>
      <c r="O1645" s="1"/>
      <c r="P1645" s="1"/>
      <c r="Q1645" s="1">
        <v>-1598.1998441451899</v>
      </c>
      <c r="R1645" s="1">
        <v>6751</v>
      </c>
      <c r="S1645" t="s">
        <v>11</v>
      </c>
    </row>
    <row r="1646" spans="1:19" x14ac:dyDescent="0.55000000000000004">
      <c r="A1646" t="s">
        <v>35</v>
      </c>
      <c r="B1646">
        <v>2017</v>
      </c>
      <c r="C1646">
        <v>667</v>
      </c>
      <c r="D1646" s="2">
        <v>11</v>
      </c>
      <c r="E1646" s="3">
        <v>678</v>
      </c>
      <c r="F1646" t="s">
        <v>12</v>
      </c>
      <c r="G1646" t="s">
        <v>12</v>
      </c>
      <c r="H1646" s="1">
        <v>0</v>
      </c>
      <c r="I1646" s="1">
        <v>18.365219509785501</v>
      </c>
      <c r="J1646" s="1">
        <v>89.080114822554506</v>
      </c>
      <c r="K1646" s="1"/>
      <c r="L1646" s="1">
        <v>118</v>
      </c>
      <c r="M1646" s="1"/>
      <c r="N1646" s="1">
        <v>-56</v>
      </c>
      <c r="O1646" s="1">
        <v>2</v>
      </c>
      <c r="P1646" s="1"/>
      <c r="Q1646" s="1">
        <v>-2653.86471591501</v>
      </c>
      <c r="R1646" s="1">
        <v>849</v>
      </c>
      <c r="S1646" t="s">
        <v>11</v>
      </c>
    </row>
    <row r="1647" spans="1:19" x14ac:dyDescent="0.55000000000000004">
      <c r="A1647" t="s">
        <v>35</v>
      </c>
      <c r="B1647">
        <v>2016</v>
      </c>
      <c r="C1647">
        <v>1152</v>
      </c>
      <c r="D1647" s="2">
        <v>0</v>
      </c>
      <c r="E1647" s="3">
        <v>1152</v>
      </c>
      <c r="F1647" t="s">
        <v>12</v>
      </c>
      <c r="G1647" t="s">
        <v>12</v>
      </c>
      <c r="H1647" s="1">
        <v>0</v>
      </c>
      <c r="I1647" s="1">
        <v>178.10446182640499</v>
      </c>
      <c r="J1647" s="1">
        <v>593.98787743239802</v>
      </c>
      <c r="K1647" s="1"/>
      <c r="L1647" s="1">
        <v>288</v>
      </c>
      <c r="M1647" s="1"/>
      <c r="N1647" s="1">
        <v>266</v>
      </c>
      <c r="O1647" s="1"/>
      <c r="P1647" s="1"/>
      <c r="Q1647" s="1">
        <v>-3129.69600640521</v>
      </c>
      <c r="R1647" s="1">
        <v>2478</v>
      </c>
      <c r="S1647" t="s">
        <v>11</v>
      </c>
    </row>
    <row r="1648" spans="1:19" x14ac:dyDescent="0.55000000000000004">
      <c r="A1648" t="s">
        <v>35</v>
      </c>
      <c r="B1648">
        <v>2015</v>
      </c>
      <c r="C1648">
        <v>1420</v>
      </c>
      <c r="D1648" s="2">
        <v>0</v>
      </c>
      <c r="E1648" s="3">
        <v>1420</v>
      </c>
      <c r="F1648" t="s">
        <v>12</v>
      </c>
      <c r="G1648" t="s">
        <v>12</v>
      </c>
      <c r="H1648" s="1">
        <v>0</v>
      </c>
      <c r="I1648" s="1">
        <v>412.628922928176</v>
      </c>
      <c r="J1648" s="1">
        <v>393.88444082350998</v>
      </c>
      <c r="K1648" s="1"/>
      <c r="L1648" s="1">
        <v>947</v>
      </c>
      <c r="M1648" s="1"/>
      <c r="N1648" s="1">
        <v>-110</v>
      </c>
      <c r="O1648" s="1"/>
      <c r="P1648" s="1"/>
      <c r="Q1648" s="1">
        <v>-7744.7765616950901</v>
      </c>
      <c r="R1648" s="1">
        <v>3064</v>
      </c>
      <c r="S1648" t="s">
        <v>11</v>
      </c>
    </row>
    <row r="1649" spans="1:19" x14ac:dyDescent="0.55000000000000004">
      <c r="A1649" t="s">
        <v>35</v>
      </c>
      <c r="B1649">
        <v>2014</v>
      </c>
      <c r="C1649">
        <v>11451</v>
      </c>
      <c r="D1649" s="2">
        <v>16</v>
      </c>
      <c r="E1649" s="3">
        <v>11467</v>
      </c>
      <c r="F1649" t="s">
        <v>12</v>
      </c>
      <c r="G1649" t="s">
        <v>12</v>
      </c>
      <c r="H1649" s="1">
        <v>0</v>
      </c>
      <c r="I1649" s="1">
        <v>4553.9645229990401</v>
      </c>
      <c r="J1649" s="1">
        <v>3955.3964144689198</v>
      </c>
      <c r="K1649" s="1"/>
      <c r="L1649" s="1">
        <v>3817</v>
      </c>
      <c r="M1649" s="1"/>
      <c r="N1649" s="1"/>
      <c r="O1649" s="1">
        <v>5</v>
      </c>
      <c r="P1649" s="1"/>
      <c r="Q1649" s="1">
        <v>-6636.5028166522798</v>
      </c>
      <c r="R1649" s="1">
        <v>23798</v>
      </c>
      <c r="S1649" t="s">
        <v>11</v>
      </c>
    </row>
    <row r="1650" spans="1:19" x14ac:dyDescent="0.55000000000000004">
      <c r="A1650" t="s">
        <v>35</v>
      </c>
      <c r="B1650">
        <v>2013</v>
      </c>
      <c r="C1650">
        <v>3471</v>
      </c>
      <c r="D1650" s="2">
        <v>42</v>
      </c>
      <c r="E1650" s="3">
        <v>3513</v>
      </c>
      <c r="F1650" t="s">
        <v>12</v>
      </c>
      <c r="G1650" t="s">
        <v>12</v>
      </c>
      <c r="H1650" s="1">
        <v>0</v>
      </c>
      <c r="I1650" s="1">
        <v>1349.8810672725101</v>
      </c>
      <c r="J1650" s="1">
        <v>1554.2946086197501</v>
      </c>
      <c r="K1650" s="1"/>
      <c r="L1650" s="1">
        <v>1157</v>
      </c>
      <c r="M1650" s="1"/>
      <c r="N1650" s="1"/>
      <c r="O1650" s="1">
        <v>14</v>
      </c>
      <c r="P1650" s="1"/>
      <c r="Q1650" s="1">
        <v>-11536.6102074916</v>
      </c>
      <c r="R1650" s="1">
        <v>7588</v>
      </c>
      <c r="S1650" t="s">
        <v>11</v>
      </c>
    </row>
    <row r="1651" spans="1:19" x14ac:dyDescent="0.55000000000000004">
      <c r="A1651" t="s">
        <v>35</v>
      </c>
      <c r="B1651">
        <v>2012</v>
      </c>
      <c r="C1651">
        <v>1967</v>
      </c>
      <c r="D1651" s="2">
        <v>0</v>
      </c>
      <c r="E1651" s="3">
        <v>1967</v>
      </c>
      <c r="F1651" t="s">
        <v>12</v>
      </c>
      <c r="G1651" t="s">
        <v>12</v>
      </c>
      <c r="H1651" s="1">
        <v>0.34456837265066997</v>
      </c>
      <c r="I1651" s="1">
        <v>2288.6676574913799</v>
      </c>
      <c r="J1651" s="1">
        <v>3130.2158148650001</v>
      </c>
      <c r="K1651" s="1">
        <v>86</v>
      </c>
      <c r="L1651" s="1">
        <v>1424</v>
      </c>
      <c r="M1651" s="1"/>
      <c r="N1651" s="1"/>
      <c r="O1651" s="1"/>
      <c r="P1651" s="1"/>
      <c r="Q1651" s="1">
        <v>-9723.2630925594804</v>
      </c>
      <c r="R1651" s="1">
        <v>8896</v>
      </c>
      <c r="S1651" t="s">
        <v>11</v>
      </c>
    </row>
    <row r="1652" spans="1:19" x14ac:dyDescent="0.55000000000000004">
      <c r="A1652" t="s">
        <v>35</v>
      </c>
      <c r="B1652">
        <v>2011</v>
      </c>
      <c r="C1652">
        <v>9988</v>
      </c>
      <c r="D1652" s="2">
        <v>0</v>
      </c>
      <c r="E1652" s="3">
        <v>9988</v>
      </c>
      <c r="F1652" t="s">
        <v>12</v>
      </c>
      <c r="G1652" t="s">
        <v>12</v>
      </c>
      <c r="H1652" s="1">
        <v>2.5413811722530002</v>
      </c>
      <c r="I1652" s="1">
        <v>5406.29547762735</v>
      </c>
      <c r="J1652" s="1">
        <v>5628.8207299285004</v>
      </c>
      <c r="K1652" s="1"/>
      <c r="L1652" s="1">
        <v>1098</v>
      </c>
      <c r="M1652" s="1">
        <v>-104</v>
      </c>
      <c r="N1652" s="1">
        <v>-1154</v>
      </c>
      <c r="O1652" s="1"/>
      <c r="P1652" s="1"/>
      <c r="Q1652" s="1">
        <v>-8869.5048335791507</v>
      </c>
      <c r="R1652" s="1">
        <v>20866</v>
      </c>
      <c r="S1652" t="s">
        <v>11</v>
      </c>
    </row>
    <row r="1653" spans="1:19" x14ac:dyDescent="0.55000000000000004">
      <c r="A1653" t="s">
        <v>35</v>
      </c>
      <c r="B1653">
        <v>2010</v>
      </c>
      <c r="C1653">
        <v>10808</v>
      </c>
      <c r="D1653" s="2">
        <v>0</v>
      </c>
      <c r="E1653" s="3">
        <v>10808</v>
      </c>
      <c r="F1653" t="s">
        <v>12</v>
      </c>
      <c r="G1653" t="s">
        <v>12</v>
      </c>
      <c r="H1653" s="1">
        <v>0</v>
      </c>
      <c r="I1653" s="1">
        <v>5557.8822998193</v>
      </c>
      <c r="J1653" s="1"/>
      <c r="K1653" s="1"/>
      <c r="L1653" s="1">
        <v>1201</v>
      </c>
      <c r="M1653" s="1"/>
      <c r="N1653" s="1"/>
      <c r="O1653" s="1"/>
      <c r="P1653" s="1"/>
      <c r="Q1653" s="1">
        <v>-13651.3482069723</v>
      </c>
      <c r="R1653" s="1">
        <v>17567</v>
      </c>
      <c r="S1653" t="s">
        <v>11</v>
      </c>
    </row>
    <row r="1654" spans="1:19" x14ac:dyDescent="0.55000000000000004">
      <c r="A1654" t="s">
        <v>35</v>
      </c>
      <c r="B1654">
        <v>2009</v>
      </c>
      <c r="C1654">
        <v>1170</v>
      </c>
      <c r="D1654" s="2">
        <v>0</v>
      </c>
      <c r="E1654" s="3">
        <v>1170</v>
      </c>
      <c r="F1654" t="s">
        <v>12</v>
      </c>
      <c r="G1654" t="s">
        <v>12</v>
      </c>
      <c r="H1654" s="1">
        <v>25.090349171994902</v>
      </c>
      <c r="I1654" s="1">
        <v>233.84300097965999</v>
      </c>
      <c r="J1654" s="1">
        <v>230.09793143190899</v>
      </c>
      <c r="K1654" s="1"/>
      <c r="L1654" s="1">
        <v>292</v>
      </c>
      <c r="M1654" s="1"/>
      <c r="N1654" s="1">
        <v>-318</v>
      </c>
      <c r="O1654" s="1"/>
      <c r="P1654" s="1"/>
      <c r="Q1654" s="1">
        <v>-2499.5115753642399</v>
      </c>
      <c r="R1654" s="1">
        <v>1633</v>
      </c>
      <c r="S1654" t="s">
        <v>11</v>
      </c>
    </row>
    <row r="1655" spans="1:19" x14ac:dyDescent="0.55000000000000004">
      <c r="A1655" t="s">
        <v>35</v>
      </c>
      <c r="B1655">
        <v>2008</v>
      </c>
      <c r="C1655">
        <v>2270</v>
      </c>
      <c r="D1655" s="2">
        <v>0</v>
      </c>
      <c r="E1655" s="3">
        <v>2270</v>
      </c>
      <c r="F1655" t="s">
        <v>12</v>
      </c>
      <c r="G1655" t="s">
        <v>12</v>
      </c>
      <c r="H1655" s="1">
        <v>0.73422504789480003</v>
      </c>
      <c r="I1655" s="1">
        <v>1622.87952990034</v>
      </c>
      <c r="J1655" s="1">
        <v>2588.2592672722899</v>
      </c>
      <c r="K1655" s="1"/>
      <c r="L1655" s="1"/>
      <c r="M1655" s="1"/>
      <c r="N1655" s="1"/>
      <c r="O1655" s="1"/>
      <c r="P1655" s="1"/>
      <c r="Q1655" s="1">
        <v>-5354.9272224134602</v>
      </c>
      <c r="R1655" s="1">
        <v>11837</v>
      </c>
      <c r="S1655" t="s">
        <v>9</v>
      </c>
    </row>
    <row r="1656" spans="1:19" x14ac:dyDescent="0.55000000000000004">
      <c r="A1656" t="s">
        <v>35</v>
      </c>
      <c r="B1656">
        <v>2007</v>
      </c>
      <c r="C1656">
        <v>11403</v>
      </c>
      <c r="D1656" s="2">
        <v>6</v>
      </c>
      <c r="E1656" s="3">
        <v>11409</v>
      </c>
      <c r="F1656" t="s">
        <v>12</v>
      </c>
      <c r="G1656" t="s">
        <v>12</v>
      </c>
      <c r="H1656" s="1">
        <v>0</v>
      </c>
      <c r="I1656" s="1">
        <v>1086.29420019433</v>
      </c>
      <c r="J1656" s="1">
        <v>1599.4399133746599</v>
      </c>
      <c r="K1656" s="1"/>
      <c r="L1656" s="1"/>
      <c r="M1656" s="1"/>
      <c r="N1656" s="1"/>
      <c r="O1656" s="1"/>
      <c r="P1656" s="1"/>
      <c r="Q1656" s="1">
        <v>-6495.9394758363396</v>
      </c>
      <c r="R1656" s="1">
        <v>20591</v>
      </c>
      <c r="S1656" t="s">
        <v>9</v>
      </c>
    </row>
    <row r="1657" spans="1:19" x14ac:dyDescent="0.55000000000000004">
      <c r="A1657" t="s">
        <v>35</v>
      </c>
      <c r="B1657">
        <v>2006</v>
      </c>
      <c r="C1657">
        <v>11482</v>
      </c>
      <c r="D1657" s="2">
        <v>0</v>
      </c>
      <c r="E1657" s="3">
        <v>11482</v>
      </c>
      <c r="F1657" t="s">
        <v>12</v>
      </c>
      <c r="G1657" t="s">
        <v>12</v>
      </c>
      <c r="H1657" s="1">
        <v>1040.0839842533801</v>
      </c>
      <c r="I1657" s="1">
        <v>12019.9108292329</v>
      </c>
      <c r="J1657" s="1">
        <v>4773.1139573240598</v>
      </c>
      <c r="K1657" s="1"/>
      <c r="L1657" s="1"/>
      <c r="M1657" s="1"/>
      <c r="N1657" s="1"/>
      <c r="O1657" s="1"/>
      <c r="P1657" s="1"/>
      <c r="Q1657" s="1">
        <v>-19873.6315829429</v>
      </c>
      <c r="R1657" s="1">
        <v>49189</v>
      </c>
      <c r="S1657" t="s">
        <v>9</v>
      </c>
    </row>
    <row r="1658" spans="1:19" x14ac:dyDescent="0.55000000000000004">
      <c r="A1658" t="s">
        <v>35</v>
      </c>
      <c r="B1658">
        <v>2005</v>
      </c>
      <c r="C1658">
        <v>4304</v>
      </c>
      <c r="D1658" s="2">
        <v>47</v>
      </c>
      <c r="E1658" s="3">
        <v>4351</v>
      </c>
      <c r="F1658" t="s">
        <v>12</v>
      </c>
      <c r="G1658" t="s">
        <v>12</v>
      </c>
      <c r="H1658" s="1">
        <v>2.5568998343099998</v>
      </c>
      <c r="I1658" s="1">
        <v>3979.0510358432598</v>
      </c>
      <c r="J1658" s="1">
        <v>4037.0192270827802</v>
      </c>
      <c r="K1658" s="1"/>
      <c r="L1658" s="1"/>
      <c r="M1658" s="1"/>
      <c r="N1658" s="1"/>
      <c r="O1658" s="1"/>
      <c r="P1658" s="1"/>
      <c r="Q1658" s="1">
        <v>-15065.9999607467</v>
      </c>
      <c r="R1658" s="1">
        <v>27436</v>
      </c>
      <c r="S1658" t="s">
        <v>9</v>
      </c>
    </row>
    <row r="1659" spans="1:19" x14ac:dyDescent="0.55000000000000004">
      <c r="A1659" t="s">
        <v>35</v>
      </c>
      <c r="B1659">
        <v>2004</v>
      </c>
      <c r="C1659">
        <v>2763</v>
      </c>
      <c r="D1659" s="2">
        <v>0</v>
      </c>
      <c r="E1659" s="3">
        <v>2763</v>
      </c>
      <c r="F1659" t="s">
        <v>12</v>
      </c>
      <c r="G1659" t="s">
        <v>12</v>
      </c>
      <c r="H1659" s="1">
        <v>493.46429492592102</v>
      </c>
      <c r="I1659" s="1">
        <v>37093.827255316697</v>
      </c>
      <c r="J1659" s="1">
        <v>6867.7331822918904</v>
      </c>
      <c r="K1659" s="1"/>
      <c r="L1659" s="1"/>
      <c r="M1659" s="1"/>
      <c r="N1659" s="1"/>
      <c r="O1659" s="1"/>
      <c r="P1659" s="1"/>
      <c r="Q1659" s="1">
        <v>-18524.6489784066</v>
      </c>
      <c r="R1659" s="1">
        <v>65743</v>
      </c>
      <c r="S1659" t="s">
        <v>9</v>
      </c>
    </row>
    <row r="1660" spans="1:19" x14ac:dyDescent="0.55000000000000004">
      <c r="A1660" t="s">
        <v>35</v>
      </c>
      <c r="B1660">
        <v>2003</v>
      </c>
      <c r="C1660">
        <v>9218</v>
      </c>
      <c r="D1660" s="2">
        <v>275</v>
      </c>
      <c r="E1660" s="3">
        <v>9493</v>
      </c>
      <c r="F1660" t="s">
        <v>12</v>
      </c>
      <c r="G1660" t="s">
        <v>12</v>
      </c>
      <c r="H1660" s="1">
        <v>736.72717549221795</v>
      </c>
      <c r="I1660" s="1">
        <v>16233.6445558306</v>
      </c>
      <c r="J1660" s="1">
        <v>7194.6038644760301</v>
      </c>
      <c r="K1660" s="1"/>
      <c r="L1660" s="1"/>
      <c r="M1660" s="1"/>
      <c r="N1660" s="1"/>
      <c r="O1660" s="1"/>
      <c r="P1660" s="1"/>
      <c r="Q1660" s="1">
        <v>-20156.223430083399</v>
      </c>
      <c r="R1660" s="1">
        <v>53814</v>
      </c>
      <c r="S1660" t="s">
        <v>9</v>
      </c>
    </row>
    <row r="1661" spans="1:19" x14ac:dyDescent="0.55000000000000004">
      <c r="A1661" t="s">
        <v>35</v>
      </c>
      <c r="B1661">
        <v>2002</v>
      </c>
      <c r="C1661">
        <v>7331</v>
      </c>
      <c r="D1661" s="2">
        <v>0</v>
      </c>
      <c r="E1661" s="3">
        <v>7331</v>
      </c>
      <c r="F1661" t="s">
        <v>12</v>
      </c>
      <c r="G1661" t="s">
        <v>12</v>
      </c>
      <c r="H1661" s="1">
        <v>0.61138250289212104</v>
      </c>
      <c r="I1661" s="1">
        <v>3524.7235792769802</v>
      </c>
      <c r="J1661" s="1">
        <v>1070.50225850519</v>
      </c>
      <c r="K1661" s="1"/>
      <c r="L1661" s="1"/>
      <c r="M1661" s="1"/>
      <c r="N1661" s="1"/>
      <c r="O1661" s="1"/>
      <c r="P1661" s="1"/>
      <c r="Q1661" s="1">
        <v>-2223.0996126550299</v>
      </c>
      <c r="R1661" s="1">
        <v>14150</v>
      </c>
      <c r="S1661" t="s">
        <v>9</v>
      </c>
    </row>
    <row r="1662" spans="1:19" x14ac:dyDescent="0.55000000000000004">
      <c r="A1662" t="s">
        <v>35</v>
      </c>
      <c r="B1662">
        <v>2001</v>
      </c>
      <c r="C1662">
        <v>5860</v>
      </c>
      <c r="D1662" s="2">
        <v>25</v>
      </c>
      <c r="E1662" s="3">
        <v>5885</v>
      </c>
      <c r="F1662" t="s">
        <v>12</v>
      </c>
      <c r="G1662" t="s">
        <v>12</v>
      </c>
      <c r="H1662" s="1">
        <v>16.640460650094099</v>
      </c>
      <c r="I1662" s="1">
        <v>1096.3739353805599</v>
      </c>
      <c r="J1662" s="1">
        <v>3789.1382167985998</v>
      </c>
      <c r="K1662" s="1"/>
      <c r="L1662" s="1"/>
      <c r="M1662" s="1"/>
      <c r="N1662" s="1"/>
      <c r="O1662" s="1"/>
      <c r="P1662" s="1"/>
      <c r="Q1662" s="1">
        <v>-7752.8537844051098</v>
      </c>
      <c r="R1662" s="1">
        <v>18540</v>
      </c>
      <c r="S1662" t="s">
        <v>9</v>
      </c>
    </row>
    <row r="1663" spans="1:19" x14ac:dyDescent="0.55000000000000004">
      <c r="A1663" t="s">
        <v>35</v>
      </c>
      <c r="B1663">
        <v>2000</v>
      </c>
      <c r="C1663">
        <v>10465</v>
      </c>
      <c r="D1663" s="2">
        <v>14</v>
      </c>
      <c r="E1663" s="3">
        <v>10479</v>
      </c>
      <c r="F1663" t="s">
        <v>12</v>
      </c>
      <c r="G1663" t="s">
        <v>12</v>
      </c>
      <c r="H1663" s="1">
        <v>8.4536570484353906</v>
      </c>
      <c r="I1663" s="1">
        <v>4353.4794435126796</v>
      </c>
      <c r="J1663" s="1">
        <v>1825.7520904529999</v>
      </c>
      <c r="K1663" s="1"/>
      <c r="L1663" s="1"/>
      <c r="M1663" s="1"/>
      <c r="N1663" s="1"/>
      <c r="O1663" s="1"/>
      <c r="P1663" s="1"/>
      <c r="Q1663" s="1">
        <v>3354.9613005657302</v>
      </c>
      <c r="R1663" s="1">
        <v>16667</v>
      </c>
      <c r="S1663" t="s">
        <v>9</v>
      </c>
    </row>
    <row r="1664" spans="1:19" x14ac:dyDescent="0.55000000000000004">
      <c r="A1664" t="s">
        <v>35</v>
      </c>
      <c r="B1664">
        <v>1999</v>
      </c>
      <c r="C1664">
        <v>5710</v>
      </c>
      <c r="D1664" s="2">
        <v>0</v>
      </c>
      <c r="E1664" s="3">
        <v>5710</v>
      </c>
      <c r="F1664" t="s">
        <v>12</v>
      </c>
      <c r="G1664" t="s">
        <v>12</v>
      </c>
      <c r="H1664" s="1">
        <v>0.28997095392865901</v>
      </c>
      <c r="I1664" s="1">
        <v>1752.55582505896</v>
      </c>
      <c r="J1664" s="1">
        <v>3863.4879179906602</v>
      </c>
      <c r="K1664" s="1"/>
      <c r="L1664" s="1"/>
      <c r="M1664" s="1"/>
      <c r="N1664" s="1"/>
      <c r="O1664" s="1"/>
      <c r="P1664" s="1"/>
      <c r="Q1664" s="1">
        <v>-11660.361217198901</v>
      </c>
      <c r="R1664" s="1">
        <v>22987</v>
      </c>
      <c r="S1664" t="s">
        <v>9</v>
      </c>
    </row>
    <row r="1665" spans="1:19" x14ac:dyDescent="0.55000000000000004">
      <c r="A1665" t="s">
        <v>35</v>
      </c>
      <c r="B1665">
        <v>1998</v>
      </c>
      <c r="C1665">
        <v>8750</v>
      </c>
      <c r="D1665" s="2">
        <v>0</v>
      </c>
      <c r="E1665" s="3">
        <v>8750</v>
      </c>
      <c r="F1665" t="s">
        <v>12</v>
      </c>
      <c r="G1665" t="s">
        <v>12</v>
      </c>
      <c r="H1665" s="1">
        <v>7.5843438581146598</v>
      </c>
      <c r="I1665" s="1">
        <v>3543.0520125533499</v>
      </c>
      <c r="J1665" s="1">
        <v>1348.5661849258599</v>
      </c>
      <c r="K1665" s="1"/>
      <c r="L1665" s="1"/>
      <c r="M1665" s="1"/>
      <c r="N1665" s="1"/>
      <c r="O1665" s="1"/>
      <c r="P1665" s="1"/>
      <c r="Q1665" s="1">
        <v>-14937.836815389401</v>
      </c>
      <c r="R1665" s="1">
        <v>28587</v>
      </c>
      <c r="S1665" t="s">
        <v>9</v>
      </c>
    </row>
    <row r="1666" spans="1:19" x14ac:dyDescent="0.55000000000000004">
      <c r="A1666" t="s">
        <v>35</v>
      </c>
      <c r="B1666">
        <v>1997</v>
      </c>
      <c r="C1666">
        <v>9110</v>
      </c>
      <c r="D1666" s="2">
        <v>0</v>
      </c>
      <c r="E1666" s="3">
        <v>9110</v>
      </c>
      <c r="F1666" t="s">
        <v>12</v>
      </c>
      <c r="G1666" t="s">
        <v>12</v>
      </c>
      <c r="H1666" s="1">
        <v>826.45770477502197</v>
      </c>
      <c r="I1666" s="1">
        <v>21393.519540902998</v>
      </c>
      <c r="J1666" s="1">
        <v>4323.9702124636297</v>
      </c>
      <c r="K1666" s="1"/>
      <c r="L1666" s="1"/>
      <c r="M1666" s="1"/>
      <c r="N1666" s="1"/>
      <c r="O1666" s="1"/>
      <c r="P1666" s="1"/>
      <c r="Q1666" s="1">
        <v>-32774.290163992198</v>
      </c>
      <c r="R1666" s="1">
        <v>68428</v>
      </c>
      <c r="S1666" t="s">
        <v>9</v>
      </c>
    </row>
    <row r="1667" spans="1:19" x14ac:dyDescent="0.55000000000000004">
      <c r="A1667" t="s">
        <v>35</v>
      </c>
      <c r="B1667">
        <v>1996</v>
      </c>
      <c r="C1667">
        <v>32720</v>
      </c>
      <c r="D1667" s="2">
        <v>37</v>
      </c>
      <c r="E1667" s="3">
        <v>32757</v>
      </c>
      <c r="F1667" t="s">
        <v>12</v>
      </c>
      <c r="G1667" t="s">
        <v>12</v>
      </c>
      <c r="H1667" s="1">
        <v>1.4074309790817601</v>
      </c>
      <c r="I1667" s="1">
        <v>4427.0586559187204</v>
      </c>
      <c r="J1667" s="1">
        <v>3385.9794517212299</v>
      </c>
      <c r="K1667" s="1"/>
      <c r="L1667" s="1"/>
      <c r="M1667" s="1"/>
      <c r="N1667" s="1"/>
      <c r="O1667" s="1"/>
      <c r="P1667" s="1"/>
      <c r="Q1667" s="1">
        <v>11793.688282531301</v>
      </c>
      <c r="R1667" s="1">
        <v>40571</v>
      </c>
      <c r="S1667" t="s">
        <v>9</v>
      </c>
    </row>
    <row r="1668" spans="1:19" x14ac:dyDescent="0.55000000000000004">
      <c r="A1668" t="s">
        <v>35</v>
      </c>
      <c r="B1668">
        <v>1995</v>
      </c>
      <c r="C1668">
        <v>11249</v>
      </c>
      <c r="D1668" s="2">
        <v>14</v>
      </c>
      <c r="E1668" s="3">
        <v>11263</v>
      </c>
      <c r="F1668" t="s">
        <v>12</v>
      </c>
      <c r="G1668" t="s">
        <v>12</v>
      </c>
      <c r="H1668" s="1">
        <v>1.1797783021010599E-15</v>
      </c>
      <c r="I1668" s="1">
        <v>2641.4678377048999</v>
      </c>
      <c r="J1668" s="1">
        <v>3393.6508365509999</v>
      </c>
      <c r="K1668" s="1"/>
      <c r="L1668" s="1"/>
      <c r="M1668" s="1"/>
      <c r="N1668" s="1"/>
      <c r="O1668" s="1"/>
      <c r="P1668" s="1"/>
      <c r="Q1668" s="1">
        <v>3583.9436582243202</v>
      </c>
      <c r="R1668" s="1">
        <v>17298</v>
      </c>
      <c r="S1668" t="s">
        <v>9</v>
      </c>
    </row>
    <row r="1669" spans="1:19" x14ac:dyDescent="0.55000000000000004">
      <c r="A1669" t="s">
        <v>35</v>
      </c>
      <c r="B1669">
        <v>1994</v>
      </c>
      <c r="C1669">
        <v>5930</v>
      </c>
      <c r="D1669" s="2">
        <v>0</v>
      </c>
      <c r="E1669" s="3">
        <v>5930</v>
      </c>
      <c r="F1669" t="s">
        <v>12</v>
      </c>
      <c r="G1669" t="s">
        <v>12</v>
      </c>
      <c r="H1669" s="1">
        <v>2.3520461162769499</v>
      </c>
      <c r="I1669" s="1">
        <v>4136.7772557716498</v>
      </c>
      <c r="J1669" s="1">
        <v>4538.0513314789096</v>
      </c>
      <c r="K1669" s="1"/>
      <c r="L1669" s="1"/>
      <c r="M1669" s="1"/>
      <c r="N1669" s="1"/>
      <c r="O1669" s="1"/>
      <c r="P1669" s="1"/>
      <c r="Q1669" s="1">
        <v>-9440.6446557670006</v>
      </c>
      <c r="R1669" s="1">
        <v>24048</v>
      </c>
      <c r="S1669" t="s">
        <v>9</v>
      </c>
    </row>
    <row r="1670" spans="1:19" x14ac:dyDescent="0.55000000000000004">
      <c r="A1670" t="s">
        <v>35</v>
      </c>
      <c r="B1670">
        <v>1993</v>
      </c>
      <c r="C1670">
        <v>7703</v>
      </c>
      <c r="D1670" s="2">
        <v>0</v>
      </c>
      <c r="E1670" s="3">
        <v>7703</v>
      </c>
      <c r="F1670" t="s">
        <v>12</v>
      </c>
      <c r="G1670" t="s">
        <v>12</v>
      </c>
      <c r="H1670" s="1">
        <v>156.597958327584</v>
      </c>
      <c r="I1670" s="1">
        <v>13852.559907831501</v>
      </c>
      <c r="J1670" s="1">
        <v>597.30627703194602</v>
      </c>
      <c r="K1670" s="1"/>
      <c r="L1670" s="1"/>
      <c r="M1670" s="1"/>
      <c r="N1670" s="1"/>
      <c r="O1670" s="1"/>
      <c r="P1670" s="1"/>
      <c r="Q1670" s="1">
        <v>-9056.8511743699</v>
      </c>
      <c r="R1670" s="1">
        <v>31366</v>
      </c>
      <c r="S1670" t="s">
        <v>9</v>
      </c>
    </row>
    <row r="1671" spans="1:19" x14ac:dyDescent="0.55000000000000004">
      <c r="A1671" t="s">
        <v>35</v>
      </c>
      <c r="B1671">
        <v>1992</v>
      </c>
      <c r="C1671">
        <v>9357</v>
      </c>
      <c r="D1671" s="2">
        <v>35</v>
      </c>
      <c r="E1671" s="3">
        <v>9392</v>
      </c>
      <c r="F1671" t="s">
        <v>12</v>
      </c>
      <c r="G1671" t="s">
        <v>12</v>
      </c>
      <c r="H1671" s="1">
        <v>39.241721579527002</v>
      </c>
      <c r="I1671" s="1">
        <v>27328.812500065302</v>
      </c>
      <c r="J1671" s="1">
        <v>23252.5638842595</v>
      </c>
      <c r="K1671" s="1"/>
      <c r="L1671" s="1"/>
      <c r="M1671" s="1"/>
      <c r="N1671" s="1"/>
      <c r="O1671" s="1"/>
      <c r="P1671" s="1"/>
      <c r="Q1671" s="1">
        <v>-14620.107546523701</v>
      </c>
      <c r="R1671" s="1">
        <v>74633</v>
      </c>
      <c r="S1671" t="s">
        <v>9</v>
      </c>
    </row>
    <row r="1672" spans="1:19" x14ac:dyDescent="0.55000000000000004">
      <c r="A1672" t="s">
        <v>35</v>
      </c>
      <c r="B1672">
        <v>1991</v>
      </c>
      <c r="C1672">
        <v>20554</v>
      </c>
      <c r="D1672" s="2">
        <v>0</v>
      </c>
      <c r="E1672" s="3">
        <v>20554</v>
      </c>
      <c r="F1672" t="s">
        <v>12</v>
      </c>
      <c r="G1672" t="s">
        <v>12</v>
      </c>
      <c r="H1672" s="1">
        <v>0</v>
      </c>
      <c r="I1672" s="1">
        <v>39614.459406223701</v>
      </c>
      <c r="J1672" s="1">
        <v>9535.2586168471698</v>
      </c>
      <c r="K1672" s="1"/>
      <c r="L1672" s="1"/>
      <c r="M1672" s="1"/>
      <c r="N1672" s="1"/>
      <c r="O1672" s="1"/>
      <c r="P1672" s="1"/>
      <c r="Q1672" s="1">
        <v>-26504.982408949101</v>
      </c>
      <c r="R1672" s="1">
        <v>96209</v>
      </c>
      <c r="S1672" t="s">
        <v>9</v>
      </c>
    </row>
    <row r="1673" spans="1:19" x14ac:dyDescent="0.55000000000000004">
      <c r="A1673" t="s">
        <v>35</v>
      </c>
      <c r="B1673">
        <v>1990</v>
      </c>
      <c r="C1673">
        <v>11862</v>
      </c>
      <c r="D1673" s="2">
        <v>36</v>
      </c>
      <c r="E1673" s="3">
        <v>11898</v>
      </c>
      <c r="F1673" t="s">
        <v>12</v>
      </c>
      <c r="G1673" t="s">
        <v>12</v>
      </c>
      <c r="H1673" s="1">
        <v>5.8573862251635402</v>
      </c>
      <c r="I1673" s="1">
        <v>12994.917882713</v>
      </c>
      <c r="J1673" s="1">
        <v>17507.971728081298</v>
      </c>
      <c r="K1673" s="1"/>
      <c r="L1673" s="1"/>
      <c r="M1673" s="1"/>
      <c r="N1673" s="1"/>
      <c r="O1673" s="1"/>
      <c r="P1673" s="1"/>
      <c r="Q1673" s="1">
        <v>-6212.3505257174802</v>
      </c>
      <c r="R1673" s="1">
        <v>48619</v>
      </c>
      <c r="S1673" t="s">
        <v>9</v>
      </c>
    </row>
    <row r="1674" spans="1:19" x14ac:dyDescent="0.55000000000000004">
      <c r="A1674" t="s">
        <v>35</v>
      </c>
      <c r="B1674">
        <v>1989</v>
      </c>
      <c r="C1674">
        <v>3988</v>
      </c>
      <c r="D1674" s="2">
        <v>49</v>
      </c>
      <c r="E1674" s="3">
        <v>4037</v>
      </c>
      <c r="F1674" t="s">
        <v>12</v>
      </c>
      <c r="G1674" t="s">
        <v>12</v>
      </c>
      <c r="H1674" s="1">
        <v>66.153178770253504</v>
      </c>
      <c r="I1674" s="1">
        <v>23311.426467019999</v>
      </c>
      <c r="J1674" s="1">
        <v>2217.2319862424802</v>
      </c>
      <c r="K1674" s="1"/>
      <c r="L1674" s="1"/>
      <c r="M1674" s="1"/>
      <c r="N1674" s="1"/>
      <c r="O1674" s="1"/>
      <c r="P1674" s="1"/>
      <c r="Q1674" s="1">
        <v>-12638.1329234927</v>
      </c>
      <c r="R1674" s="1">
        <v>42270</v>
      </c>
      <c r="S1674" t="s">
        <v>9</v>
      </c>
    </row>
    <row r="1675" spans="1:19" x14ac:dyDescent="0.55000000000000004">
      <c r="A1675" t="s">
        <v>35</v>
      </c>
      <c r="B1675">
        <v>1988</v>
      </c>
      <c r="C1675">
        <v>27102</v>
      </c>
      <c r="D1675" s="2">
        <v>5</v>
      </c>
      <c r="E1675" s="3">
        <v>27107</v>
      </c>
      <c r="F1675" t="s">
        <v>12</v>
      </c>
      <c r="G1675" t="s">
        <v>12</v>
      </c>
      <c r="H1675" s="1">
        <v>0</v>
      </c>
      <c r="I1675" s="1">
        <v>20485.9346657682</v>
      </c>
      <c r="J1675" s="1">
        <v>2804.3593135203</v>
      </c>
      <c r="K1675" s="1"/>
      <c r="L1675" s="1"/>
      <c r="M1675" s="1"/>
      <c r="N1675" s="1"/>
      <c r="O1675" s="1"/>
      <c r="P1675" s="1"/>
      <c r="Q1675" s="1">
        <v>5376.8781077276499</v>
      </c>
      <c r="R1675" s="1">
        <v>50397</v>
      </c>
      <c r="S1675" t="s">
        <v>9</v>
      </c>
    </row>
    <row r="1676" spans="1:19" x14ac:dyDescent="0.55000000000000004">
      <c r="A1676" t="s">
        <v>35</v>
      </c>
      <c r="B1676">
        <v>1987</v>
      </c>
      <c r="C1676">
        <v>16633</v>
      </c>
      <c r="D1676" s="2">
        <v>238</v>
      </c>
      <c r="E1676" s="3">
        <v>16871</v>
      </c>
      <c r="F1676" t="s">
        <v>12</v>
      </c>
      <c r="G1676" t="s">
        <v>12</v>
      </c>
      <c r="H1676" s="1">
        <v>0</v>
      </c>
      <c r="I1676" s="1">
        <v>8989.4788548791403</v>
      </c>
      <c r="J1676" s="1">
        <v>4844.5417547396301</v>
      </c>
      <c r="K1676" s="1"/>
      <c r="L1676" s="1"/>
      <c r="M1676" s="1"/>
      <c r="N1676" s="1"/>
      <c r="O1676" s="1"/>
      <c r="P1676" s="1"/>
      <c r="Q1676" s="1">
        <v>-14947.153048427899</v>
      </c>
      <c r="R1676" s="1">
        <v>45652</v>
      </c>
      <c r="S1676" t="s">
        <v>9</v>
      </c>
    </row>
    <row r="1677" spans="1:19" x14ac:dyDescent="0.55000000000000004">
      <c r="A1677" t="s">
        <v>35</v>
      </c>
      <c r="B1677">
        <v>1986</v>
      </c>
      <c r="C1677">
        <v>6024</v>
      </c>
      <c r="D1677" s="2">
        <v>96</v>
      </c>
      <c r="E1677" s="3">
        <v>6120</v>
      </c>
      <c r="F1677" t="s">
        <v>12</v>
      </c>
      <c r="G1677" t="s">
        <v>12</v>
      </c>
      <c r="H1677" s="1">
        <v>0</v>
      </c>
      <c r="I1677" s="1">
        <v>1555.8475374561799</v>
      </c>
      <c r="J1677" s="1">
        <v>2230.17855266164</v>
      </c>
      <c r="K1677" s="1"/>
      <c r="L1677" s="1"/>
      <c r="M1677" s="1"/>
      <c r="N1677" s="1"/>
      <c r="O1677" s="1"/>
      <c r="P1677" s="1"/>
      <c r="Q1677" s="1">
        <v>2950.4131701753399</v>
      </c>
      <c r="R1677" s="1">
        <v>9906</v>
      </c>
      <c r="S1677" t="s">
        <v>9</v>
      </c>
    </row>
    <row r="1678" spans="1:19" x14ac:dyDescent="0.55000000000000004">
      <c r="A1678" t="s">
        <v>35</v>
      </c>
      <c r="B1678">
        <v>1985</v>
      </c>
      <c r="C1678">
        <v>1598</v>
      </c>
      <c r="D1678" s="2">
        <v>22</v>
      </c>
      <c r="E1678" s="3">
        <v>1620</v>
      </c>
      <c r="F1678" t="s">
        <v>12</v>
      </c>
      <c r="G1678" t="s">
        <v>12</v>
      </c>
      <c r="H1678" s="1">
        <v>0</v>
      </c>
      <c r="I1678" s="1">
        <v>2202.5389180737102</v>
      </c>
      <c r="J1678" s="1">
        <v>346.89823638189802</v>
      </c>
      <c r="K1678" s="1"/>
      <c r="L1678" s="1"/>
      <c r="M1678" s="1"/>
      <c r="N1678" s="1"/>
      <c r="O1678" s="1"/>
      <c r="P1678" s="1"/>
      <c r="Q1678" s="1">
        <v>928.00433409220204</v>
      </c>
      <c r="R1678" s="1">
        <v>4169</v>
      </c>
      <c r="S1678" t="s">
        <v>9</v>
      </c>
    </row>
    <row r="1679" spans="1:19" x14ac:dyDescent="0.55000000000000004">
      <c r="A1679" t="s">
        <v>35</v>
      </c>
      <c r="B1679">
        <v>1984</v>
      </c>
      <c r="C1679">
        <v>11021</v>
      </c>
      <c r="D1679" s="2">
        <v>0</v>
      </c>
      <c r="E1679" s="3">
        <v>11021</v>
      </c>
      <c r="F1679" t="s">
        <v>12</v>
      </c>
      <c r="G1679" t="s">
        <v>12</v>
      </c>
      <c r="H1679" s="1">
        <v>0</v>
      </c>
      <c r="I1679" s="1">
        <v>35347.397249011497</v>
      </c>
      <c r="J1679" s="1">
        <v>2764.9735116578599</v>
      </c>
      <c r="K1679" s="1"/>
      <c r="L1679" s="1"/>
      <c r="M1679" s="1"/>
      <c r="N1679" s="1"/>
      <c r="O1679" s="1"/>
      <c r="P1679" s="1"/>
      <c r="Q1679" s="1">
        <v>-26336.300911153401</v>
      </c>
      <c r="R1679" s="1">
        <v>75470</v>
      </c>
      <c r="S1679" t="s">
        <v>9</v>
      </c>
    </row>
    <row r="1680" spans="1:19" x14ac:dyDescent="0.55000000000000004">
      <c r="A1680" t="s">
        <v>35</v>
      </c>
      <c r="B1680">
        <v>1983</v>
      </c>
      <c r="C1680">
        <v>4977</v>
      </c>
      <c r="D1680" s="2">
        <v>41</v>
      </c>
      <c r="E1680" s="3">
        <v>5018</v>
      </c>
      <c r="F1680" t="s">
        <v>12</v>
      </c>
      <c r="G1680" t="s">
        <v>12</v>
      </c>
      <c r="H1680" s="1">
        <v>0</v>
      </c>
      <c r="I1680" s="1">
        <v>3605.9231969704001</v>
      </c>
      <c r="J1680" s="1">
        <v>1300.14134077111</v>
      </c>
      <c r="K1680" s="1"/>
      <c r="L1680" s="1"/>
      <c r="M1680" s="1"/>
      <c r="N1680" s="1"/>
      <c r="O1680" s="1"/>
      <c r="P1680" s="1"/>
      <c r="Q1680" s="1">
        <v>-7477.2582203013899</v>
      </c>
      <c r="R1680" s="1">
        <v>17401</v>
      </c>
      <c r="S1680" t="s">
        <v>9</v>
      </c>
    </row>
    <row r="1681" spans="1:19" x14ac:dyDescent="0.55000000000000004">
      <c r="A1681" t="s">
        <v>35</v>
      </c>
      <c r="B1681">
        <v>1982</v>
      </c>
      <c r="C1681">
        <v>1132</v>
      </c>
      <c r="D1681" s="2">
        <v>7</v>
      </c>
      <c r="E1681" s="3">
        <v>1139</v>
      </c>
      <c r="F1681" t="s">
        <v>12</v>
      </c>
      <c r="G1681" t="s">
        <v>12</v>
      </c>
      <c r="H1681" s="1"/>
      <c r="I1681" s="1">
        <v>4696.7526463826098</v>
      </c>
      <c r="J1681" s="1">
        <v>356.87733504229197</v>
      </c>
      <c r="K1681" s="1"/>
      <c r="L1681" s="1"/>
      <c r="M1681" s="1"/>
      <c r="N1681" s="1"/>
      <c r="O1681" s="1"/>
      <c r="P1681" s="1"/>
      <c r="Q1681" s="1">
        <v>321.54249375857802</v>
      </c>
      <c r="R1681" s="1">
        <v>6193</v>
      </c>
      <c r="S1681" t="s">
        <v>9</v>
      </c>
    </row>
    <row r="1682" spans="1:19" x14ac:dyDescent="0.55000000000000004">
      <c r="A1682" t="s">
        <v>35</v>
      </c>
      <c r="B1682">
        <v>1981</v>
      </c>
      <c r="C1682">
        <v>2076</v>
      </c>
      <c r="D1682" s="2">
        <v>37</v>
      </c>
      <c r="E1682" s="3">
        <v>2113</v>
      </c>
      <c r="F1682" t="s">
        <v>12</v>
      </c>
      <c r="G1682" t="s">
        <v>12</v>
      </c>
      <c r="H1682" s="1"/>
      <c r="I1682" s="1">
        <v>7739.1030203069304</v>
      </c>
      <c r="J1682" s="1">
        <v>228.73304054737801</v>
      </c>
      <c r="K1682" s="1"/>
      <c r="L1682" s="1"/>
      <c r="M1682" s="1"/>
      <c r="N1682" s="1"/>
      <c r="O1682" s="1"/>
      <c r="P1682" s="1"/>
      <c r="Q1682" s="1">
        <v>-1964.3765306290099</v>
      </c>
      <c r="R1682" s="1">
        <v>12045</v>
      </c>
      <c r="S1682" t="s">
        <v>9</v>
      </c>
    </row>
    <row r="1683" spans="1:19" x14ac:dyDescent="0.55000000000000004">
      <c r="A1683" t="s">
        <v>35</v>
      </c>
      <c r="B1683">
        <v>1980</v>
      </c>
      <c r="C1683">
        <v>8437</v>
      </c>
      <c r="D1683" s="2">
        <v>0</v>
      </c>
      <c r="E1683" s="3">
        <v>8437</v>
      </c>
      <c r="F1683" t="s">
        <v>12</v>
      </c>
      <c r="G1683" t="s">
        <v>12</v>
      </c>
      <c r="H1683" s="1"/>
      <c r="I1683" s="1">
        <v>11588.254131084501</v>
      </c>
      <c r="J1683" s="1">
        <v>1692.59845095888</v>
      </c>
      <c r="K1683" s="1"/>
      <c r="L1683" s="1"/>
      <c r="M1683" s="1"/>
      <c r="N1683" s="1"/>
      <c r="O1683" s="1"/>
      <c r="P1683" s="1"/>
      <c r="Q1683" s="1">
        <v>-7507.8051355795196</v>
      </c>
      <c r="R1683" s="1">
        <v>29226</v>
      </c>
      <c r="S1683" t="s">
        <v>9</v>
      </c>
    </row>
    <row r="1684" spans="1:19" x14ac:dyDescent="0.55000000000000004">
      <c r="A1684" t="s">
        <v>35</v>
      </c>
      <c r="B1684">
        <v>1979</v>
      </c>
      <c r="C1684">
        <v>15507</v>
      </c>
      <c r="D1684" s="2">
        <v>83</v>
      </c>
      <c r="E1684" s="3">
        <v>15590</v>
      </c>
      <c r="F1684" t="s">
        <v>12</v>
      </c>
      <c r="G1684" t="s">
        <v>12</v>
      </c>
      <c r="H1684" s="1"/>
      <c r="I1684" s="1">
        <v>37905.164502838103</v>
      </c>
      <c r="J1684" s="1">
        <v>2842.9148048172001</v>
      </c>
      <c r="K1684" s="1"/>
      <c r="L1684" s="1"/>
      <c r="M1684" s="1"/>
      <c r="N1684" s="1"/>
      <c r="O1684" s="1"/>
      <c r="P1684" s="1"/>
      <c r="Q1684" s="1">
        <v>-7433.9952861387601</v>
      </c>
      <c r="R1684" s="1">
        <v>63772</v>
      </c>
      <c r="S1684" t="s">
        <v>9</v>
      </c>
    </row>
    <row r="1685" spans="1:19" x14ac:dyDescent="0.55000000000000004">
      <c r="A1685" t="s">
        <v>35</v>
      </c>
      <c r="B1685">
        <v>1978</v>
      </c>
      <c r="C1685">
        <v>107</v>
      </c>
      <c r="D1685" s="2">
        <v>568</v>
      </c>
      <c r="E1685" s="3">
        <v>675</v>
      </c>
      <c r="F1685" t="s">
        <v>12</v>
      </c>
      <c r="G1685" t="s">
        <v>12</v>
      </c>
      <c r="H1685" s="1"/>
      <c r="I1685" s="1">
        <v>1020.44247806993</v>
      </c>
      <c r="J1685" s="1">
        <v>18.796500593828899</v>
      </c>
      <c r="K1685" s="1"/>
      <c r="L1685" s="1"/>
      <c r="M1685" s="1"/>
      <c r="N1685" s="1"/>
      <c r="O1685" s="1"/>
      <c r="P1685" s="1"/>
      <c r="Q1685" s="1">
        <v>616.09103890439303</v>
      </c>
      <c r="R1685" s="1">
        <v>1714</v>
      </c>
      <c r="S1685" t="s">
        <v>9</v>
      </c>
    </row>
    <row r="1686" spans="1:19" x14ac:dyDescent="0.55000000000000004">
      <c r="A1686" t="s">
        <v>35</v>
      </c>
      <c r="B1686">
        <v>1977</v>
      </c>
      <c r="C1686">
        <v>355</v>
      </c>
      <c r="D1686" s="2">
        <v>0</v>
      </c>
      <c r="E1686" s="3">
        <v>355</v>
      </c>
      <c r="F1686" t="s">
        <v>12</v>
      </c>
      <c r="G1686" t="s">
        <v>12</v>
      </c>
      <c r="H1686" s="1"/>
      <c r="I1686" s="1">
        <v>4036.4342192208901</v>
      </c>
      <c r="J1686" s="1">
        <v>44.535428758627901</v>
      </c>
      <c r="K1686" s="1"/>
      <c r="L1686" s="1"/>
      <c r="M1686" s="1"/>
      <c r="N1686" s="1"/>
      <c r="O1686" s="1"/>
      <c r="P1686" s="1"/>
      <c r="Q1686" s="1">
        <v>-1307.88492970935</v>
      </c>
      <c r="R1686" s="1">
        <v>5744</v>
      </c>
      <c r="S1686" t="s">
        <v>9</v>
      </c>
    </row>
    <row r="1687" spans="1:19" x14ac:dyDescent="0.55000000000000004">
      <c r="A1687" t="s">
        <v>35</v>
      </c>
      <c r="B1687">
        <v>1976</v>
      </c>
      <c r="C1687">
        <v>4090</v>
      </c>
      <c r="D1687" s="2">
        <v>0</v>
      </c>
      <c r="E1687" s="3">
        <v>4090</v>
      </c>
      <c r="F1687" t="s">
        <v>12</v>
      </c>
      <c r="G1687" t="s">
        <v>12</v>
      </c>
      <c r="H1687" s="1"/>
      <c r="I1687" s="1">
        <v>24228</v>
      </c>
      <c r="J1687" s="1">
        <v>872</v>
      </c>
      <c r="K1687" s="1"/>
      <c r="L1687" s="1"/>
      <c r="M1687" s="1"/>
      <c r="N1687" s="1"/>
      <c r="O1687" s="1"/>
      <c r="P1687" s="1"/>
      <c r="Q1687" s="1"/>
      <c r="R1687" s="1">
        <v>29190</v>
      </c>
      <c r="S1687" t="s">
        <v>12</v>
      </c>
    </row>
    <row r="1688" spans="1:19" x14ac:dyDescent="0.55000000000000004">
      <c r="A1688" t="s">
        <v>35</v>
      </c>
      <c r="B1688">
        <v>1975</v>
      </c>
      <c r="C1688">
        <v>4005</v>
      </c>
      <c r="D1688" s="2">
        <v>122</v>
      </c>
      <c r="E1688" s="3">
        <v>4127</v>
      </c>
      <c r="F1688" t="s">
        <v>12</v>
      </c>
      <c r="G1688" t="s">
        <v>12</v>
      </c>
      <c r="H1688" s="1"/>
      <c r="I1688" s="1">
        <v>10531</v>
      </c>
      <c r="J1688" s="1">
        <v>945</v>
      </c>
      <c r="K1688" s="1"/>
      <c r="L1688" s="1"/>
      <c r="M1688" s="1"/>
      <c r="N1688" s="1"/>
      <c r="O1688" s="1"/>
      <c r="P1688" s="1"/>
      <c r="Q1688" s="1"/>
      <c r="R1688" s="1">
        <v>15603</v>
      </c>
      <c r="S1688" t="s">
        <v>11</v>
      </c>
    </row>
    <row r="1689" spans="1:19" x14ac:dyDescent="0.55000000000000004">
      <c r="A1689" t="s">
        <v>35</v>
      </c>
      <c r="B1689">
        <v>1974</v>
      </c>
      <c r="C1689">
        <v>140</v>
      </c>
      <c r="D1689" s="2">
        <v>103</v>
      </c>
      <c r="E1689" s="3">
        <v>243</v>
      </c>
      <c r="F1689" t="s">
        <v>12</v>
      </c>
      <c r="G1689" t="s">
        <v>12</v>
      </c>
      <c r="H1689" s="1"/>
      <c r="I1689" s="1">
        <v>698</v>
      </c>
      <c r="J1689" s="1">
        <v>62</v>
      </c>
      <c r="K1689" s="1"/>
      <c r="L1689" s="1"/>
      <c r="M1689" s="1"/>
      <c r="N1689" s="1"/>
      <c r="O1689" s="1"/>
      <c r="P1689" s="1"/>
      <c r="Q1689" s="1"/>
      <c r="R1689" s="1">
        <v>1003</v>
      </c>
      <c r="S1689" t="s">
        <v>12</v>
      </c>
    </row>
    <row r="1690" spans="1:19" x14ac:dyDescent="0.55000000000000004">
      <c r="A1690" t="s">
        <v>35</v>
      </c>
      <c r="B1690">
        <v>1973</v>
      </c>
      <c r="C1690">
        <v>201</v>
      </c>
      <c r="D1690" s="2">
        <v>4</v>
      </c>
      <c r="E1690" s="3">
        <v>205</v>
      </c>
      <c r="F1690" t="s">
        <v>12</v>
      </c>
      <c r="G1690" t="s">
        <v>12</v>
      </c>
      <c r="H1690" s="1"/>
      <c r="I1690" s="1">
        <v>846.00000000000102</v>
      </c>
      <c r="J1690" s="1">
        <v>7</v>
      </c>
      <c r="K1690" s="1"/>
      <c r="L1690" s="1"/>
      <c r="M1690" s="1"/>
      <c r="N1690" s="1"/>
      <c r="O1690" s="1"/>
      <c r="P1690" s="1"/>
      <c r="Q1690" s="1"/>
      <c r="R1690" s="1">
        <v>1058</v>
      </c>
      <c r="S1690" t="s">
        <v>12</v>
      </c>
    </row>
    <row r="1691" spans="1:19" x14ac:dyDescent="0.55000000000000004">
      <c r="A1691" t="s">
        <v>35</v>
      </c>
      <c r="B1691">
        <v>1972</v>
      </c>
      <c r="C1691">
        <v>1931</v>
      </c>
      <c r="D1691" s="2">
        <v>0</v>
      </c>
      <c r="E1691" s="3">
        <v>1931</v>
      </c>
      <c r="F1691" t="s">
        <v>12</v>
      </c>
      <c r="G1691" t="s">
        <v>12</v>
      </c>
      <c r="H1691" s="1"/>
      <c r="I1691" s="1">
        <v>11434</v>
      </c>
      <c r="J1691" s="1">
        <v>1481</v>
      </c>
      <c r="K1691" s="1"/>
      <c r="L1691" s="1"/>
      <c r="M1691" s="1"/>
      <c r="N1691" s="1"/>
      <c r="O1691" s="1"/>
      <c r="P1691" s="1"/>
      <c r="Q1691" s="1"/>
      <c r="R1691" s="1">
        <v>14846</v>
      </c>
      <c r="S1691" t="s">
        <v>12</v>
      </c>
    </row>
    <row r="1692" spans="1:19" x14ac:dyDescent="0.55000000000000004">
      <c r="A1692" t="s">
        <v>35</v>
      </c>
      <c r="B1692">
        <v>1971</v>
      </c>
      <c r="C1692">
        <v>1293</v>
      </c>
      <c r="D1692" s="2">
        <v>7</v>
      </c>
      <c r="E1692" s="3">
        <v>1300</v>
      </c>
      <c r="F1692" t="s">
        <v>12</v>
      </c>
      <c r="G1692" t="s">
        <v>12</v>
      </c>
      <c r="H1692" s="1"/>
      <c r="I1692" s="1">
        <v>13734</v>
      </c>
      <c r="J1692" s="1">
        <v>181</v>
      </c>
      <c r="K1692" s="1"/>
      <c r="L1692" s="1"/>
      <c r="M1692" s="1"/>
      <c r="N1692" s="1"/>
      <c r="O1692" s="1"/>
      <c r="P1692" s="1"/>
      <c r="Q1692" s="1"/>
      <c r="R1692" s="1">
        <v>15215</v>
      </c>
      <c r="S1692" t="s">
        <v>12</v>
      </c>
    </row>
    <row r="1693" spans="1:19" x14ac:dyDescent="0.55000000000000004">
      <c r="A1693" t="s">
        <v>35</v>
      </c>
      <c r="B1693">
        <v>1970</v>
      </c>
      <c r="C1693">
        <v>9</v>
      </c>
      <c r="D1693" s="2">
        <v>0</v>
      </c>
      <c r="E1693" s="3">
        <v>9</v>
      </c>
      <c r="F1693" t="s">
        <v>12</v>
      </c>
      <c r="G1693" t="s">
        <v>12</v>
      </c>
      <c r="H1693" s="1"/>
      <c r="I1693" s="1">
        <v>32.813377926421403</v>
      </c>
      <c r="J1693" s="1">
        <v>3</v>
      </c>
      <c r="K1693" s="1"/>
      <c r="L1693" s="1"/>
      <c r="M1693" s="1"/>
      <c r="N1693" s="1"/>
      <c r="O1693" s="1"/>
      <c r="P1693" s="1"/>
      <c r="Q1693" s="1"/>
      <c r="R1693" s="1">
        <v>45</v>
      </c>
      <c r="S1693" t="s">
        <v>12</v>
      </c>
    </row>
    <row r="1694" spans="1:19" x14ac:dyDescent="0.55000000000000004">
      <c r="A1694" t="s">
        <v>35</v>
      </c>
      <c r="B1694">
        <v>1969</v>
      </c>
      <c r="C1694">
        <v>52</v>
      </c>
      <c r="D1694" s="2">
        <v>0</v>
      </c>
      <c r="E1694" s="3">
        <v>52</v>
      </c>
      <c r="F1694" t="s">
        <v>12</v>
      </c>
      <c r="G1694" t="s">
        <v>12</v>
      </c>
      <c r="H1694" s="1"/>
      <c r="I1694" s="1">
        <v>197</v>
      </c>
      <c r="J1694" s="1">
        <v>6</v>
      </c>
      <c r="K1694" s="1"/>
      <c r="L1694" s="1"/>
      <c r="M1694" s="1"/>
      <c r="N1694" s="1"/>
      <c r="O1694" s="1"/>
      <c r="P1694" s="1"/>
      <c r="Q1694" s="1"/>
      <c r="R1694" s="1">
        <v>255</v>
      </c>
      <c r="S1694" t="s">
        <v>12</v>
      </c>
    </row>
    <row r="1695" spans="1:19" x14ac:dyDescent="0.55000000000000004">
      <c r="A1695" t="s">
        <v>35</v>
      </c>
      <c r="B1695">
        <v>1968</v>
      </c>
      <c r="C1695">
        <v>954</v>
      </c>
      <c r="D1695" s="2">
        <v>0</v>
      </c>
      <c r="E1695" s="3">
        <v>954</v>
      </c>
      <c r="F1695" t="s">
        <v>12</v>
      </c>
      <c r="G1695" t="s">
        <v>12</v>
      </c>
      <c r="H1695" s="1"/>
      <c r="I1695" s="1">
        <v>2570.3929575735301</v>
      </c>
      <c r="J1695" s="1">
        <v>131</v>
      </c>
      <c r="K1695" s="1"/>
      <c r="L1695" s="1"/>
      <c r="M1695" s="1"/>
      <c r="N1695" s="1"/>
      <c r="O1695" s="1"/>
      <c r="P1695" s="1"/>
      <c r="Q1695" s="1"/>
      <c r="R1695" s="1">
        <v>3655</v>
      </c>
      <c r="S1695" t="s">
        <v>12</v>
      </c>
    </row>
    <row r="1696" spans="1:19" x14ac:dyDescent="0.55000000000000004">
      <c r="A1696" t="s">
        <v>35</v>
      </c>
      <c r="B1696">
        <v>1967</v>
      </c>
      <c r="C1696">
        <v>916</v>
      </c>
      <c r="D1696" s="2">
        <v>4</v>
      </c>
      <c r="E1696" s="3">
        <v>920</v>
      </c>
      <c r="F1696" t="s">
        <v>12</v>
      </c>
      <c r="G1696" t="s">
        <v>12</v>
      </c>
      <c r="H1696" s="1"/>
      <c r="I1696" s="1">
        <v>4852.5169400582599</v>
      </c>
      <c r="J1696" s="1">
        <v>105.779549287138</v>
      </c>
      <c r="K1696" s="1"/>
      <c r="L1696" s="1"/>
      <c r="M1696" s="1"/>
      <c r="N1696" s="1"/>
      <c r="O1696" s="1"/>
      <c r="P1696" s="1"/>
      <c r="Q1696" s="1"/>
      <c r="R1696" s="1">
        <v>5878</v>
      </c>
      <c r="S1696" t="s">
        <v>12</v>
      </c>
    </row>
    <row r="1697" spans="1:19" x14ac:dyDescent="0.55000000000000004">
      <c r="A1697" t="s">
        <v>35</v>
      </c>
      <c r="B1697">
        <v>1966</v>
      </c>
      <c r="C1697">
        <v>0</v>
      </c>
      <c r="D1697" s="2">
        <v>0</v>
      </c>
      <c r="E1697" s="3">
        <v>0</v>
      </c>
      <c r="F1697" t="s">
        <v>12</v>
      </c>
      <c r="G1697" t="s">
        <v>12</v>
      </c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>
        <v>0</v>
      </c>
      <c r="S1697" t="s">
        <v>12</v>
      </c>
    </row>
    <row r="1698" spans="1:19" x14ac:dyDescent="0.55000000000000004">
      <c r="A1698" t="s">
        <v>35</v>
      </c>
      <c r="B1698">
        <v>1965</v>
      </c>
      <c r="C1698">
        <v>0</v>
      </c>
      <c r="D1698" s="2">
        <v>0</v>
      </c>
      <c r="E1698" s="3">
        <v>0</v>
      </c>
      <c r="F1698" t="s">
        <v>12</v>
      </c>
      <c r="G1698" t="s">
        <v>12</v>
      </c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>
        <v>0</v>
      </c>
      <c r="S1698" t="s">
        <v>12</v>
      </c>
    </row>
    <row r="1699" spans="1:19" x14ac:dyDescent="0.55000000000000004">
      <c r="A1699" t="s">
        <v>35</v>
      </c>
      <c r="B1699">
        <v>1964</v>
      </c>
      <c r="C1699">
        <v>146</v>
      </c>
      <c r="D1699" s="2">
        <v>0</v>
      </c>
      <c r="E1699" s="3">
        <v>146</v>
      </c>
      <c r="F1699" t="s">
        <v>12</v>
      </c>
      <c r="G1699" t="s">
        <v>12</v>
      </c>
      <c r="H1699" s="1"/>
      <c r="I1699" s="1">
        <v>420.180125760446</v>
      </c>
      <c r="J1699" s="1">
        <v>31.301784560322101</v>
      </c>
      <c r="K1699" s="1"/>
      <c r="L1699" s="1"/>
      <c r="M1699" s="1"/>
      <c r="N1699" s="1"/>
      <c r="O1699" s="1"/>
      <c r="P1699" s="1"/>
      <c r="Q1699" s="1"/>
      <c r="R1699" s="1">
        <v>597</v>
      </c>
      <c r="S1699" t="s">
        <v>11</v>
      </c>
    </row>
    <row r="1700" spans="1:19" x14ac:dyDescent="0.55000000000000004">
      <c r="A1700" t="s">
        <v>35</v>
      </c>
      <c r="B1700">
        <v>1963</v>
      </c>
      <c r="C1700">
        <v>436</v>
      </c>
      <c r="D1700" s="2">
        <v>3</v>
      </c>
      <c r="E1700" s="3">
        <v>439</v>
      </c>
      <c r="F1700" t="s">
        <v>12</v>
      </c>
      <c r="G1700" t="s">
        <v>12</v>
      </c>
      <c r="H1700" s="1"/>
      <c r="I1700" s="1">
        <v>413.47020581317003</v>
      </c>
      <c r="J1700" s="1">
        <v>28.592599584670602</v>
      </c>
      <c r="K1700" s="1"/>
      <c r="L1700" s="1"/>
      <c r="M1700" s="1"/>
      <c r="N1700" s="1"/>
      <c r="O1700" s="1"/>
      <c r="P1700" s="1"/>
      <c r="Q1700" s="1"/>
      <c r="R1700" s="1">
        <v>881</v>
      </c>
      <c r="S1700" t="s">
        <v>12</v>
      </c>
    </row>
    <row r="1701" spans="1:19" x14ac:dyDescent="0.55000000000000004">
      <c r="A1701" t="s">
        <v>35</v>
      </c>
      <c r="B1701">
        <v>1962</v>
      </c>
      <c r="C1701">
        <v>0</v>
      </c>
      <c r="D1701" s="2">
        <v>0</v>
      </c>
      <c r="E1701" s="3">
        <v>0</v>
      </c>
      <c r="F1701" t="s">
        <v>12</v>
      </c>
      <c r="G1701" t="s">
        <v>12</v>
      </c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>
        <v>0</v>
      </c>
      <c r="S1701" t="s">
        <v>12</v>
      </c>
    </row>
    <row r="1702" spans="1:19" x14ac:dyDescent="0.55000000000000004">
      <c r="A1702" t="s">
        <v>35</v>
      </c>
      <c r="B1702">
        <v>1961</v>
      </c>
      <c r="C1702">
        <v>0</v>
      </c>
      <c r="D1702" s="2">
        <v>0</v>
      </c>
      <c r="E1702" s="3">
        <v>0</v>
      </c>
      <c r="F1702" t="s">
        <v>12</v>
      </c>
      <c r="G1702" t="s">
        <v>12</v>
      </c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>
        <v>0</v>
      </c>
      <c r="S1702" t="s">
        <v>12</v>
      </c>
    </row>
    <row r="1703" spans="1:19" x14ac:dyDescent="0.55000000000000004">
      <c r="A1703" t="s">
        <v>35</v>
      </c>
      <c r="B1703">
        <v>1960</v>
      </c>
      <c r="C1703">
        <v>0</v>
      </c>
      <c r="D1703" s="2">
        <v>0</v>
      </c>
      <c r="E1703" s="3">
        <v>0</v>
      </c>
      <c r="F1703" t="s">
        <v>12</v>
      </c>
      <c r="G1703" t="s">
        <v>12</v>
      </c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>
        <v>0</v>
      </c>
      <c r="S1703" t="s">
        <v>11</v>
      </c>
    </row>
    <row r="1704" spans="1:19" x14ac:dyDescent="0.55000000000000004">
      <c r="A1704" t="s">
        <v>35</v>
      </c>
      <c r="B1704">
        <v>1959</v>
      </c>
      <c r="C1704">
        <v>27</v>
      </c>
      <c r="D1704" s="2">
        <v>0</v>
      </c>
      <c r="E1704" s="3">
        <v>27</v>
      </c>
      <c r="F1704" t="s">
        <v>12</v>
      </c>
      <c r="G1704" t="s">
        <v>12</v>
      </c>
      <c r="H1704" s="1"/>
      <c r="I1704" s="1">
        <v>1061</v>
      </c>
      <c r="J1704" s="1"/>
      <c r="K1704" s="1"/>
      <c r="L1704" s="1"/>
      <c r="M1704" s="1"/>
      <c r="N1704" s="1"/>
      <c r="O1704" s="1"/>
      <c r="P1704" s="1"/>
      <c r="Q1704" s="1"/>
      <c r="R1704" s="1">
        <v>1088</v>
      </c>
      <c r="S1704" t="s">
        <v>12</v>
      </c>
    </row>
    <row r="1705" spans="1:19" x14ac:dyDescent="0.55000000000000004">
      <c r="A1705" t="s">
        <v>35</v>
      </c>
      <c r="B1705">
        <v>1958</v>
      </c>
      <c r="C1705">
        <v>5</v>
      </c>
      <c r="D1705" s="2">
        <v>0</v>
      </c>
      <c r="E1705" s="3">
        <v>5</v>
      </c>
      <c r="F1705" t="s">
        <v>12</v>
      </c>
      <c r="G1705" t="s">
        <v>12</v>
      </c>
      <c r="H1705" s="1"/>
      <c r="I1705" s="1">
        <v>33.4158415841584</v>
      </c>
      <c r="J1705" s="1">
        <v>0.48090523338048102</v>
      </c>
      <c r="K1705" s="1"/>
      <c r="L1705" s="1"/>
      <c r="M1705" s="1"/>
      <c r="N1705" s="1"/>
      <c r="O1705" s="1"/>
      <c r="P1705" s="1"/>
      <c r="Q1705" s="1"/>
      <c r="R1705" s="1">
        <v>39</v>
      </c>
      <c r="S1705" t="s">
        <v>12</v>
      </c>
    </row>
    <row r="1706" spans="1:19" x14ac:dyDescent="0.55000000000000004">
      <c r="A1706" t="s">
        <v>35</v>
      </c>
      <c r="B1706">
        <v>1957</v>
      </c>
      <c r="C1706">
        <v>0</v>
      </c>
      <c r="D1706" s="2">
        <v>0</v>
      </c>
      <c r="E1706" s="3">
        <v>0</v>
      </c>
      <c r="F1706" t="s">
        <v>12</v>
      </c>
      <c r="G1706" t="s">
        <v>12</v>
      </c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>
        <v>0</v>
      </c>
      <c r="S1706" t="s">
        <v>12</v>
      </c>
    </row>
    <row r="1707" spans="1:19" x14ac:dyDescent="0.55000000000000004">
      <c r="A1707" t="s">
        <v>35</v>
      </c>
      <c r="B1707">
        <v>1956</v>
      </c>
      <c r="C1707">
        <v>0</v>
      </c>
      <c r="D1707" s="2">
        <v>0</v>
      </c>
      <c r="E1707" s="3">
        <v>0</v>
      </c>
      <c r="F1707" t="s">
        <v>12</v>
      </c>
      <c r="G1707" t="s">
        <v>12</v>
      </c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>
        <v>0</v>
      </c>
      <c r="S1707" t="s">
        <v>12</v>
      </c>
    </row>
    <row r="1708" spans="1:19" x14ac:dyDescent="0.55000000000000004">
      <c r="A1708" t="s">
        <v>35</v>
      </c>
      <c r="B1708">
        <v>1955</v>
      </c>
      <c r="C1708">
        <v>0</v>
      </c>
      <c r="D1708" s="2">
        <v>0</v>
      </c>
      <c r="E1708" s="3">
        <v>0</v>
      </c>
      <c r="F1708" t="s">
        <v>12</v>
      </c>
      <c r="G1708" t="s">
        <v>12</v>
      </c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>
        <v>0</v>
      </c>
      <c r="S1708" t="s">
        <v>11</v>
      </c>
    </row>
    <row r="1709" spans="1:19" x14ac:dyDescent="0.55000000000000004">
      <c r="A1709" t="s">
        <v>35</v>
      </c>
      <c r="B1709">
        <v>1954</v>
      </c>
      <c r="C1709">
        <v>0</v>
      </c>
      <c r="D1709" s="2">
        <v>0</v>
      </c>
      <c r="E1709" s="3">
        <v>0</v>
      </c>
      <c r="F1709" t="s">
        <v>12</v>
      </c>
      <c r="G1709" t="s">
        <v>12</v>
      </c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>
        <v>0</v>
      </c>
      <c r="S1709" t="s">
        <v>12</v>
      </c>
    </row>
    <row r="1710" spans="1:19" x14ac:dyDescent="0.55000000000000004">
      <c r="A1710" t="s">
        <v>35</v>
      </c>
      <c r="B1710">
        <v>1953</v>
      </c>
      <c r="C1710">
        <v>0</v>
      </c>
      <c r="D1710" s="2">
        <v>0</v>
      </c>
      <c r="E1710" s="3">
        <v>0</v>
      </c>
      <c r="F1710" t="s">
        <v>12</v>
      </c>
      <c r="G1710" t="s">
        <v>12</v>
      </c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>
        <v>0</v>
      </c>
      <c r="S1710" t="s">
        <v>12</v>
      </c>
    </row>
    <row r="1711" spans="1:19" x14ac:dyDescent="0.55000000000000004">
      <c r="A1711" t="s">
        <v>35</v>
      </c>
      <c r="B1711">
        <v>1952</v>
      </c>
      <c r="C1711">
        <v>0</v>
      </c>
      <c r="D1711" s="2">
        <v>0</v>
      </c>
      <c r="E1711" s="3">
        <v>0</v>
      </c>
      <c r="F1711" t="s">
        <v>12</v>
      </c>
      <c r="G1711" t="s">
        <v>12</v>
      </c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>
        <v>0</v>
      </c>
      <c r="S1711" t="s">
        <v>12</v>
      </c>
    </row>
    <row r="1712" spans="1:19" x14ac:dyDescent="0.55000000000000004">
      <c r="A1712" t="s">
        <v>36</v>
      </c>
      <c r="B1712">
        <v>2023</v>
      </c>
      <c r="C1712">
        <v>21593</v>
      </c>
      <c r="D1712" s="2">
        <v>0</v>
      </c>
      <c r="E1712" s="3">
        <v>21593</v>
      </c>
      <c r="F1712" t="s">
        <v>12</v>
      </c>
      <c r="G1712" t="s">
        <v>12</v>
      </c>
      <c r="H1712" s="1">
        <v>0</v>
      </c>
      <c r="I1712" s="1">
        <v>503.51649124399199</v>
      </c>
      <c r="J1712" s="1"/>
      <c r="K1712" s="1"/>
      <c r="L1712" s="1">
        <v>4830</v>
      </c>
      <c r="M1712" s="1">
        <v>5775</v>
      </c>
      <c r="N1712" s="1"/>
      <c r="O1712" s="1"/>
      <c r="P1712" s="1"/>
      <c r="Q1712" s="1">
        <v>-15303.789748601699</v>
      </c>
      <c r="R1712" s="1">
        <v>32702</v>
      </c>
      <c r="S1712" t="s">
        <v>11</v>
      </c>
    </row>
    <row r="1713" spans="1:19" x14ac:dyDescent="0.55000000000000004">
      <c r="A1713" t="s">
        <v>36</v>
      </c>
      <c r="B1713">
        <v>2022</v>
      </c>
      <c r="C1713">
        <v>29689</v>
      </c>
      <c r="D1713" s="2">
        <v>0</v>
      </c>
      <c r="E1713" s="3">
        <v>29689</v>
      </c>
      <c r="F1713" t="s">
        <v>12</v>
      </c>
      <c r="G1713" t="s">
        <v>12</v>
      </c>
      <c r="H1713" s="1">
        <v>0</v>
      </c>
      <c r="I1713" s="1">
        <v>1221.2095922600199</v>
      </c>
      <c r="J1713" s="1"/>
      <c r="K1713" s="1"/>
      <c r="L1713" s="1">
        <v>1972</v>
      </c>
      <c r="M1713" s="1">
        <v>7771</v>
      </c>
      <c r="N1713" s="1"/>
      <c r="O1713" s="1"/>
      <c r="P1713" s="1"/>
      <c r="Q1713" s="1">
        <v>2460.7962258002099</v>
      </c>
      <c r="R1713" s="1">
        <v>40653</v>
      </c>
      <c r="S1713" t="s">
        <v>11</v>
      </c>
    </row>
    <row r="1714" spans="1:19" x14ac:dyDescent="0.55000000000000004">
      <c r="A1714" t="s">
        <v>36</v>
      </c>
      <c r="B1714">
        <v>2021</v>
      </c>
      <c r="C1714">
        <v>19441</v>
      </c>
      <c r="D1714" s="2">
        <v>0</v>
      </c>
      <c r="E1714" s="3">
        <v>19441</v>
      </c>
      <c r="F1714" t="s">
        <v>12</v>
      </c>
      <c r="G1714" t="s">
        <v>12</v>
      </c>
      <c r="H1714" s="1">
        <v>497.384808050662</v>
      </c>
      <c r="I1714" s="1">
        <v>294.70187903845198</v>
      </c>
      <c r="J1714" s="1"/>
      <c r="K1714" s="1"/>
      <c r="L1714" s="1">
        <v>1330</v>
      </c>
      <c r="M1714" s="1">
        <v>5832</v>
      </c>
      <c r="N1714" s="1"/>
      <c r="O1714" s="1"/>
      <c r="P1714" s="1"/>
      <c r="Q1714" s="1">
        <v>1300.1635379730401</v>
      </c>
      <c r="R1714" s="1">
        <v>27395</v>
      </c>
      <c r="S1714" t="s">
        <v>11</v>
      </c>
    </row>
    <row r="1715" spans="1:19" x14ac:dyDescent="0.55000000000000004">
      <c r="A1715" t="s">
        <v>36</v>
      </c>
      <c r="B1715">
        <v>2020</v>
      </c>
      <c r="C1715">
        <v>6783</v>
      </c>
      <c r="D1715" s="2">
        <v>0</v>
      </c>
      <c r="E1715" s="3">
        <v>6783</v>
      </c>
      <c r="F1715" t="s">
        <v>12</v>
      </c>
      <c r="G1715" t="s">
        <v>12</v>
      </c>
      <c r="H1715" s="1">
        <v>0</v>
      </c>
      <c r="I1715" s="1">
        <v>165.477668088298</v>
      </c>
      <c r="J1715" s="1"/>
      <c r="K1715" s="1"/>
      <c r="L1715" s="1">
        <v>536</v>
      </c>
      <c r="M1715" s="1">
        <v>3392</v>
      </c>
      <c r="N1715" s="1"/>
      <c r="O1715" s="1"/>
      <c r="P1715" s="1"/>
      <c r="Q1715" s="1">
        <v>-2027.17248532177</v>
      </c>
      <c r="R1715" s="1">
        <v>10876</v>
      </c>
      <c r="S1715" t="s">
        <v>11</v>
      </c>
    </row>
    <row r="1716" spans="1:19" x14ac:dyDescent="0.55000000000000004">
      <c r="A1716" t="s">
        <v>36</v>
      </c>
      <c r="B1716">
        <v>2019</v>
      </c>
      <c r="C1716">
        <v>3507</v>
      </c>
      <c r="D1716" s="2">
        <v>0</v>
      </c>
      <c r="E1716" s="3">
        <v>3507</v>
      </c>
      <c r="F1716" t="s">
        <v>12</v>
      </c>
      <c r="G1716" t="s">
        <v>12</v>
      </c>
      <c r="H1716" s="1">
        <v>211.95778265999999</v>
      </c>
      <c r="I1716" s="1">
        <v>66.095194898529002</v>
      </c>
      <c r="J1716" s="1"/>
      <c r="K1716" s="1"/>
      <c r="L1716" s="1">
        <v>507</v>
      </c>
      <c r="M1716" s="1">
        <v>1052</v>
      </c>
      <c r="N1716" s="1"/>
      <c r="O1716" s="1"/>
      <c r="P1716" s="1"/>
      <c r="Q1716" s="1">
        <v>-2665.0242535269999</v>
      </c>
      <c r="R1716" s="1">
        <v>5344</v>
      </c>
      <c r="S1716" t="s">
        <v>11</v>
      </c>
    </row>
    <row r="1717" spans="1:19" x14ac:dyDescent="0.55000000000000004">
      <c r="A1717" t="s">
        <v>36</v>
      </c>
      <c r="B1717">
        <v>2018</v>
      </c>
      <c r="C1717">
        <v>13949</v>
      </c>
      <c r="D1717" s="2">
        <v>0</v>
      </c>
      <c r="E1717" s="3">
        <v>13949</v>
      </c>
      <c r="F1717" t="s">
        <v>12</v>
      </c>
      <c r="G1717" t="s">
        <v>12</v>
      </c>
      <c r="H1717" s="1">
        <v>0</v>
      </c>
      <c r="I1717" s="1">
        <v>7646.7024117006204</v>
      </c>
      <c r="J1717" s="1"/>
      <c r="K1717" s="1"/>
      <c r="L1717" s="1">
        <v>2015</v>
      </c>
      <c r="M1717" s="1">
        <v>4185</v>
      </c>
      <c r="N1717" s="1"/>
      <c r="O1717" s="1"/>
      <c r="P1717" s="1"/>
      <c r="Q1717" s="1">
        <v>-9441.5215589917407</v>
      </c>
      <c r="R1717" s="1">
        <v>27796</v>
      </c>
      <c r="S1717" t="s">
        <v>11</v>
      </c>
    </row>
    <row r="1718" spans="1:19" x14ac:dyDescent="0.55000000000000004">
      <c r="A1718" t="s">
        <v>36</v>
      </c>
      <c r="B1718">
        <v>2017</v>
      </c>
      <c r="C1718">
        <v>34159</v>
      </c>
      <c r="D1718" s="2">
        <v>0</v>
      </c>
      <c r="E1718" s="3">
        <v>34159</v>
      </c>
      <c r="F1718" t="s">
        <v>12</v>
      </c>
      <c r="G1718" t="s">
        <v>12</v>
      </c>
      <c r="H1718" s="1">
        <v>448.64019285299997</v>
      </c>
      <c r="I1718" s="1">
        <v>820.13252493233006</v>
      </c>
      <c r="J1718" s="1"/>
      <c r="K1718" s="1"/>
      <c r="L1718" s="1">
        <v>2400</v>
      </c>
      <c r="M1718" s="1">
        <v>11441</v>
      </c>
      <c r="N1718" s="1"/>
      <c r="O1718" s="1"/>
      <c r="P1718" s="1"/>
      <c r="Q1718" s="1">
        <v>-51702.219975509601</v>
      </c>
      <c r="R1718" s="1">
        <v>49269</v>
      </c>
      <c r="S1718" t="s">
        <v>11</v>
      </c>
    </row>
    <row r="1719" spans="1:19" x14ac:dyDescent="0.55000000000000004">
      <c r="A1719" t="s">
        <v>36</v>
      </c>
      <c r="B1719">
        <v>2016</v>
      </c>
      <c r="C1719">
        <v>58241</v>
      </c>
      <c r="D1719" s="2">
        <v>0</v>
      </c>
      <c r="E1719" s="3">
        <v>58241</v>
      </c>
      <c r="F1719" t="s">
        <v>12</v>
      </c>
      <c r="G1719" t="s">
        <v>12</v>
      </c>
      <c r="H1719" s="1">
        <v>625.89057025809996</v>
      </c>
      <c r="I1719" s="1">
        <v>4053.1635534757602</v>
      </c>
      <c r="J1719" s="1"/>
      <c r="K1719" s="1"/>
      <c r="L1719" s="1">
        <v>3710</v>
      </c>
      <c r="M1719" s="1">
        <v>12241</v>
      </c>
      <c r="N1719" s="1"/>
      <c r="O1719" s="1"/>
      <c r="P1719" s="1"/>
      <c r="Q1719" s="1">
        <v>555.44632073799801</v>
      </c>
      <c r="R1719" s="1">
        <v>78871</v>
      </c>
      <c r="S1719" t="s">
        <v>11</v>
      </c>
    </row>
    <row r="1720" spans="1:19" x14ac:dyDescent="0.55000000000000004">
      <c r="A1720" t="s">
        <v>36</v>
      </c>
      <c r="B1720">
        <v>2015</v>
      </c>
      <c r="C1720">
        <v>38478</v>
      </c>
      <c r="D1720" s="2">
        <v>0</v>
      </c>
      <c r="E1720" s="3">
        <v>38478</v>
      </c>
      <c r="F1720" t="s">
        <v>12</v>
      </c>
      <c r="G1720" t="s">
        <v>12</v>
      </c>
      <c r="H1720" s="1">
        <v>0</v>
      </c>
      <c r="I1720" s="1">
        <v>6093.3621275496698</v>
      </c>
      <c r="J1720" s="1"/>
      <c r="K1720" s="1"/>
      <c r="L1720" s="1">
        <v>4872</v>
      </c>
      <c r="M1720" s="1">
        <v>5368</v>
      </c>
      <c r="N1720" s="1"/>
      <c r="O1720" s="1"/>
      <c r="P1720" s="1"/>
      <c r="Q1720" s="1">
        <v>-52806.4077628901</v>
      </c>
      <c r="R1720" s="1">
        <v>54811</v>
      </c>
      <c r="S1720" t="s">
        <v>11</v>
      </c>
    </row>
    <row r="1721" spans="1:19" x14ac:dyDescent="0.55000000000000004">
      <c r="A1721" t="s">
        <v>36</v>
      </c>
      <c r="B1721">
        <v>2014</v>
      </c>
      <c r="C1721">
        <v>36496</v>
      </c>
      <c r="D1721" s="2">
        <v>11</v>
      </c>
      <c r="E1721" s="3">
        <v>36507</v>
      </c>
      <c r="F1721" t="s">
        <v>12</v>
      </c>
      <c r="G1721" t="s">
        <v>12</v>
      </c>
      <c r="H1721" s="1">
        <v>0</v>
      </c>
      <c r="I1721" s="1">
        <v>19575.386871268998</v>
      </c>
      <c r="J1721" s="1"/>
      <c r="K1721" s="1"/>
      <c r="L1721" s="1">
        <v>4823</v>
      </c>
      <c r="M1721" s="1">
        <v>6909</v>
      </c>
      <c r="N1721" s="1"/>
      <c r="O1721" s="1">
        <v>1</v>
      </c>
      <c r="P1721" s="1">
        <v>2</v>
      </c>
      <c r="Q1721" s="1">
        <v>-13078.348717242699</v>
      </c>
      <c r="R1721" s="1">
        <v>67817</v>
      </c>
      <c r="S1721" t="s">
        <v>11</v>
      </c>
    </row>
    <row r="1722" spans="1:19" x14ac:dyDescent="0.55000000000000004">
      <c r="A1722" t="s">
        <v>36</v>
      </c>
      <c r="B1722">
        <v>2013</v>
      </c>
      <c r="C1722">
        <v>59247</v>
      </c>
      <c r="D1722" s="2">
        <v>32</v>
      </c>
      <c r="E1722" s="3">
        <v>59279</v>
      </c>
      <c r="F1722" t="s">
        <v>12</v>
      </c>
      <c r="G1722" t="s">
        <v>12</v>
      </c>
      <c r="H1722" s="1">
        <v>0</v>
      </c>
      <c r="I1722" s="1">
        <v>6871.8510429773096</v>
      </c>
      <c r="J1722" s="1"/>
      <c r="K1722" s="1"/>
      <c r="L1722" s="1"/>
      <c r="M1722" s="1">
        <v>11076</v>
      </c>
      <c r="N1722" s="1"/>
      <c r="O1722" s="1"/>
      <c r="P1722" s="1">
        <v>6</v>
      </c>
      <c r="Q1722" s="1">
        <v>-137278.24429123499</v>
      </c>
      <c r="R1722" s="1">
        <v>77233</v>
      </c>
      <c r="S1722" t="s">
        <v>11</v>
      </c>
    </row>
    <row r="1723" spans="1:19" x14ac:dyDescent="0.55000000000000004">
      <c r="A1723" t="s">
        <v>36</v>
      </c>
      <c r="B1723">
        <v>2012</v>
      </c>
      <c r="C1723">
        <v>78038</v>
      </c>
      <c r="D1723" s="2">
        <v>0</v>
      </c>
      <c r="E1723" s="3">
        <v>78038</v>
      </c>
      <c r="F1723" t="s">
        <v>12</v>
      </c>
      <c r="G1723" t="s">
        <v>12</v>
      </c>
      <c r="H1723" s="1">
        <v>1.918594014218</v>
      </c>
      <c r="I1723" s="1">
        <v>6131.9724580231896</v>
      </c>
      <c r="J1723" s="1"/>
      <c r="K1723" s="1"/>
      <c r="L1723" s="1"/>
      <c r="M1723" s="1"/>
      <c r="N1723" s="1"/>
      <c r="O1723" s="1"/>
      <c r="P1723" s="1"/>
      <c r="Q1723" s="1">
        <v>-28990.239215275</v>
      </c>
      <c r="R1723" s="1">
        <v>84172</v>
      </c>
      <c r="S1723" t="s">
        <v>11</v>
      </c>
    </row>
    <row r="1724" spans="1:19" x14ac:dyDescent="0.55000000000000004">
      <c r="A1724" t="s">
        <v>36</v>
      </c>
      <c r="B1724">
        <v>2011</v>
      </c>
      <c r="C1724">
        <v>55997</v>
      </c>
      <c r="D1724" s="2">
        <v>9</v>
      </c>
      <c r="E1724" s="3">
        <v>56006</v>
      </c>
      <c r="F1724" t="s">
        <v>12</v>
      </c>
      <c r="G1724" t="s">
        <v>12</v>
      </c>
      <c r="H1724" s="1">
        <v>1.7409834494379499</v>
      </c>
      <c r="I1724" s="1">
        <v>9780.6479454423807</v>
      </c>
      <c r="J1724" s="1"/>
      <c r="K1724" s="1"/>
      <c r="L1724" s="1"/>
      <c r="M1724" s="1"/>
      <c r="N1724" s="1"/>
      <c r="O1724" s="1"/>
      <c r="P1724" s="1"/>
      <c r="Q1724" s="1">
        <v>32368.174571660398</v>
      </c>
      <c r="R1724" s="1">
        <v>65788</v>
      </c>
      <c r="S1724" t="s">
        <v>11</v>
      </c>
    </row>
    <row r="1725" spans="1:19" x14ac:dyDescent="0.55000000000000004">
      <c r="A1725" t="s">
        <v>36</v>
      </c>
      <c r="B1725">
        <v>2010</v>
      </c>
      <c r="C1725">
        <v>16818</v>
      </c>
      <c r="D1725" s="2">
        <v>0</v>
      </c>
      <c r="E1725" s="3">
        <v>16818</v>
      </c>
      <c r="F1725" t="s">
        <v>12</v>
      </c>
      <c r="G1725" t="s">
        <v>12</v>
      </c>
      <c r="H1725" s="1">
        <v>0</v>
      </c>
      <c r="I1725" s="1">
        <v>2287.7911052894601</v>
      </c>
      <c r="J1725" s="1"/>
      <c r="K1725" s="1"/>
      <c r="L1725" s="1"/>
      <c r="M1725" s="1"/>
      <c r="N1725" s="1"/>
      <c r="O1725" s="1"/>
      <c r="P1725" s="1"/>
      <c r="Q1725" s="1">
        <v>-16500.737293600399</v>
      </c>
      <c r="R1725" s="1">
        <v>19106</v>
      </c>
      <c r="S1725" t="s">
        <v>11</v>
      </c>
    </row>
    <row r="1726" spans="1:19" x14ac:dyDescent="0.55000000000000004">
      <c r="A1726" t="s">
        <v>36</v>
      </c>
      <c r="B1726">
        <v>2009</v>
      </c>
      <c r="C1726">
        <v>31034</v>
      </c>
      <c r="D1726" s="2">
        <v>8</v>
      </c>
      <c r="E1726" s="3">
        <v>31042</v>
      </c>
      <c r="F1726" t="s">
        <v>12</v>
      </c>
      <c r="G1726" t="s">
        <v>12</v>
      </c>
      <c r="H1726" s="1">
        <v>2.1348696070172402</v>
      </c>
      <c r="I1726" s="1">
        <v>1565.22508655096</v>
      </c>
      <c r="J1726" s="1"/>
      <c r="K1726" s="1"/>
      <c r="L1726" s="1"/>
      <c r="M1726" s="1"/>
      <c r="N1726" s="1"/>
      <c r="O1726" s="1"/>
      <c r="P1726" s="1"/>
      <c r="Q1726" s="1">
        <v>1523.7748099573901</v>
      </c>
      <c r="R1726" s="1">
        <v>32609</v>
      </c>
      <c r="S1726" t="s">
        <v>11</v>
      </c>
    </row>
    <row r="1727" spans="1:19" x14ac:dyDescent="0.55000000000000004">
      <c r="A1727" t="s">
        <v>36</v>
      </c>
      <c r="B1727">
        <v>2008</v>
      </c>
      <c r="C1727">
        <v>16921</v>
      </c>
      <c r="D1727" s="2">
        <v>0</v>
      </c>
      <c r="E1727" s="3">
        <v>16921</v>
      </c>
      <c r="F1727" t="s">
        <v>12</v>
      </c>
      <c r="G1727" t="s">
        <v>12</v>
      </c>
      <c r="H1727" s="1">
        <v>1.03229999999</v>
      </c>
      <c r="I1727" s="1">
        <v>2844.178682066</v>
      </c>
      <c r="J1727" s="1"/>
      <c r="K1727" s="1"/>
      <c r="L1727" s="1"/>
      <c r="M1727" s="1"/>
      <c r="N1727" s="1"/>
      <c r="O1727" s="1"/>
      <c r="P1727" s="1"/>
      <c r="Q1727" s="1">
        <v>494.35882539253402</v>
      </c>
      <c r="R1727" s="1">
        <v>19766</v>
      </c>
      <c r="S1727" t="s">
        <v>9</v>
      </c>
    </row>
    <row r="1728" spans="1:19" x14ac:dyDescent="0.55000000000000004">
      <c r="A1728" t="s">
        <v>36</v>
      </c>
      <c r="B1728">
        <v>2007</v>
      </c>
      <c r="C1728">
        <v>41829</v>
      </c>
      <c r="D1728" s="2">
        <v>9</v>
      </c>
      <c r="E1728" s="3">
        <v>41838</v>
      </c>
      <c r="F1728" t="s">
        <v>12</v>
      </c>
      <c r="G1728" t="s">
        <v>12</v>
      </c>
      <c r="H1728" s="1">
        <v>3406.2713079199998</v>
      </c>
      <c r="I1728" s="1">
        <v>2357.2165874359998</v>
      </c>
      <c r="J1728" s="1"/>
      <c r="K1728" s="1"/>
      <c r="L1728" s="1"/>
      <c r="M1728" s="1"/>
      <c r="N1728" s="1"/>
      <c r="O1728" s="1"/>
      <c r="P1728" s="1"/>
      <c r="Q1728" s="1">
        <v>18711.846234744098</v>
      </c>
      <c r="R1728" s="1">
        <v>47601</v>
      </c>
      <c r="S1728" t="s">
        <v>9</v>
      </c>
    </row>
    <row r="1729" spans="1:19" x14ac:dyDescent="0.55000000000000004">
      <c r="A1729" t="s">
        <v>36</v>
      </c>
      <c r="B1729">
        <v>2006</v>
      </c>
      <c r="C1729">
        <v>38816</v>
      </c>
      <c r="D1729" s="2">
        <v>0</v>
      </c>
      <c r="E1729" s="3">
        <v>38816</v>
      </c>
      <c r="F1729" t="s">
        <v>12</v>
      </c>
      <c r="G1729" t="s">
        <v>12</v>
      </c>
      <c r="H1729" s="1">
        <v>450.27737648361301</v>
      </c>
      <c r="I1729" s="1">
        <v>20203.763915132698</v>
      </c>
      <c r="J1729" s="1"/>
      <c r="K1729" s="1"/>
      <c r="L1729" s="1"/>
      <c r="M1729" s="1"/>
      <c r="N1729" s="1"/>
      <c r="O1729" s="1"/>
      <c r="P1729" s="1"/>
      <c r="Q1729" s="1">
        <v>-59937.020371644998</v>
      </c>
      <c r="R1729" s="1">
        <v>119407</v>
      </c>
      <c r="S1729" t="s">
        <v>9</v>
      </c>
    </row>
    <row r="1730" spans="1:19" x14ac:dyDescent="0.55000000000000004">
      <c r="A1730" t="s">
        <v>36</v>
      </c>
      <c r="B1730">
        <v>2005</v>
      </c>
      <c r="C1730">
        <v>62047</v>
      </c>
      <c r="D1730" s="2">
        <v>15</v>
      </c>
      <c r="E1730" s="3">
        <v>62062</v>
      </c>
      <c r="F1730" t="s">
        <v>12</v>
      </c>
      <c r="G1730" t="s">
        <v>12</v>
      </c>
      <c r="H1730" s="1">
        <v>6270.3477376729998</v>
      </c>
      <c r="I1730" s="1">
        <v>11970.558791649701</v>
      </c>
      <c r="J1730" s="1"/>
      <c r="K1730" s="1"/>
      <c r="L1730" s="1"/>
      <c r="M1730" s="1"/>
      <c r="N1730" s="1"/>
      <c r="O1730" s="1"/>
      <c r="P1730" s="1"/>
      <c r="Q1730" s="1">
        <v>-24098.448546512202</v>
      </c>
      <c r="R1730" s="1">
        <v>104401</v>
      </c>
      <c r="S1730" t="s">
        <v>9</v>
      </c>
    </row>
    <row r="1731" spans="1:19" x14ac:dyDescent="0.55000000000000004">
      <c r="A1731" t="s">
        <v>36</v>
      </c>
      <c r="B1731">
        <v>2004</v>
      </c>
      <c r="C1731">
        <v>60942</v>
      </c>
      <c r="D1731" s="2">
        <v>0</v>
      </c>
      <c r="E1731" s="3">
        <v>60942</v>
      </c>
      <c r="F1731" t="s">
        <v>12</v>
      </c>
      <c r="G1731" t="s">
        <v>12</v>
      </c>
      <c r="H1731" s="1">
        <v>587.08523824653298</v>
      </c>
      <c r="I1731" s="1">
        <v>94475.049435976107</v>
      </c>
      <c r="J1731" s="1"/>
      <c r="K1731" s="1"/>
      <c r="L1731" s="1"/>
      <c r="M1731" s="1"/>
      <c r="N1731" s="1"/>
      <c r="O1731" s="1"/>
      <c r="P1731" s="1"/>
      <c r="Q1731" s="1">
        <v>-87837.933771374999</v>
      </c>
      <c r="R1731" s="1">
        <v>243842</v>
      </c>
      <c r="S1731" t="s">
        <v>9</v>
      </c>
    </row>
    <row r="1732" spans="1:19" x14ac:dyDescent="0.55000000000000004">
      <c r="A1732" t="s">
        <v>36</v>
      </c>
      <c r="B1732">
        <v>2003</v>
      </c>
      <c r="C1732">
        <v>78229</v>
      </c>
      <c r="D1732" s="2">
        <v>15</v>
      </c>
      <c r="E1732" s="3">
        <v>78244</v>
      </c>
      <c r="F1732" t="s">
        <v>12</v>
      </c>
      <c r="G1732" t="s">
        <v>12</v>
      </c>
      <c r="H1732" s="1">
        <v>1672.68982281733</v>
      </c>
      <c r="I1732" s="1">
        <v>42285.205179215904</v>
      </c>
      <c r="J1732" s="1"/>
      <c r="K1732" s="1"/>
      <c r="L1732" s="1"/>
      <c r="M1732" s="1"/>
      <c r="N1732" s="1"/>
      <c r="O1732" s="1"/>
      <c r="P1732" s="1"/>
      <c r="Q1732" s="1">
        <v>2616.60380510202</v>
      </c>
      <c r="R1732" s="1">
        <v>122202</v>
      </c>
      <c r="S1732" t="s">
        <v>9</v>
      </c>
    </row>
    <row r="1733" spans="1:19" x14ac:dyDescent="0.55000000000000004">
      <c r="A1733" t="s">
        <v>36</v>
      </c>
      <c r="B1733">
        <v>2002</v>
      </c>
      <c r="C1733">
        <v>90280</v>
      </c>
      <c r="D1733" s="2">
        <v>0</v>
      </c>
      <c r="E1733" s="3">
        <v>90280</v>
      </c>
      <c r="F1733" t="s">
        <v>12</v>
      </c>
      <c r="G1733" t="s">
        <v>12</v>
      </c>
      <c r="H1733" s="1">
        <v>4.5467865941270702</v>
      </c>
      <c r="I1733" s="1">
        <v>28625.535987772801</v>
      </c>
      <c r="J1733" s="1"/>
      <c r="K1733" s="1"/>
      <c r="L1733" s="1"/>
      <c r="M1733" s="1"/>
      <c r="N1733" s="1"/>
      <c r="O1733" s="1"/>
      <c r="P1733" s="1"/>
      <c r="Q1733" s="1">
        <v>1.3795975100947501E-3</v>
      </c>
      <c r="R1733" s="1">
        <v>118910</v>
      </c>
      <c r="S1733" t="s">
        <v>9</v>
      </c>
    </row>
    <row r="1734" spans="1:19" x14ac:dyDescent="0.55000000000000004">
      <c r="A1734" t="s">
        <v>36</v>
      </c>
      <c r="B1734">
        <v>2001</v>
      </c>
      <c r="C1734">
        <v>131481</v>
      </c>
      <c r="D1734" s="2">
        <v>19</v>
      </c>
      <c r="E1734" s="3">
        <v>131500</v>
      </c>
      <c r="F1734" t="s">
        <v>12</v>
      </c>
      <c r="G1734" t="s">
        <v>12</v>
      </c>
      <c r="H1734" s="1">
        <v>211.68747814318499</v>
      </c>
      <c r="I1734" s="1">
        <v>9206.2676521213907</v>
      </c>
      <c r="J1734" s="1"/>
      <c r="K1734" s="1"/>
      <c r="L1734" s="1"/>
      <c r="M1734" s="1"/>
      <c r="N1734" s="1"/>
      <c r="O1734" s="1"/>
      <c r="P1734" s="1"/>
      <c r="Q1734" s="1">
        <v>19</v>
      </c>
      <c r="R1734" s="1">
        <v>140918</v>
      </c>
      <c r="S1734" t="s">
        <v>9</v>
      </c>
    </row>
    <row r="1735" spans="1:19" x14ac:dyDescent="0.55000000000000004">
      <c r="A1735" t="s">
        <v>36</v>
      </c>
      <c r="B1735">
        <v>2000</v>
      </c>
      <c r="C1735">
        <v>42638</v>
      </c>
      <c r="D1735" s="2">
        <v>11</v>
      </c>
      <c r="E1735" s="3">
        <v>42649</v>
      </c>
      <c r="F1735" t="s">
        <v>12</v>
      </c>
      <c r="G1735" t="s">
        <v>12</v>
      </c>
      <c r="H1735" s="1">
        <v>19.612482759414299</v>
      </c>
      <c r="I1735" s="1">
        <v>11988.851565209699</v>
      </c>
      <c r="J1735" s="1"/>
      <c r="K1735" s="1"/>
      <c r="L1735" s="1"/>
      <c r="M1735" s="1"/>
      <c r="N1735" s="1"/>
      <c r="O1735" s="1"/>
      <c r="P1735" s="1"/>
      <c r="Q1735" s="1">
        <v>11.4935312895468</v>
      </c>
      <c r="R1735" s="1">
        <v>54657</v>
      </c>
      <c r="S1735" t="s">
        <v>9</v>
      </c>
    </row>
    <row r="1736" spans="1:19" x14ac:dyDescent="0.55000000000000004">
      <c r="A1736" t="s">
        <v>36</v>
      </c>
      <c r="B1736">
        <v>1999</v>
      </c>
      <c r="C1736">
        <v>35961</v>
      </c>
      <c r="D1736" s="2">
        <v>16</v>
      </c>
      <c r="E1736" s="3">
        <v>35977</v>
      </c>
      <c r="F1736" t="s">
        <v>12</v>
      </c>
      <c r="G1736" t="s">
        <v>12</v>
      </c>
      <c r="H1736" s="1">
        <v>0.77918229253314797</v>
      </c>
      <c r="I1736" s="1">
        <v>2618.2745473168102</v>
      </c>
      <c r="J1736" s="1"/>
      <c r="K1736" s="1"/>
      <c r="L1736" s="1"/>
      <c r="M1736" s="1"/>
      <c r="N1736" s="1"/>
      <c r="O1736" s="1"/>
      <c r="P1736" s="1"/>
      <c r="Q1736" s="1">
        <v>15.509020450597699</v>
      </c>
      <c r="R1736" s="1">
        <v>38596</v>
      </c>
      <c r="S1736" t="s">
        <v>9</v>
      </c>
    </row>
    <row r="1737" spans="1:19" x14ac:dyDescent="0.55000000000000004">
      <c r="A1737" t="s">
        <v>36</v>
      </c>
      <c r="B1737">
        <v>1998</v>
      </c>
      <c r="C1737">
        <v>76888</v>
      </c>
      <c r="D1737" s="2">
        <v>0</v>
      </c>
      <c r="E1737" s="3">
        <v>76888</v>
      </c>
      <c r="F1737" t="s">
        <v>12</v>
      </c>
      <c r="G1737" t="s">
        <v>12</v>
      </c>
      <c r="H1737" s="1">
        <v>107.912133059461</v>
      </c>
      <c r="I1737" s="1">
        <v>11505.983834951199</v>
      </c>
      <c r="J1737" s="1"/>
      <c r="K1737" s="1"/>
      <c r="L1737" s="1"/>
      <c r="M1737" s="1"/>
      <c r="N1737" s="1"/>
      <c r="O1737" s="1"/>
      <c r="P1737" s="1"/>
      <c r="Q1737" s="1">
        <v>-5.8207660913467401E-11</v>
      </c>
      <c r="R1737" s="1">
        <v>88502</v>
      </c>
      <c r="S1737" t="s">
        <v>9</v>
      </c>
    </row>
    <row r="1738" spans="1:19" x14ac:dyDescent="0.55000000000000004">
      <c r="A1738" t="s">
        <v>36</v>
      </c>
      <c r="B1738">
        <v>1997</v>
      </c>
      <c r="C1738">
        <v>35798</v>
      </c>
      <c r="D1738" s="2">
        <v>32</v>
      </c>
      <c r="E1738" s="3">
        <v>35830</v>
      </c>
      <c r="F1738" t="s">
        <v>12</v>
      </c>
      <c r="G1738" t="s">
        <v>12</v>
      </c>
      <c r="H1738" s="1">
        <v>1287.21797312493</v>
      </c>
      <c r="I1738" s="1">
        <v>30718.429008944899</v>
      </c>
      <c r="J1738" s="1"/>
      <c r="K1738" s="1"/>
      <c r="L1738" s="1"/>
      <c r="M1738" s="1"/>
      <c r="N1738" s="1"/>
      <c r="O1738" s="1"/>
      <c r="P1738" s="1"/>
      <c r="Q1738" s="1">
        <v>39.341383365426701</v>
      </c>
      <c r="R1738" s="1">
        <v>67836</v>
      </c>
      <c r="S1738" t="s">
        <v>9</v>
      </c>
    </row>
    <row r="1739" spans="1:19" x14ac:dyDescent="0.55000000000000004">
      <c r="A1739" t="s">
        <v>36</v>
      </c>
      <c r="B1739">
        <v>1996</v>
      </c>
      <c r="C1739">
        <v>50081</v>
      </c>
      <c r="D1739" s="2">
        <v>5</v>
      </c>
      <c r="E1739" s="3">
        <v>50086</v>
      </c>
      <c r="F1739" t="s">
        <v>12</v>
      </c>
      <c r="G1739" t="s">
        <v>12</v>
      </c>
      <c r="H1739" s="1">
        <v>1.55251018520512</v>
      </c>
      <c r="I1739" s="1">
        <v>7970.73006543273</v>
      </c>
      <c r="J1739" s="1"/>
      <c r="K1739" s="1"/>
      <c r="L1739" s="1"/>
      <c r="M1739" s="1"/>
      <c r="N1739" s="1"/>
      <c r="O1739" s="1"/>
      <c r="P1739" s="1"/>
      <c r="Q1739" s="1">
        <v>14721</v>
      </c>
      <c r="R1739" s="1">
        <v>58058</v>
      </c>
      <c r="S1739" t="s">
        <v>9</v>
      </c>
    </row>
    <row r="1740" spans="1:19" x14ac:dyDescent="0.55000000000000004">
      <c r="A1740" t="s">
        <v>36</v>
      </c>
      <c r="B1740">
        <v>1995</v>
      </c>
      <c r="C1740">
        <v>5500</v>
      </c>
      <c r="D1740" s="2">
        <v>0</v>
      </c>
      <c r="E1740" s="3">
        <v>5500</v>
      </c>
      <c r="F1740" t="s">
        <v>12</v>
      </c>
      <c r="G1740" t="s">
        <v>12</v>
      </c>
      <c r="H1740" s="1">
        <v>1.2176688916055301E-14</v>
      </c>
      <c r="I1740" s="1">
        <v>1260.09930601058</v>
      </c>
      <c r="J1740" s="1">
        <v>356.73000899697399</v>
      </c>
      <c r="K1740" s="1"/>
      <c r="L1740" s="1"/>
      <c r="M1740" s="1"/>
      <c r="N1740" s="1"/>
      <c r="O1740" s="1"/>
      <c r="P1740" s="1"/>
      <c r="Q1740" s="1">
        <v>356.73000899697502</v>
      </c>
      <c r="R1740" s="1">
        <v>7117</v>
      </c>
      <c r="S1740" t="s">
        <v>9</v>
      </c>
    </row>
    <row r="1741" spans="1:19" x14ac:dyDescent="0.55000000000000004">
      <c r="A1741" t="s">
        <v>36</v>
      </c>
      <c r="B1741">
        <v>1994</v>
      </c>
      <c r="C1741">
        <v>9500</v>
      </c>
      <c r="D1741" s="2">
        <v>1</v>
      </c>
      <c r="E1741" s="3">
        <v>9501</v>
      </c>
      <c r="F1741" t="s">
        <v>12</v>
      </c>
      <c r="G1741" t="s">
        <v>12</v>
      </c>
      <c r="H1741" s="1">
        <v>0.76812030336321002</v>
      </c>
      <c r="I1741" s="1">
        <v>2849.5289970296399</v>
      </c>
      <c r="J1741" s="1"/>
      <c r="K1741" s="1"/>
      <c r="L1741" s="1"/>
      <c r="M1741" s="1"/>
      <c r="N1741" s="1"/>
      <c r="O1741" s="1"/>
      <c r="P1741" s="1"/>
      <c r="Q1741" s="1">
        <v>0.99999999999636202</v>
      </c>
      <c r="R1741" s="1">
        <v>12351</v>
      </c>
      <c r="S1741" t="s">
        <v>9</v>
      </c>
    </row>
    <row r="1742" spans="1:19" x14ac:dyDescent="0.55000000000000004">
      <c r="A1742" t="s">
        <v>36</v>
      </c>
      <c r="B1742">
        <v>1993</v>
      </c>
      <c r="C1742">
        <v>22835</v>
      </c>
      <c r="D1742" s="2">
        <v>15</v>
      </c>
      <c r="E1742" s="3">
        <v>22850</v>
      </c>
      <c r="F1742" t="s">
        <v>12</v>
      </c>
      <c r="G1742" t="s">
        <v>12</v>
      </c>
      <c r="H1742" s="1">
        <v>10.9628918054877</v>
      </c>
      <c r="I1742" s="1">
        <v>46609.208566546004</v>
      </c>
      <c r="J1742" s="1"/>
      <c r="K1742" s="1"/>
      <c r="L1742" s="1"/>
      <c r="M1742" s="1"/>
      <c r="N1742" s="1"/>
      <c r="O1742" s="1"/>
      <c r="P1742" s="1"/>
      <c r="Q1742" s="1">
        <v>15.0000000000146</v>
      </c>
      <c r="R1742" s="1">
        <v>69470</v>
      </c>
      <c r="S1742" t="s">
        <v>9</v>
      </c>
    </row>
    <row r="1743" spans="1:19" x14ac:dyDescent="0.55000000000000004">
      <c r="A1743" t="s">
        <v>36</v>
      </c>
      <c r="B1743">
        <v>1992</v>
      </c>
      <c r="C1743">
        <v>9129</v>
      </c>
      <c r="D1743" s="2">
        <v>6</v>
      </c>
      <c r="E1743" s="3">
        <v>9135</v>
      </c>
      <c r="F1743" t="s">
        <v>12</v>
      </c>
      <c r="G1743" t="s">
        <v>12</v>
      </c>
      <c r="H1743" s="1">
        <v>8.6539170200416091</v>
      </c>
      <c r="I1743" s="1">
        <v>1594.51007349729</v>
      </c>
      <c r="J1743" s="1"/>
      <c r="K1743" s="1"/>
      <c r="L1743" s="1"/>
      <c r="M1743" s="1"/>
      <c r="N1743" s="1"/>
      <c r="O1743" s="1"/>
      <c r="P1743" s="1"/>
      <c r="Q1743" s="1">
        <v>5.9999999999963602</v>
      </c>
      <c r="R1743" s="1">
        <v>10738</v>
      </c>
      <c r="S1743" t="s">
        <v>9</v>
      </c>
    </row>
    <row r="1744" spans="1:19" x14ac:dyDescent="0.55000000000000004">
      <c r="A1744" t="s">
        <v>36</v>
      </c>
      <c r="B1744">
        <v>1991</v>
      </c>
      <c r="C1744">
        <v>22500</v>
      </c>
      <c r="D1744" s="2">
        <v>0</v>
      </c>
      <c r="E1744" s="3">
        <v>22500</v>
      </c>
      <c r="F1744" t="s">
        <v>12</v>
      </c>
      <c r="G1744" t="s">
        <v>12</v>
      </c>
      <c r="H1744" s="1">
        <v>0</v>
      </c>
      <c r="I1744" s="1">
        <v>18348.577980500399</v>
      </c>
      <c r="J1744" s="1"/>
      <c r="K1744" s="1"/>
      <c r="L1744" s="1"/>
      <c r="M1744" s="1"/>
      <c r="N1744" s="1"/>
      <c r="O1744" s="1"/>
      <c r="P1744" s="1"/>
      <c r="Q1744" s="1">
        <v>-1.45519152283669E-11</v>
      </c>
      <c r="R1744" s="1">
        <v>40849</v>
      </c>
      <c r="S1744" t="s">
        <v>9</v>
      </c>
    </row>
    <row r="1745" spans="1:19" x14ac:dyDescent="0.55000000000000004">
      <c r="A1745" t="s">
        <v>36</v>
      </c>
      <c r="B1745">
        <v>1990</v>
      </c>
      <c r="C1745">
        <v>12202</v>
      </c>
      <c r="D1745" s="2">
        <v>5</v>
      </c>
      <c r="E1745" s="3">
        <v>12207</v>
      </c>
      <c r="F1745" t="s">
        <v>12</v>
      </c>
      <c r="G1745" t="s">
        <v>12</v>
      </c>
      <c r="H1745" s="1">
        <v>0</v>
      </c>
      <c r="I1745" s="1">
        <v>12842.293963448499</v>
      </c>
      <c r="J1745" s="1"/>
      <c r="K1745" s="1"/>
      <c r="L1745" s="1"/>
      <c r="M1745" s="1"/>
      <c r="N1745" s="1"/>
      <c r="O1745" s="1"/>
      <c r="P1745" s="1"/>
      <c r="Q1745" s="1">
        <v>5.0000000000036398</v>
      </c>
      <c r="R1745" s="1">
        <v>25049</v>
      </c>
      <c r="S1745" t="s">
        <v>9</v>
      </c>
    </row>
    <row r="1746" spans="1:19" x14ac:dyDescent="0.55000000000000004">
      <c r="A1746" t="s">
        <v>36</v>
      </c>
      <c r="B1746">
        <v>1989</v>
      </c>
      <c r="C1746">
        <v>16037</v>
      </c>
      <c r="D1746" s="2">
        <v>0</v>
      </c>
      <c r="E1746" s="3">
        <v>16037</v>
      </c>
      <c r="F1746" t="s">
        <v>12</v>
      </c>
      <c r="G1746" t="s">
        <v>12</v>
      </c>
      <c r="H1746" s="1">
        <v>111.202141185572</v>
      </c>
      <c r="I1746" s="1">
        <v>47148.290734974602</v>
      </c>
      <c r="J1746" s="1"/>
      <c r="K1746" s="1"/>
      <c r="L1746" s="1"/>
      <c r="M1746" s="1"/>
      <c r="N1746" s="1"/>
      <c r="O1746" s="1"/>
      <c r="P1746" s="1"/>
      <c r="Q1746" s="1">
        <v>3.6379788070917101E-12</v>
      </c>
      <c r="R1746" s="1">
        <v>63296</v>
      </c>
      <c r="S1746" t="s">
        <v>9</v>
      </c>
    </row>
    <row r="1747" spans="1:19" x14ac:dyDescent="0.55000000000000004">
      <c r="A1747" t="s">
        <v>36</v>
      </c>
      <c r="B1747">
        <v>1988</v>
      </c>
      <c r="C1747">
        <v>37747</v>
      </c>
      <c r="D1747" s="2">
        <v>22</v>
      </c>
      <c r="E1747" s="3">
        <v>37769</v>
      </c>
      <c r="F1747" t="s">
        <v>12</v>
      </c>
      <c r="G1747" t="s">
        <v>12</v>
      </c>
      <c r="H1747" s="1">
        <v>0</v>
      </c>
      <c r="I1747" s="1">
        <v>31116.325866973399</v>
      </c>
      <c r="J1747" s="1"/>
      <c r="K1747" s="1"/>
      <c r="L1747" s="1"/>
      <c r="M1747" s="1"/>
      <c r="N1747" s="1"/>
      <c r="O1747" s="1"/>
      <c r="P1747" s="1"/>
      <c r="Q1747" s="1">
        <v>22.000000000007301</v>
      </c>
      <c r="R1747" s="1">
        <v>68885</v>
      </c>
      <c r="S1747" t="s">
        <v>9</v>
      </c>
    </row>
    <row r="1748" spans="1:19" x14ac:dyDescent="0.55000000000000004">
      <c r="A1748" t="s">
        <v>36</v>
      </c>
      <c r="B1748">
        <v>1987</v>
      </c>
      <c r="C1748">
        <v>13637</v>
      </c>
      <c r="D1748" s="2">
        <v>25</v>
      </c>
      <c r="E1748" s="3">
        <v>13662</v>
      </c>
      <c r="F1748" t="s">
        <v>12</v>
      </c>
      <c r="G1748" t="s">
        <v>12</v>
      </c>
      <c r="H1748" s="1">
        <v>0</v>
      </c>
      <c r="I1748" s="1">
        <v>13798.776316891601</v>
      </c>
      <c r="J1748" s="1"/>
      <c r="K1748" s="1"/>
      <c r="L1748" s="1"/>
      <c r="M1748" s="1"/>
      <c r="N1748" s="1"/>
      <c r="O1748" s="1"/>
      <c r="P1748" s="1"/>
      <c r="Q1748" s="1">
        <v>24.999999999990902</v>
      </c>
      <c r="R1748" s="1">
        <v>27461</v>
      </c>
      <c r="S1748" t="s">
        <v>9</v>
      </c>
    </row>
    <row r="1749" spans="1:19" x14ac:dyDescent="0.55000000000000004">
      <c r="A1749" t="s">
        <v>36</v>
      </c>
      <c r="B1749">
        <v>1986</v>
      </c>
      <c r="C1749">
        <v>29177</v>
      </c>
      <c r="D1749" s="2">
        <v>18</v>
      </c>
      <c r="E1749" s="3">
        <v>29195</v>
      </c>
      <c r="F1749" t="s">
        <v>12</v>
      </c>
      <c r="G1749" t="s">
        <v>12</v>
      </c>
      <c r="H1749" s="1">
        <v>0</v>
      </c>
      <c r="I1749" s="1">
        <v>6944.7719364418599</v>
      </c>
      <c r="J1749" s="1"/>
      <c r="K1749" s="1"/>
      <c r="L1749" s="1"/>
      <c r="M1749" s="1"/>
      <c r="N1749" s="1"/>
      <c r="O1749" s="1"/>
      <c r="P1749" s="1"/>
      <c r="Q1749" s="1">
        <v>17.999999999992699</v>
      </c>
      <c r="R1749" s="1">
        <v>36140</v>
      </c>
      <c r="S1749" t="s">
        <v>9</v>
      </c>
    </row>
    <row r="1750" spans="1:19" x14ac:dyDescent="0.55000000000000004">
      <c r="A1750" t="s">
        <v>36</v>
      </c>
      <c r="B1750">
        <v>1985</v>
      </c>
      <c r="C1750">
        <v>3560</v>
      </c>
      <c r="D1750" s="2">
        <v>14</v>
      </c>
      <c r="E1750" s="3">
        <v>3574</v>
      </c>
      <c r="F1750" t="s">
        <v>12</v>
      </c>
      <c r="G1750" t="s">
        <v>12</v>
      </c>
      <c r="H1750" s="1">
        <v>0</v>
      </c>
      <c r="I1750" s="1">
        <v>2528.6689896776902</v>
      </c>
      <c r="J1750" s="1"/>
      <c r="K1750" s="1"/>
      <c r="L1750" s="1"/>
      <c r="M1750" s="1"/>
      <c r="N1750" s="1"/>
      <c r="O1750" s="1"/>
      <c r="P1750" s="1"/>
      <c r="Q1750" s="1">
        <v>14.000000000000499</v>
      </c>
      <c r="R1750" s="1">
        <v>6103</v>
      </c>
      <c r="S1750" t="s">
        <v>9</v>
      </c>
    </row>
    <row r="1751" spans="1:19" x14ac:dyDescent="0.55000000000000004">
      <c r="A1751" t="s">
        <v>36</v>
      </c>
      <c r="B1751">
        <v>1984</v>
      </c>
      <c r="C1751">
        <v>15797</v>
      </c>
      <c r="D1751" s="2">
        <v>0</v>
      </c>
      <c r="E1751" s="3">
        <v>15797</v>
      </c>
      <c r="F1751" t="s">
        <v>12</v>
      </c>
      <c r="G1751" t="s">
        <v>12</v>
      </c>
      <c r="H1751" s="1">
        <v>0</v>
      </c>
      <c r="I1751" s="1">
        <v>30620.290081495099</v>
      </c>
      <c r="J1751" s="1"/>
      <c r="K1751" s="1"/>
      <c r="L1751" s="1"/>
      <c r="M1751" s="1"/>
      <c r="N1751" s="1"/>
      <c r="O1751" s="1"/>
      <c r="P1751" s="1"/>
      <c r="Q1751" s="1">
        <v>0</v>
      </c>
      <c r="R1751" s="1">
        <v>46417</v>
      </c>
      <c r="S1751" t="s">
        <v>9</v>
      </c>
    </row>
    <row r="1752" spans="1:19" x14ac:dyDescent="0.55000000000000004">
      <c r="A1752" t="s">
        <v>36</v>
      </c>
      <c r="B1752">
        <v>1983</v>
      </c>
      <c r="C1752">
        <v>16852</v>
      </c>
      <c r="D1752" s="2">
        <v>6</v>
      </c>
      <c r="E1752" s="3">
        <v>16858</v>
      </c>
      <c r="F1752" t="s">
        <v>12</v>
      </c>
      <c r="G1752" t="s">
        <v>12</v>
      </c>
      <c r="H1752" s="1">
        <v>0</v>
      </c>
      <c r="I1752" s="1">
        <v>11336.646792179799</v>
      </c>
      <c r="J1752" s="1"/>
      <c r="K1752" s="1"/>
      <c r="L1752" s="1"/>
      <c r="M1752" s="1"/>
      <c r="N1752" s="1"/>
      <c r="O1752" s="1"/>
      <c r="P1752" s="1"/>
      <c r="Q1752" s="1">
        <v>5.9999999999963602</v>
      </c>
      <c r="R1752" s="1">
        <v>28195</v>
      </c>
      <c r="S1752" t="s">
        <v>9</v>
      </c>
    </row>
    <row r="1753" spans="1:19" x14ac:dyDescent="0.55000000000000004">
      <c r="A1753" t="s">
        <v>36</v>
      </c>
      <c r="B1753">
        <v>1982</v>
      </c>
      <c r="C1753">
        <v>8708</v>
      </c>
      <c r="D1753" s="2">
        <v>17</v>
      </c>
      <c r="E1753" s="3">
        <v>8725</v>
      </c>
      <c r="F1753" t="s">
        <v>12</v>
      </c>
      <c r="G1753" t="s">
        <v>12</v>
      </c>
      <c r="H1753" s="1"/>
      <c r="I1753" s="1">
        <v>34921.917268819503</v>
      </c>
      <c r="J1753" s="1"/>
      <c r="K1753" s="1"/>
      <c r="L1753" s="1"/>
      <c r="M1753" s="1"/>
      <c r="N1753" s="1"/>
      <c r="O1753" s="1"/>
      <c r="P1753" s="1"/>
      <c r="Q1753" s="1">
        <v>17.000000000009098</v>
      </c>
      <c r="R1753" s="1">
        <v>43647</v>
      </c>
      <c r="S1753" t="s">
        <v>9</v>
      </c>
    </row>
    <row r="1754" spans="1:19" x14ac:dyDescent="0.55000000000000004">
      <c r="A1754" t="s">
        <v>36</v>
      </c>
      <c r="B1754">
        <v>1981</v>
      </c>
      <c r="C1754">
        <v>25327</v>
      </c>
      <c r="D1754" s="2">
        <v>0</v>
      </c>
      <c r="E1754" s="3">
        <v>25327</v>
      </c>
      <c r="F1754" t="s">
        <v>12</v>
      </c>
      <c r="G1754" t="s">
        <v>12</v>
      </c>
      <c r="H1754" s="1"/>
      <c r="I1754" s="1">
        <v>97795.522518696394</v>
      </c>
      <c r="J1754" s="1"/>
      <c r="K1754" s="1"/>
      <c r="L1754" s="1"/>
      <c r="M1754" s="1"/>
      <c r="N1754" s="1"/>
      <c r="O1754" s="1"/>
      <c r="P1754" s="1"/>
      <c r="Q1754" s="1">
        <v>3.6379788070917101E-12</v>
      </c>
      <c r="R1754" s="1">
        <v>123123</v>
      </c>
      <c r="S1754" t="s">
        <v>9</v>
      </c>
    </row>
    <row r="1755" spans="1:19" x14ac:dyDescent="0.55000000000000004">
      <c r="A1755" t="s">
        <v>36</v>
      </c>
      <c r="B1755">
        <v>1980</v>
      </c>
      <c r="C1755">
        <v>17101</v>
      </c>
      <c r="D1755" s="2">
        <v>34</v>
      </c>
      <c r="E1755" s="3">
        <v>17135</v>
      </c>
      <c r="F1755" t="s">
        <v>12</v>
      </c>
      <c r="G1755" t="s">
        <v>12</v>
      </c>
      <c r="H1755" s="1"/>
      <c r="I1755" s="1">
        <v>18936.569803381899</v>
      </c>
      <c r="J1755" s="1"/>
      <c r="K1755" s="1"/>
      <c r="L1755" s="1"/>
      <c r="M1755" s="1"/>
      <c r="N1755" s="1"/>
      <c r="O1755" s="1"/>
      <c r="P1755" s="1"/>
      <c r="Q1755" s="1">
        <v>33.999999999992703</v>
      </c>
      <c r="R1755" s="1">
        <v>36072</v>
      </c>
      <c r="S1755" t="s">
        <v>9</v>
      </c>
    </row>
    <row r="1756" spans="1:19" x14ac:dyDescent="0.55000000000000004">
      <c r="A1756" t="s">
        <v>36</v>
      </c>
      <c r="B1756">
        <v>1979</v>
      </c>
      <c r="C1756">
        <v>37542</v>
      </c>
      <c r="D1756" s="2">
        <v>16</v>
      </c>
      <c r="E1756" s="3">
        <v>37558</v>
      </c>
      <c r="F1756" t="s">
        <v>12</v>
      </c>
      <c r="G1756" t="s">
        <v>12</v>
      </c>
      <c r="H1756" s="1"/>
      <c r="I1756" s="1">
        <v>88247.8401083723</v>
      </c>
      <c r="J1756" s="1"/>
      <c r="K1756" s="1"/>
      <c r="L1756" s="1"/>
      <c r="M1756" s="1"/>
      <c r="N1756" s="1"/>
      <c r="O1756" s="1"/>
      <c r="P1756" s="1"/>
      <c r="Q1756" s="1">
        <v>16.0000000000291</v>
      </c>
      <c r="R1756" s="1">
        <v>125806</v>
      </c>
      <c r="S1756" t="s">
        <v>9</v>
      </c>
    </row>
    <row r="1757" spans="1:19" x14ac:dyDescent="0.55000000000000004">
      <c r="A1757" t="s">
        <v>36</v>
      </c>
      <c r="B1757">
        <v>1978</v>
      </c>
      <c r="C1757">
        <v>24786</v>
      </c>
      <c r="D1757" s="2">
        <v>49</v>
      </c>
      <c r="E1757" s="3">
        <v>24835</v>
      </c>
      <c r="F1757" t="s">
        <v>12</v>
      </c>
      <c r="G1757" t="s">
        <v>12</v>
      </c>
      <c r="H1757" s="1"/>
      <c r="I1757" s="1">
        <v>56811.419844082397</v>
      </c>
      <c r="J1757" s="1"/>
      <c r="K1757" s="1"/>
      <c r="L1757" s="1"/>
      <c r="M1757" s="1"/>
      <c r="N1757" s="1"/>
      <c r="O1757" s="1"/>
      <c r="P1757" s="1"/>
      <c r="Q1757" s="1">
        <v>49.000000000007297</v>
      </c>
      <c r="R1757" s="1">
        <v>81646</v>
      </c>
      <c r="S1757" t="s">
        <v>9</v>
      </c>
    </row>
    <row r="1758" spans="1:19" x14ac:dyDescent="0.55000000000000004">
      <c r="A1758" t="s">
        <v>36</v>
      </c>
      <c r="B1758">
        <v>1977</v>
      </c>
      <c r="C1758">
        <v>13852</v>
      </c>
      <c r="D1758" s="2">
        <v>35</v>
      </c>
      <c r="E1758" s="3">
        <v>13887</v>
      </c>
      <c r="F1758" t="s">
        <v>12</v>
      </c>
      <c r="G1758" t="s">
        <v>12</v>
      </c>
      <c r="H1758" s="1"/>
      <c r="I1758" s="1">
        <v>43660.500976985801</v>
      </c>
      <c r="J1758" s="1"/>
      <c r="K1758" s="1"/>
      <c r="L1758" s="1"/>
      <c r="M1758" s="1"/>
      <c r="N1758" s="1"/>
      <c r="O1758" s="1"/>
      <c r="P1758" s="1"/>
      <c r="Q1758" s="1">
        <v>34.999999999996398</v>
      </c>
      <c r="R1758" s="1">
        <v>57548</v>
      </c>
      <c r="S1758" t="s">
        <v>9</v>
      </c>
    </row>
    <row r="1759" spans="1:19" x14ac:dyDescent="0.55000000000000004">
      <c r="A1759" t="s">
        <v>36</v>
      </c>
      <c r="B1759">
        <v>1976</v>
      </c>
      <c r="C1759">
        <v>36525</v>
      </c>
      <c r="D1759" s="2">
        <v>5</v>
      </c>
      <c r="E1759" s="3">
        <v>36530</v>
      </c>
      <c r="F1759" t="s">
        <v>12</v>
      </c>
      <c r="G1759" t="s">
        <v>12</v>
      </c>
      <c r="H1759" s="1"/>
      <c r="I1759" s="1">
        <v>167573</v>
      </c>
      <c r="J1759" s="1"/>
      <c r="K1759" s="1"/>
      <c r="L1759" s="1"/>
      <c r="M1759" s="1"/>
      <c r="N1759" s="1"/>
      <c r="O1759" s="1"/>
      <c r="P1759" s="1"/>
      <c r="Q1759" s="1"/>
      <c r="R1759" s="1">
        <v>204103</v>
      </c>
      <c r="S1759" t="s">
        <v>12</v>
      </c>
    </row>
    <row r="1760" spans="1:19" x14ac:dyDescent="0.55000000000000004">
      <c r="A1760" t="s">
        <v>36</v>
      </c>
      <c r="B1760">
        <v>1975</v>
      </c>
      <c r="C1760">
        <v>39920</v>
      </c>
      <c r="D1760" s="2">
        <v>22</v>
      </c>
      <c r="E1760" s="3">
        <v>39942</v>
      </c>
      <c r="F1760" t="s">
        <v>12</v>
      </c>
      <c r="G1760" t="s">
        <v>12</v>
      </c>
      <c r="H1760" s="1"/>
      <c r="I1760" s="1">
        <v>84820</v>
      </c>
      <c r="J1760" s="1">
        <v>3</v>
      </c>
      <c r="K1760" s="1"/>
      <c r="L1760" s="1"/>
      <c r="M1760" s="1"/>
      <c r="N1760" s="1"/>
      <c r="O1760" s="1"/>
      <c r="P1760" s="1"/>
      <c r="Q1760" s="1"/>
      <c r="R1760" s="1">
        <v>124765</v>
      </c>
      <c r="S1760" t="s">
        <v>11</v>
      </c>
    </row>
    <row r="1761" spans="1:19" x14ac:dyDescent="0.55000000000000004">
      <c r="A1761" t="s">
        <v>36</v>
      </c>
      <c r="B1761">
        <v>1974</v>
      </c>
      <c r="C1761">
        <v>20581</v>
      </c>
      <c r="D1761" s="2">
        <v>211</v>
      </c>
      <c r="E1761" s="3">
        <v>20792</v>
      </c>
      <c r="F1761" t="s">
        <v>12</v>
      </c>
      <c r="G1761" t="s">
        <v>12</v>
      </c>
      <c r="H1761" s="1"/>
      <c r="I1761" s="1">
        <v>53346</v>
      </c>
      <c r="J1761" s="1"/>
      <c r="K1761" s="1"/>
      <c r="L1761" s="1"/>
      <c r="M1761" s="1"/>
      <c r="N1761" s="1"/>
      <c r="O1761" s="1"/>
      <c r="P1761" s="1"/>
      <c r="Q1761" s="1"/>
      <c r="R1761" s="1">
        <v>74138</v>
      </c>
      <c r="S1761" t="s">
        <v>12</v>
      </c>
    </row>
    <row r="1762" spans="1:19" x14ac:dyDescent="0.55000000000000004">
      <c r="A1762" t="s">
        <v>36</v>
      </c>
      <c r="B1762">
        <v>1973</v>
      </c>
      <c r="C1762">
        <v>11895</v>
      </c>
      <c r="D1762" s="2">
        <v>33</v>
      </c>
      <c r="E1762" s="3">
        <v>11928</v>
      </c>
      <c r="F1762" t="s">
        <v>12</v>
      </c>
      <c r="G1762" t="s">
        <v>12</v>
      </c>
      <c r="H1762" s="1"/>
      <c r="I1762" s="1">
        <v>64696.999999999898</v>
      </c>
      <c r="J1762" s="1"/>
      <c r="K1762" s="1"/>
      <c r="L1762" s="1"/>
      <c r="M1762" s="1"/>
      <c r="N1762" s="1"/>
      <c r="O1762" s="1"/>
      <c r="P1762" s="1"/>
      <c r="Q1762" s="1"/>
      <c r="R1762" s="1">
        <v>76625</v>
      </c>
      <c r="S1762" t="s">
        <v>12</v>
      </c>
    </row>
    <row r="1763" spans="1:19" x14ac:dyDescent="0.55000000000000004">
      <c r="A1763" t="s">
        <v>36</v>
      </c>
      <c r="B1763">
        <v>1972</v>
      </c>
      <c r="C1763">
        <v>13412</v>
      </c>
      <c r="D1763" s="2">
        <v>0</v>
      </c>
      <c r="E1763" s="3">
        <v>13412</v>
      </c>
      <c r="F1763" t="s">
        <v>12</v>
      </c>
      <c r="G1763" t="s">
        <v>12</v>
      </c>
      <c r="H1763" s="1"/>
      <c r="I1763" s="1">
        <v>68429</v>
      </c>
      <c r="J1763" s="1"/>
      <c r="K1763" s="1"/>
      <c r="L1763" s="1"/>
      <c r="M1763" s="1"/>
      <c r="N1763" s="1"/>
      <c r="O1763" s="1"/>
      <c r="P1763" s="1"/>
      <c r="Q1763" s="1"/>
      <c r="R1763" s="1">
        <v>81841</v>
      </c>
      <c r="S1763" t="s">
        <v>12</v>
      </c>
    </row>
    <row r="1764" spans="1:19" x14ac:dyDescent="0.55000000000000004">
      <c r="A1764" t="s">
        <v>36</v>
      </c>
      <c r="B1764">
        <v>1971</v>
      </c>
      <c r="C1764">
        <v>15452</v>
      </c>
      <c r="D1764" s="2">
        <v>17</v>
      </c>
      <c r="E1764" s="3">
        <v>15469</v>
      </c>
      <c r="F1764" t="s">
        <v>12</v>
      </c>
      <c r="G1764" t="s">
        <v>12</v>
      </c>
      <c r="H1764" s="1"/>
      <c r="I1764" s="1">
        <v>61766</v>
      </c>
      <c r="J1764" s="1"/>
      <c r="K1764" s="1"/>
      <c r="L1764" s="1"/>
      <c r="M1764" s="1"/>
      <c r="N1764" s="1"/>
      <c r="O1764" s="1"/>
      <c r="P1764" s="1"/>
      <c r="Q1764" s="1"/>
      <c r="R1764" s="1">
        <v>77235</v>
      </c>
      <c r="S1764" t="s">
        <v>12</v>
      </c>
    </row>
    <row r="1765" spans="1:19" x14ac:dyDescent="0.55000000000000004">
      <c r="A1765" t="s">
        <v>36</v>
      </c>
      <c r="B1765">
        <v>1970</v>
      </c>
      <c r="C1765">
        <v>6642</v>
      </c>
      <c r="D1765" s="2">
        <v>15</v>
      </c>
      <c r="E1765" s="3">
        <v>6657</v>
      </c>
      <c r="F1765" t="s">
        <v>12</v>
      </c>
      <c r="G1765" t="s">
        <v>12</v>
      </c>
      <c r="H1765" s="1"/>
      <c r="I1765" s="1">
        <v>42157</v>
      </c>
      <c r="J1765" s="1"/>
      <c r="K1765" s="1"/>
      <c r="L1765" s="1"/>
      <c r="M1765" s="1"/>
      <c r="N1765" s="1"/>
      <c r="O1765" s="1"/>
      <c r="P1765" s="1"/>
      <c r="Q1765" s="1"/>
      <c r="R1765" s="1">
        <v>48814</v>
      </c>
      <c r="S1765" t="s">
        <v>12</v>
      </c>
    </row>
    <row r="1766" spans="1:19" x14ac:dyDescent="0.55000000000000004">
      <c r="A1766" t="s">
        <v>36</v>
      </c>
      <c r="B1766">
        <v>1969</v>
      </c>
      <c r="C1766">
        <v>25073</v>
      </c>
      <c r="D1766" s="2">
        <v>11</v>
      </c>
      <c r="E1766" s="3">
        <v>25084</v>
      </c>
      <c r="F1766" t="s">
        <v>12</v>
      </c>
      <c r="G1766" t="s">
        <v>12</v>
      </c>
      <c r="H1766" s="1"/>
      <c r="I1766" s="1">
        <v>133758</v>
      </c>
      <c r="J1766" s="1"/>
      <c r="K1766" s="1"/>
      <c r="L1766" s="1"/>
      <c r="M1766" s="1"/>
      <c r="N1766" s="1"/>
      <c r="O1766" s="1"/>
      <c r="P1766" s="1"/>
      <c r="Q1766" s="1"/>
      <c r="R1766" s="1">
        <v>158842</v>
      </c>
      <c r="S1766" t="s">
        <v>12</v>
      </c>
    </row>
    <row r="1767" spans="1:19" x14ac:dyDescent="0.55000000000000004">
      <c r="A1767" t="s">
        <v>36</v>
      </c>
      <c r="B1767">
        <v>1968</v>
      </c>
      <c r="C1767">
        <v>16988</v>
      </c>
      <c r="D1767" s="2">
        <v>0</v>
      </c>
      <c r="E1767" s="3">
        <v>16988</v>
      </c>
      <c r="F1767" t="s">
        <v>12</v>
      </c>
      <c r="G1767" t="s">
        <v>12</v>
      </c>
      <c r="H1767" s="1"/>
      <c r="I1767" s="1">
        <v>85299.956669005507</v>
      </c>
      <c r="J1767" s="1"/>
      <c r="K1767" s="1"/>
      <c r="L1767" s="1"/>
      <c r="M1767" s="1"/>
      <c r="N1767" s="1"/>
      <c r="O1767" s="1"/>
      <c r="P1767" s="1"/>
      <c r="Q1767" s="1"/>
      <c r="R1767" s="1">
        <v>102288</v>
      </c>
      <c r="S1767" t="s">
        <v>12</v>
      </c>
    </row>
    <row r="1768" spans="1:19" x14ac:dyDescent="0.55000000000000004">
      <c r="A1768" t="s">
        <v>36</v>
      </c>
      <c r="B1768">
        <v>1967</v>
      </c>
      <c r="C1768">
        <v>10282</v>
      </c>
      <c r="D1768" s="2">
        <v>18</v>
      </c>
      <c r="E1768" s="3">
        <v>10300</v>
      </c>
      <c r="F1768" t="s">
        <v>12</v>
      </c>
      <c r="G1768" t="s">
        <v>12</v>
      </c>
      <c r="H1768" s="1"/>
      <c r="I1768" s="1">
        <v>112197</v>
      </c>
      <c r="J1768" s="1"/>
      <c r="K1768" s="1"/>
      <c r="L1768" s="1"/>
      <c r="M1768" s="1"/>
      <c r="N1768" s="1"/>
      <c r="O1768" s="1"/>
      <c r="P1768" s="1"/>
      <c r="Q1768" s="1"/>
      <c r="R1768" s="1">
        <v>122497</v>
      </c>
      <c r="S1768" t="s">
        <v>12</v>
      </c>
    </row>
    <row r="1769" spans="1:19" x14ac:dyDescent="0.55000000000000004">
      <c r="A1769" t="s">
        <v>36</v>
      </c>
      <c r="B1769">
        <v>1966</v>
      </c>
      <c r="C1769">
        <v>20842</v>
      </c>
      <c r="D1769" s="2">
        <v>25</v>
      </c>
      <c r="E1769" s="3">
        <v>20867</v>
      </c>
      <c r="F1769" t="s">
        <v>12</v>
      </c>
      <c r="G1769" t="s">
        <v>12</v>
      </c>
      <c r="H1769" s="1"/>
      <c r="I1769" s="1">
        <v>79330</v>
      </c>
      <c r="J1769" s="1"/>
      <c r="K1769" s="1"/>
      <c r="L1769" s="1"/>
      <c r="M1769" s="1"/>
      <c r="N1769" s="1"/>
      <c r="O1769" s="1"/>
      <c r="P1769" s="1"/>
      <c r="Q1769" s="1"/>
      <c r="R1769" s="1">
        <v>100197</v>
      </c>
      <c r="S1769" t="s">
        <v>12</v>
      </c>
    </row>
    <row r="1770" spans="1:19" x14ac:dyDescent="0.55000000000000004">
      <c r="A1770" t="s">
        <v>36</v>
      </c>
      <c r="B1770">
        <v>1965</v>
      </c>
      <c r="C1770">
        <v>6966</v>
      </c>
      <c r="D1770" s="2">
        <v>15</v>
      </c>
      <c r="E1770" s="3">
        <v>6981</v>
      </c>
      <c r="F1770" t="s">
        <v>12</v>
      </c>
      <c r="G1770" t="s">
        <v>12</v>
      </c>
      <c r="H1770" s="1"/>
      <c r="I1770" s="1">
        <v>47299</v>
      </c>
      <c r="J1770" s="1"/>
      <c r="K1770" s="1"/>
      <c r="L1770" s="1"/>
      <c r="M1770" s="1"/>
      <c r="N1770" s="1"/>
      <c r="O1770" s="1"/>
      <c r="P1770" s="1"/>
      <c r="Q1770" s="1"/>
      <c r="R1770" s="1">
        <v>54280</v>
      </c>
      <c r="S1770" t="s">
        <v>12</v>
      </c>
    </row>
    <row r="1771" spans="1:19" x14ac:dyDescent="0.55000000000000004">
      <c r="A1771" t="s">
        <v>36</v>
      </c>
      <c r="B1771">
        <v>1964</v>
      </c>
      <c r="C1771">
        <v>13756</v>
      </c>
      <c r="D1771" s="2">
        <v>48</v>
      </c>
      <c r="E1771" s="3">
        <v>13804</v>
      </c>
      <c r="F1771" t="s">
        <v>12</v>
      </c>
      <c r="G1771" t="s">
        <v>12</v>
      </c>
      <c r="H1771" s="1"/>
      <c r="I1771" s="1">
        <v>32653</v>
      </c>
      <c r="J1771" s="1"/>
      <c r="K1771" s="1"/>
      <c r="L1771" s="1"/>
      <c r="M1771" s="1"/>
      <c r="N1771" s="1"/>
      <c r="O1771" s="1"/>
      <c r="P1771" s="1"/>
      <c r="Q1771" s="1"/>
      <c r="R1771" s="1">
        <v>46457</v>
      </c>
      <c r="S1771" t="s">
        <v>11</v>
      </c>
    </row>
    <row r="1772" spans="1:19" x14ac:dyDescent="0.55000000000000004">
      <c r="A1772" t="s">
        <v>36</v>
      </c>
      <c r="B1772">
        <v>1963</v>
      </c>
      <c r="C1772">
        <v>12680</v>
      </c>
      <c r="D1772" s="2">
        <v>0</v>
      </c>
      <c r="E1772" s="3">
        <v>12680</v>
      </c>
      <c r="F1772" t="s">
        <v>12</v>
      </c>
      <c r="G1772" t="s">
        <v>12</v>
      </c>
      <c r="H1772" s="1"/>
      <c r="I1772" s="1">
        <v>12277</v>
      </c>
      <c r="J1772" s="1"/>
      <c r="K1772" s="1"/>
      <c r="L1772" s="1"/>
      <c r="M1772" s="1"/>
      <c r="N1772" s="1"/>
      <c r="O1772" s="1"/>
      <c r="P1772" s="1"/>
      <c r="Q1772" s="1"/>
      <c r="R1772" s="1">
        <v>24957</v>
      </c>
      <c r="S1772" t="s">
        <v>12</v>
      </c>
    </row>
    <row r="1773" spans="1:19" x14ac:dyDescent="0.55000000000000004">
      <c r="A1773" t="s">
        <v>36</v>
      </c>
      <c r="B1773">
        <v>1962</v>
      </c>
      <c r="C1773">
        <v>16580</v>
      </c>
      <c r="D1773" s="2">
        <v>5</v>
      </c>
      <c r="E1773" s="3">
        <v>16585</v>
      </c>
      <c r="F1773" t="s">
        <v>12</v>
      </c>
      <c r="G1773" t="s">
        <v>12</v>
      </c>
      <c r="H1773" s="1"/>
      <c r="I1773" s="1">
        <v>23689</v>
      </c>
      <c r="J1773" s="1"/>
      <c r="K1773" s="1"/>
      <c r="L1773" s="1"/>
      <c r="M1773" s="1"/>
      <c r="N1773" s="1"/>
      <c r="O1773" s="1"/>
      <c r="P1773" s="1"/>
      <c r="Q1773" s="1"/>
      <c r="R1773" s="1">
        <v>40274</v>
      </c>
      <c r="S1773" t="s">
        <v>12</v>
      </c>
    </row>
    <row r="1774" spans="1:19" x14ac:dyDescent="0.55000000000000004">
      <c r="A1774" t="s">
        <v>36</v>
      </c>
      <c r="B1774">
        <v>1961</v>
      </c>
      <c r="C1774">
        <v>11158</v>
      </c>
      <c r="D1774" s="2">
        <v>4</v>
      </c>
      <c r="E1774" s="3">
        <v>11162</v>
      </c>
      <c r="F1774" t="s">
        <v>12</v>
      </c>
      <c r="G1774" t="s">
        <v>12</v>
      </c>
      <c r="H1774" s="1"/>
      <c r="I1774" s="1">
        <v>30008</v>
      </c>
      <c r="J1774" s="1"/>
      <c r="K1774" s="1"/>
      <c r="L1774" s="1"/>
      <c r="M1774" s="1"/>
      <c r="N1774" s="1"/>
      <c r="O1774" s="1"/>
      <c r="P1774" s="1"/>
      <c r="Q1774" s="1"/>
      <c r="R1774" s="1">
        <v>41170</v>
      </c>
      <c r="S1774" t="s">
        <v>12</v>
      </c>
    </row>
    <row r="1775" spans="1:19" x14ac:dyDescent="0.55000000000000004">
      <c r="A1775" t="s">
        <v>36</v>
      </c>
      <c r="B1775">
        <v>1960</v>
      </c>
      <c r="C1775">
        <v>24510</v>
      </c>
      <c r="D1775" s="2">
        <v>0</v>
      </c>
      <c r="E1775" s="3">
        <v>24510</v>
      </c>
      <c r="F1775" t="s">
        <v>12</v>
      </c>
      <c r="G1775" t="s">
        <v>12</v>
      </c>
      <c r="H1775" s="1"/>
      <c r="I1775" s="1">
        <v>83044</v>
      </c>
      <c r="J1775" s="1"/>
      <c r="K1775" s="1"/>
      <c r="L1775" s="1"/>
      <c r="M1775" s="1"/>
      <c r="N1775" s="1"/>
      <c r="O1775" s="1"/>
      <c r="P1775" s="1"/>
      <c r="Q1775" s="1"/>
      <c r="R1775" s="1">
        <v>107554</v>
      </c>
      <c r="S1775" t="s">
        <v>11</v>
      </c>
    </row>
    <row r="1776" spans="1:19" x14ac:dyDescent="0.55000000000000004">
      <c r="A1776" t="s">
        <v>36</v>
      </c>
      <c r="B1776">
        <v>1959</v>
      </c>
      <c r="C1776">
        <v>15731</v>
      </c>
      <c r="D1776" s="2">
        <v>9</v>
      </c>
      <c r="E1776" s="3">
        <v>15740</v>
      </c>
      <c r="F1776" t="s">
        <v>12</v>
      </c>
      <c r="G1776" t="s">
        <v>12</v>
      </c>
      <c r="H1776" s="1"/>
      <c r="I1776" s="1">
        <v>69783</v>
      </c>
      <c r="J1776" s="1"/>
      <c r="K1776" s="1"/>
      <c r="L1776" s="1"/>
      <c r="M1776" s="1"/>
      <c r="N1776" s="1"/>
      <c r="O1776" s="1"/>
      <c r="P1776" s="1"/>
      <c r="Q1776" s="1"/>
      <c r="R1776" s="1">
        <v>85523</v>
      </c>
      <c r="S1776" t="s">
        <v>12</v>
      </c>
    </row>
    <row r="1777" spans="1:19" x14ac:dyDescent="0.55000000000000004">
      <c r="A1777" t="s">
        <v>36</v>
      </c>
      <c r="B1777">
        <v>1958</v>
      </c>
      <c r="C1777">
        <v>10381</v>
      </c>
      <c r="D1777" s="2">
        <v>4</v>
      </c>
      <c r="E1777" s="3">
        <v>10385</v>
      </c>
      <c r="F1777" t="s">
        <v>12</v>
      </c>
      <c r="G1777" t="s">
        <v>12</v>
      </c>
      <c r="H1777" s="1"/>
      <c r="I1777" s="1">
        <v>41001</v>
      </c>
      <c r="J1777" s="1"/>
      <c r="K1777" s="1"/>
      <c r="L1777" s="1"/>
      <c r="M1777" s="1"/>
      <c r="N1777" s="1"/>
      <c r="O1777" s="1"/>
      <c r="P1777" s="1"/>
      <c r="Q1777" s="1"/>
      <c r="R1777" s="1">
        <v>51386</v>
      </c>
      <c r="S1777" t="s">
        <v>12</v>
      </c>
    </row>
    <row r="1778" spans="1:19" x14ac:dyDescent="0.55000000000000004">
      <c r="A1778" t="s">
        <v>36</v>
      </c>
      <c r="B1778">
        <v>1957</v>
      </c>
      <c r="C1778">
        <v>12335</v>
      </c>
      <c r="D1778" s="2">
        <v>3</v>
      </c>
      <c r="E1778" s="3">
        <v>12338</v>
      </c>
      <c r="F1778" t="s">
        <v>12</v>
      </c>
      <c r="G1778" t="s">
        <v>12</v>
      </c>
      <c r="H1778" s="1"/>
      <c r="I1778" s="1">
        <v>27555</v>
      </c>
      <c r="J1778" s="1"/>
      <c r="K1778" s="1"/>
      <c r="L1778" s="1"/>
      <c r="M1778" s="1"/>
      <c r="N1778" s="1"/>
      <c r="O1778" s="1"/>
      <c r="P1778" s="1"/>
      <c r="Q1778" s="1"/>
      <c r="R1778" s="1">
        <v>39893</v>
      </c>
      <c r="S1778" t="s">
        <v>12</v>
      </c>
    </row>
    <row r="1779" spans="1:19" x14ac:dyDescent="0.55000000000000004">
      <c r="A1779" t="s">
        <v>36</v>
      </c>
      <c r="B1779">
        <v>1956</v>
      </c>
      <c r="C1779">
        <v>32094</v>
      </c>
      <c r="D1779" s="2">
        <v>0</v>
      </c>
      <c r="E1779" s="3">
        <v>32094</v>
      </c>
      <c r="F1779" t="s">
        <v>12</v>
      </c>
      <c r="G1779" t="s">
        <v>12</v>
      </c>
      <c r="H1779" s="1"/>
      <c r="I1779" s="1">
        <v>81627</v>
      </c>
      <c r="J1779" s="1"/>
      <c r="K1779" s="1"/>
      <c r="L1779" s="1"/>
      <c r="M1779" s="1"/>
      <c r="N1779" s="1"/>
      <c r="O1779" s="1"/>
      <c r="P1779" s="1"/>
      <c r="Q1779" s="1"/>
      <c r="R1779" s="1">
        <v>113721</v>
      </c>
      <c r="S1779" t="s">
        <v>12</v>
      </c>
    </row>
    <row r="1780" spans="1:19" x14ac:dyDescent="0.55000000000000004">
      <c r="A1780" t="s">
        <v>36</v>
      </c>
      <c r="B1780">
        <v>1955</v>
      </c>
      <c r="C1780">
        <v>17950</v>
      </c>
      <c r="D1780" s="2">
        <v>0</v>
      </c>
      <c r="E1780" s="3">
        <v>17950</v>
      </c>
      <c r="F1780" t="s">
        <v>12</v>
      </c>
      <c r="G1780" t="s">
        <v>12</v>
      </c>
      <c r="H1780" s="1"/>
      <c r="I1780" s="1">
        <v>72468</v>
      </c>
      <c r="J1780" s="1"/>
      <c r="K1780" s="1"/>
      <c r="L1780" s="1"/>
      <c r="M1780" s="1"/>
      <c r="N1780" s="1"/>
      <c r="O1780" s="1"/>
      <c r="P1780" s="1"/>
      <c r="Q1780" s="1"/>
      <c r="R1780" s="1">
        <v>90418</v>
      </c>
      <c r="S1780" t="s">
        <v>11</v>
      </c>
    </row>
    <row r="1781" spans="1:19" x14ac:dyDescent="0.55000000000000004">
      <c r="A1781" t="s">
        <v>36</v>
      </c>
      <c r="B1781">
        <v>1954</v>
      </c>
      <c r="C1781">
        <v>17624</v>
      </c>
      <c r="D1781" s="2">
        <v>0</v>
      </c>
      <c r="E1781" s="3">
        <v>17624</v>
      </c>
      <c r="F1781" t="s">
        <v>12</v>
      </c>
      <c r="G1781" t="s">
        <v>12</v>
      </c>
      <c r="H1781" s="1"/>
      <c r="I1781" s="1">
        <v>79204</v>
      </c>
      <c r="J1781" s="1"/>
      <c r="K1781" s="1"/>
      <c r="L1781" s="1"/>
      <c r="M1781" s="1"/>
      <c r="N1781" s="1"/>
      <c r="O1781" s="1"/>
      <c r="P1781" s="1"/>
      <c r="Q1781" s="1"/>
      <c r="R1781" s="1">
        <v>96828</v>
      </c>
      <c r="S1781" t="s">
        <v>12</v>
      </c>
    </row>
    <row r="1782" spans="1:19" x14ac:dyDescent="0.55000000000000004">
      <c r="A1782" t="s">
        <v>36</v>
      </c>
      <c r="B1782">
        <v>1953</v>
      </c>
      <c r="C1782">
        <v>18673</v>
      </c>
      <c r="D1782" s="2">
        <v>20</v>
      </c>
      <c r="E1782" s="3">
        <v>18693</v>
      </c>
      <c r="F1782" t="s">
        <v>12</v>
      </c>
      <c r="G1782" t="s">
        <v>12</v>
      </c>
      <c r="H1782" s="1"/>
      <c r="I1782" s="1">
        <v>77195.621120621698</v>
      </c>
      <c r="J1782" s="1"/>
      <c r="K1782" s="1"/>
      <c r="L1782" s="1"/>
      <c r="M1782" s="1"/>
      <c r="N1782" s="1"/>
      <c r="O1782" s="1"/>
      <c r="P1782" s="1"/>
      <c r="Q1782" s="1"/>
      <c r="R1782" s="1">
        <v>95889</v>
      </c>
      <c r="S1782" t="s">
        <v>12</v>
      </c>
    </row>
    <row r="1783" spans="1:19" x14ac:dyDescent="0.55000000000000004">
      <c r="A1783" t="s">
        <v>36</v>
      </c>
      <c r="B1783">
        <v>1952</v>
      </c>
      <c r="C1783">
        <v>48899</v>
      </c>
      <c r="D1783" s="2">
        <v>0</v>
      </c>
      <c r="E1783" s="3">
        <v>48899</v>
      </c>
      <c r="F1783" t="s">
        <v>12</v>
      </c>
      <c r="G1783" t="s">
        <v>12</v>
      </c>
      <c r="H1783" s="1"/>
      <c r="I1783" s="1">
        <v>156143</v>
      </c>
      <c r="J1783" s="1"/>
      <c r="K1783" s="1"/>
      <c r="L1783" s="1"/>
      <c r="M1783" s="1"/>
      <c r="N1783" s="1"/>
      <c r="O1783" s="1"/>
      <c r="P1783" s="1"/>
      <c r="Q1783" s="1"/>
      <c r="R1783" s="1">
        <v>205042</v>
      </c>
      <c r="S1783" t="s">
        <v>12</v>
      </c>
    </row>
    <row r="1784" spans="1:19" x14ac:dyDescent="0.55000000000000004">
      <c r="A1784" t="s">
        <v>37</v>
      </c>
      <c r="B1784">
        <v>2023</v>
      </c>
      <c r="C1784">
        <v>38466</v>
      </c>
      <c r="D1784" s="2">
        <v>27</v>
      </c>
      <c r="E1784" s="3">
        <v>38493</v>
      </c>
      <c r="F1784" t="s">
        <v>12</v>
      </c>
      <c r="G1784" t="s">
        <v>12</v>
      </c>
      <c r="H1784" s="1">
        <v>361.85666764801698</v>
      </c>
      <c r="I1784" s="1">
        <v>1735.02979224158</v>
      </c>
      <c r="J1784" s="1">
        <v>2.16705689178692</v>
      </c>
      <c r="K1784" s="1"/>
      <c r="L1784" s="1">
        <v>43158</v>
      </c>
      <c r="M1784" s="1">
        <v>4692</v>
      </c>
      <c r="N1784" s="1"/>
      <c r="O1784" s="1">
        <v>27</v>
      </c>
      <c r="P1784" s="1"/>
      <c r="Q1784" s="1">
        <v>-53473.131261326198</v>
      </c>
      <c r="R1784" s="1">
        <v>88469</v>
      </c>
      <c r="S1784" t="s">
        <v>11</v>
      </c>
    </row>
    <row r="1785" spans="1:19" x14ac:dyDescent="0.55000000000000004">
      <c r="A1785" t="s">
        <v>37</v>
      </c>
      <c r="B1785">
        <v>2022</v>
      </c>
      <c r="C1785">
        <v>97133</v>
      </c>
      <c r="D1785" s="2">
        <v>7</v>
      </c>
      <c r="E1785" s="3">
        <v>97140</v>
      </c>
      <c r="F1785" t="s">
        <v>12</v>
      </c>
      <c r="G1785" t="s">
        <v>12</v>
      </c>
      <c r="H1785" s="1">
        <v>556.91572230711699</v>
      </c>
      <c r="I1785" s="1">
        <v>106815.73467644599</v>
      </c>
      <c r="J1785" s="1">
        <v>3831.4022094812499</v>
      </c>
      <c r="K1785" s="1"/>
      <c r="L1785" s="1">
        <v>111385</v>
      </c>
      <c r="M1785" s="1">
        <v>14232</v>
      </c>
      <c r="N1785" s="1"/>
      <c r="O1785" s="1">
        <v>8</v>
      </c>
      <c r="P1785" s="1">
        <v>1</v>
      </c>
      <c r="Q1785" s="1">
        <v>-222138.733641892</v>
      </c>
      <c r="R1785" s="1">
        <v>333970</v>
      </c>
      <c r="S1785" t="s">
        <v>11</v>
      </c>
    </row>
    <row r="1786" spans="1:19" x14ac:dyDescent="0.55000000000000004">
      <c r="A1786" t="s">
        <v>37</v>
      </c>
      <c r="B1786">
        <v>2021</v>
      </c>
      <c r="C1786">
        <v>80395</v>
      </c>
      <c r="D1786" s="2">
        <v>54</v>
      </c>
      <c r="E1786" s="3">
        <v>80449</v>
      </c>
      <c r="F1786" t="s">
        <v>12</v>
      </c>
      <c r="G1786" t="s">
        <v>12</v>
      </c>
      <c r="H1786" s="1">
        <v>5337.0750306147402</v>
      </c>
      <c r="I1786" s="1">
        <v>1282.81745519941</v>
      </c>
      <c r="J1786" s="1">
        <v>9272.2425228131106</v>
      </c>
      <c r="K1786" s="1"/>
      <c r="L1786" s="1">
        <v>59763</v>
      </c>
      <c r="M1786" s="1"/>
      <c r="N1786" s="1"/>
      <c r="O1786" s="1">
        <v>36</v>
      </c>
      <c r="P1786" s="1"/>
      <c r="Q1786" s="1">
        <v>-294420.79050660401</v>
      </c>
      <c r="R1786" s="1">
        <v>156140</v>
      </c>
      <c r="S1786" t="s">
        <v>11</v>
      </c>
    </row>
    <row r="1787" spans="1:19" x14ac:dyDescent="0.55000000000000004">
      <c r="A1787" t="s">
        <v>37</v>
      </c>
      <c r="B1787">
        <v>2020</v>
      </c>
      <c r="C1787">
        <v>84</v>
      </c>
      <c r="D1787" s="2">
        <v>23</v>
      </c>
      <c r="E1787" s="3">
        <v>107</v>
      </c>
      <c r="F1787" t="s">
        <v>12</v>
      </c>
      <c r="G1787" t="s">
        <v>12</v>
      </c>
      <c r="H1787" s="1">
        <v>0</v>
      </c>
      <c r="I1787" s="1">
        <v>17.191379320034201</v>
      </c>
      <c r="J1787" s="1">
        <v>6.4076540585483505E-4</v>
      </c>
      <c r="K1787" s="1"/>
      <c r="L1787" s="1">
        <v>252</v>
      </c>
      <c r="M1787" s="1"/>
      <c r="N1787" s="1"/>
      <c r="O1787" s="1">
        <v>69</v>
      </c>
      <c r="P1787" s="1"/>
      <c r="Q1787" s="1">
        <v>-91.402231682133305</v>
      </c>
      <c r="R1787" s="1">
        <v>445</v>
      </c>
      <c r="S1787" t="s">
        <v>11</v>
      </c>
    </row>
    <row r="1788" spans="1:19" x14ac:dyDescent="0.55000000000000004">
      <c r="A1788" t="s">
        <v>37</v>
      </c>
      <c r="B1788">
        <v>2019</v>
      </c>
      <c r="C1788">
        <v>1806</v>
      </c>
      <c r="D1788" s="2">
        <v>17</v>
      </c>
      <c r="E1788" s="3">
        <v>1823</v>
      </c>
      <c r="F1788" t="s">
        <v>12</v>
      </c>
      <c r="G1788" t="s">
        <v>12</v>
      </c>
      <c r="H1788" s="1">
        <v>0</v>
      </c>
      <c r="I1788" s="1">
        <v>38.815819429039898</v>
      </c>
      <c r="J1788" s="1">
        <v>2.9060951568956302E-3</v>
      </c>
      <c r="K1788" s="1"/>
      <c r="L1788" s="1">
        <v>1806</v>
      </c>
      <c r="M1788" s="1"/>
      <c r="N1788" s="1"/>
      <c r="O1788" s="1">
        <v>17</v>
      </c>
      <c r="P1788" s="1"/>
      <c r="Q1788" s="1">
        <v>-1142.0507295950699</v>
      </c>
      <c r="R1788" s="1">
        <v>3685</v>
      </c>
      <c r="S1788" t="s">
        <v>11</v>
      </c>
    </row>
    <row r="1789" spans="1:19" x14ac:dyDescent="0.55000000000000004">
      <c r="A1789" t="s">
        <v>37</v>
      </c>
      <c r="B1789">
        <v>2018</v>
      </c>
      <c r="C1789">
        <v>15095</v>
      </c>
      <c r="D1789" s="2">
        <v>0</v>
      </c>
      <c r="E1789" s="3">
        <v>15095</v>
      </c>
      <c r="F1789" t="s">
        <v>12</v>
      </c>
      <c r="G1789" t="s">
        <v>12</v>
      </c>
      <c r="H1789" s="1">
        <v>0</v>
      </c>
      <c r="I1789" s="1">
        <v>29822.575515012701</v>
      </c>
      <c r="J1789" s="1">
        <v>940.512382361052</v>
      </c>
      <c r="K1789" s="1"/>
      <c r="L1789" s="1">
        <v>5032</v>
      </c>
      <c r="M1789" s="1"/>
      <c r="N1789" s="1">
        <v>115</v>
      </c>
      <c r="O1789" s="1"/>
      <c r="P1789" s="1"/>
      <c r="Q1789" s="1">
        <v>-22758.525422153401</v>
      </c>
      <c r="R1789" s="1">
        <v>51005</v>
      </c>
      <c r="S1789" t="s">
        <v>11</v>
      </c>
    </row>
    <row r="1790" spans="1:19" x14ac:dyDescent="0.55000000000000004">
      <c r="A1790" t="s">
        <v>37</v>
      </c>
      <c r="B1790">
        <v>2017</v>
      </c>
      <c r="C1790">
        <v>32779</v>
      </c>
      <c r="D1790" s="2">
        <v>102</v>
      </c>
      <c r="E1790" s="3">
        <v>32881</v>
      </c>
      <c r="F1790" t="s">
        <v>12</v>
      </c>
      <c r="G1790" t="s">
        <v>12</v>
      </c>
      <c r="H1790" s="1">
        <v>315.08988736719999</v>
      </c>
      <c r="I1790" s="1">
        <v>2952.7012989111399</v>
      </c>
      <c r="J1790" s="1">
        <v>330.22952036152998</v>
      </c>
      <c r="K1790" s="1"/>
      <c r="L1790" s="1">
        <v>26818</v>
      </c>
      <c r="M1790" s="1"/>
      <c r="N1790" s="1">
        <v>57</v>
      </c>
      <c r="O1790" s="1">
        <v>83</v>
      </c>
      <c r="P1790" s="1"/>
      <c r="Q1790" s="1">
        <v>-68025.544303433693</v>
      </c>
      <c r="R1790" s="1">
        <v>63437</v>
      </c>
      <c r="S1790" t="s">
        <v>11</v>
      </c>
    </row>
    <row r="1791" spans="1:19" x14ac:dyDescent="0.55000000000000004">
      <c r="A1791" t="s">
        <v>37</v>
      </c>
      <c r="B1791">
        <v>2016</v>
      </c>
      <c r="C1791">
        <v>274</v>
      </c>
      <c r="D1791" s="2">
        <v>26</v>
      </c>
      <c r="E1791" s="3">
        <v>300</v>
      </c>
      <c r="F1791" t="s">
        <v>12</v>
      </c>
      <c r="G1791" t="s">
        <v>12</v>
      </c>
      <c r="H1791" s="1">
        <v>0</v>
      </c>
      <c r="I1791" s="1">
        <v>271.86949327689098</v>
      </c>
      <c r="J1791" s="1">
        <v>3.1173435166179</v>
      </c>
      <c r="K1791" s="1"/>
      <c r="L1791" s="1">
        <v>499</v>
      </c>
      <c r="M1791" s="1"/>
      <c r="N1791" s="1"/>
      <c r="O1791" s="1">
        <v>39</v>
      </c>
      <c r="P1791" s="1"/>
      <c r="Q1791" s="1">
        <v>-665.062221202812</v>
      </c>
      <c r="R1791" s="1">
        <v>1113</v>
      </c>
      <c r="S1791" t="s">
        <v>11</v>
      </c>
    </row>
    <row r="1792" spans="1:19" x14ac:dyDescent="0.55000000000000004">
      <c r="A1792" t="s">
        <v>37</v>
      </c>
      <c r="B1792">
        <v>2015</v>
      </c>
      <c r="C1792">
        <v>3014</v>
      </c>
      <c r="D1792" s="2">
        <v>18</v>
      </c>
      <c r="E1792" s="3">
        <v>3032</v>
      </c>
      <c r="F1792" t="s">
        <v>12</v>
      </c>
      <c r="G1792" t="s">
        <v>12</v>
      </c>
      <c r="H1792" s="1">
        <v>1104.1109869439999</v>
      </c>
      <c r="I1792" s="1">
        <v>265.39169955839998</v>
      </c>
      <c r="J1792" s="1">
        <v>2.2582572883109</v>
      </c>
      <c r="K1792" s="1"/>
      <c r="L1792" s="1">
        <v>7033</v>
      </c>
      <c r="M1792" s="1"/>
      <c r="N1792" s="1">
        <v>2</v>
      </c>
      <c r="O1792" s="1">
        <v>42</v>
      </c>
      <c r="P1792" s="1"/>
      <c r="Q1792" s="1">
        <v>-5153.7592694254899</v>
      </c>
      <c r="R1792" s="1">
        <v>11481</v>
      </c>
      <c r="S1792" t="s">
        <v>11</v>
      </c>
    </row>
    <row r="1793" spans="1:19" x14ac:dyDescent="0.55000000000000004">
      <c r="A1793" t="s">
        <v>37</v>
      </c>
      <c r="B1793">
        <v>2014</v>
      </c>
      <c r="C1793">
        <v>24646</v>
      </c>
      <c r="D1793" s="2">
        <v>0</v>
      </c>
      <c r="E1793" s="3">
        <v>24646</v>
      </c>
      <c r="F1793" t="s">
        <v>12</v>
      </c>
      <c r="G1793" t="s">
        <v>12</v>
      </c>
      <c r="H1793" s="1">
        <v>1221.448629688</v>
      </c>
      <c r="I1793" s="1">
        <v>101051.39496516999</v>
      </c>
      <c r="J1793" s="1">
        <v>3353.4501688712899</v>
      </c>
      <c r="K1793" s="1"/>
      <c r="L1793" s="1">
        <v>13603</v>
      </c>
      <c r="M1793" s="1"/>
      <c r="N1793" s="1">
        <v>-4378</v>
      </c>
      <c r="O1793" s="1"/>
      <c r="P1793" s="1"/>
      <c r="Q1793" s="1">
        <v>-30712.242156924702</v>
      </c>
      <c r="R1793" s="1">
        <v>139497</v>
      </c>
      <c r="S1793" t="s">
        <v>11</v>
      </c>
    </row>
    <row r="1794" spans="1:19" x14ac:dyDescent="0.55000000000000004">
      <c r="A1794" t="s">
        <v>37</v>
      </c>
      <c r="B1794">
        <v>2013</v>
      </c>
      <c r="C1794">
        <v>35537</v>
      </c>
      <c r="D1794" s="2">
        <v>540</v>
      </c>
      <c r="E1794" s="3">
        <v>36077</v>
      </c>
      <c r="F1794" t="s">
        <v>12</v>
      </c>
      <c r="G1794" t="s">
        <v>12</v>
      </c>
      <c r="H1794" s="1">
        <v>915.18878747730002</v>
      </c>
      <c r="I1794" s="1">
        <v>5399.3169257974596</v>
      </c>
      <c r="J1794" s="1">
        <v>1342.4509331715999</v>
      </c>
      <c r="K1794" s="1"/>
      <c r="L1794" s="1">
        <v>207972</v>
      </c>
      <c r="M1794" s="1"/>
      <c r="N1794" s="1">
        <v>439</v>
      </c>
      <c r="O1794" s="1">
        <v>3060</v>
      </c>
      <c r="P1794" s="1"/>
      <c r="Q1794" s="1">
        <v>-76124.787221420105</v>
      </c>
      <c r="R1794" s="1">
        <v>255205</v>
      </c>
      <c r="S1794" t="s">
        <v>11</v>
      </c>
    </row>
    <row r="1795" spans="1:19" x14ac:dyDescent="0.55000000000000004">
      <c r="A1795" t="s">
        <v>37</v>
      </c>
      <c r="B1795">
        <v>2012</v>
      </c>
      <c r="C1795">
        <v>918</v>
      </c>
      <c r="D1795" s="2">
        <v>6</v>
      </c>
      <c r="E1795" s="3">
        <v>924</v>
      </c>
      <c r="F1795" t="s">
        <v>12</v>
      </c>
      <c r="G1795" t="s">
        <v>12</v>
      </c>
      <c r="H1795" s="1">
        <v>1.3735893464516999</v>
      </c>
      <c r="I1795" s="1">
        <v>12992.659940216699</v>
      </c>
      <c r="J1795" s="1">
        <v>2591.0810062251198</v>
      </c>
      <c r="K1795" s="1"/>
      <c r="L1795" s="1">
        <v>14382</v>
      </c>
      <c r="M1795" s="1"/>
      <c r="N1795" s="1">
        <v>-415</v>
      </c>
      <c r="O1795" s="1">
        <v>94</v>
      </c>
      <c r="P1795" s="1"/>
      <c r="Q1795" s="1">
        <v>-76385.590676764899</v>
      </c>
      <c r="R1795" s="1">
        <v>30570</v>
      </c>
      <c r="S1795" t="s">
        <v>11</v>
      </c>
    </row>
    <row r="1796" spans="1:19" x14ac:dyDescent="0.55000000000000004">
      <c r="A1796" t="s">
        <v>37</v>
      </c>
      <c r="B1796">
        <v>2011</v>
      </c>
      <c r="C1796">
        <v>72569</v>
      </c>
      <c r="D1796" s="2">
        <v>8</v>
      </c>
      <c r="E1796" s="3">
        <v>72577</v>
      </c>
      <c r="F1796" t="s">
        <v>12</v>
      </c>
      <c r="G1796" t="s">
        <v>12</v>
      </c>
      <c r="H1796" s="1">
        <v>1.461769927408</v>
      </c>
      <c r="I1796" s="1">
        <v>133086.73854374999</v>
      </c>
      <c r="J1796" s="1">
        <v>48643.913882496599</v>
      </c>
      <c r="K1796" s="1"/>
      <c r="L1796" s="1">
        <v>83678</v>
      </c>
      <c r="M1796" s="1"/>
      <c r="N1796" s="1">
        <v>-1482</v>
      </c>
      <c r="O1796" s="1">
        <v>6</v>
      </c>
      <c r="P1796" s="1"/>
      <c r="Q1796" s="1">
        <v>-411154.06706326298</v>
      </c>
      <c r="R1796" s="1">
        <v>336511</v>
      </c>
      <c r="S1796" t="s">
        <v>11</v>
      </c>
    </row>
    <row r="1797" spans="1:19" x14ac:dyDescent="0.55000000000000004">
      <c r="A1797" t="s">
        <v>37</v>
      </c>
      <c r="B1797">
        <v>2010</v>
      </c>
      <c r="C1797">
        <v>59897</v>
      </c>
      <c r="D1797" s="2">
        <v>1366</v>
      </c>
      <c r="E1797" s="3">
        <v>61263</v>
      </c>
      <c r="F1797" t="s">
        <v>12</v>
      </c>
      <c r="G1797" t="s">
        <v>12</v>
      </c>
      <c r="H1797" s="1">
        <v>0</v>
      </c>
      <c r="I1797" s="1">
        <v>110780.34967500401</v>
      </c>
      <c r="J1797" s="1"/>
      <c r="K1797" s="1"/>
      <c r="L1797" s="1">
        <v>46947</v>
      </c>
      <c r="M1797" s="1"/>
      <c r="N1797" s="1">
        <v>-1274</v>
      </c>
      <c r="O1797" s="1">
        <v>911</v>
      </c>
      <c r="P1797" s="1"/>
      <c r="Q1797" s="1">
        <v>-295929.86868141597</v>
      </c>
      <c r="R1797" s="1">
        <v>218627</v>
      </c>
      <c r="S1797" t="s">
        <v>11</v>
      </c>
    </row>
    <row r="1798" spans="1:19" x14ac:dyDescent="0.55000000000000004">
      <c r="A1798" t="s">
        <v>37</v>
      </c>
      <c r="B1798">
        <v>2009</v>
      </c>
      <c r="C1798">
        <v>35556</v>
      </c>
      <c r="D1798" s="2">
        <v>417</v>
      </c>
      <c r="E1798" s="3">
        <v>35973</v>
      </c>
      <c r="F1798" t="s">
        <v>12</v>
      </c>
      <c r="G1798" t="s">
        <v>12</v>
      </c>
      <c r="H1798" s="1">
        <v>1246.1986085501501</v>
      </c>
      <c r="I1798" s="1">
        <v>4985.8413964901001</v>
      </c>
      <c r="J1798" s="1">
        <v>185.11425157021901</v>
      </c>
      <c r="K1798" s="1"/>
      <c r="L1798" s="1">
        <v>75557</v>
      </c>
      <c r="M1798" s="1"/>
      <c r="N1798" s="1">
        <v>80</v>
      </c>
      <c r="O1798" s="1">
        <v>886</v>
      </c>
      <c r="P1798" s="1"/>
      <c r="Q1798" s="1">
        <v>-67945.527907956901</v>
      </c>
      <c r="R1798" s="1">
        <v>118913</v>
      </c>
      <c r="S1798" t="s">
        <v>11</v>
      </c>
    </row>
    <row r="1799" spans="1:19" x14ac:dyDescent="0.55000000000000004">
      <c r="A1799" t="s">
        <v>37</v>
      </c>
      <c r="B1799">
        <v>2008</v>
      </c>
      <c r="C1799">
        <v>2756</v>
      </c>
      <c r="D1799" s="2">
        <v>57</v>
      </c>
      <c r="E1799" s="3">
        <v>2813</v>
      </c>
      <c r="F1799" t="s">
        <v>12</v>
      </c>
      <c r="G1799" t="s">
        <v>12</v>
      </c>
      <c r="H1799" s="1">
        <v>77.560991379955993</v>
      </c>
      <c r="I1799" s="1">
        <v>14987.202578340401</v>
      </c>
      <c r="J1799" s="1">
        <v>1916.97294626862</v>
      </c>
      <c r="K1799" s="1"/>
      <c r="L1799" s="1"/>
      <c r="M1799" s="1"/>
      <c r="N1799" s="1"/>
      <c r="O1799" s="1"/>
      <c r="P1799" s="1"/>
      <c r="Q1799" s="1">
        <v>-110861.29200050799</v>
      </c>
      <c r="R1799" s="1">
        <v>130656</v>
      </c>
      <c r="S1799" t="s">
        <v>9</v>
      </c>
    </row>
    <row r="1800" spans="1:19" x14ac:dyDescent="0.55000000000000004">
      <c r="A1800" t="s">
        <v>37</v>
      </c>
      <c r="B1800">
        <v>2007</v>
      </c>
      <c r="C1800">
        <v>37300</v>
      </c>
      <c r="D1800" s="2">
        <v>92</v>
      </c>
      <c r="E1800" s="3">
        <v>37392</v>
      </c>
      <c r="F1800" t="s">
        <v>12</v>
      </c>
      <c r="G1800" t="s">
        <v>12</v>
      </c>
      <c r="H1800" s="1">
        <v>9114.2241041340003</v>
      </c>
      <c r="I1800" s="1">
        <v>9067.5225301986993</v>
      </c>
      <c r="J1800" s="1">
        <v>2305.5338105559999</v>
      </c>
      <c r="K1800" s="1"/>
      <c r="L1800" s="1"/>
      <c r="M1800" s="1"/>
      <c r="N1800" s="1"/>
      <c r="O1800" s="1"/>
      <c r="P1800" s="1"/>
      <c r="Q1800" s="1">
        <v>-77532.007344564001</v>
      </c>
      <c r="R1800" s="1">
        <v>135411</v>
      </c>
      <c r="S1800" t="s">
        <v>9</v>
      </c>
    </row>
    <row r="1801" spans="1:19" x14ac:dyDescent="0.55000000000000004">
      <c r="A1801" t="s">
        <v>37</v>
      </c>
      <c r="B1801">
        <v>2006</v>
      </c>
      <c r="C1801">
        <v>39781</v>
      </c>
      <c r="D1801" s="2">
        <v>23</v>
      </c>
      <c r="E1801" s="3">
        <v>39804</v>
      </c>
      <c r="F1801" t="s">
        <v>12</v>
      </c>
      <c r="G1801" t="s">
        <v>12</v>
      </c>
      <c r="H1801" s="1">
        <v>239.06006274660001</v>
      </c>
      <c r="I1801" s="1">
        <v>64299.204820089901</v>
      </c>
      <c r="J1801" s="1">
        <v>9391.6220473265694</v>
      </c>
      <c r="K1801" s="1"/>
      <c r="L1801" s="1"/>
      <c r="M1801" s="1"/>
      <c r="N1801" s="1"/>
      <c r="O1801" s="1"/>
      <c r="P1801" s="1"/>
      <c r="Q1801" s="1">
        <v>-162966.52142558599</v>
      </c>
      <c r="R1801" s="1">
        <v>276700</v>
      </c>
      <c r="S1801" t="s">
        <v>9</v>
      </c>
    </row>
    <row r="1802" spans="1:19" x14ac:dyDescent="0.55000000000000004">
      <c r="A1802" t="s">
        <v>37</v>
      </c>
      <c r="B1802">
        <v>2005</v>
      </c>
      <c r="C1802">
        <v>48516</v>
      </c>
      <c r="D1802" s="2">
        <v>321</v>
      </c>
      <c r="E1802" s="3">
        <v>48837</v>
      </c>
      <c r="F1802" t="s">
        <v>12</v>
      </c>
      <c r="G1802" t="s">
        <v>12</v>
      </c>
      <c r="H1802" s="1">
        <v>0</v>
      </c>
      <c r="I1802" s="1">
        <v>12143.0749852261</v>
      </c>
      <c r="J1802" s="1">
        <v>9058.4779897098997</v>
      </c>
      <c r="K1802" s="1"/>
      <c r="L1802" s="1"/>
      <c r="M1802" s="1"/>
      <c r="N1802" s="1"/>
      <c r="O1802" s="1"/>
      <c r="P1802" s="1"/>
      <c r="Q1802" s="1">
        <v>-90817.572667518805</v>
      </c>
      <c r="R1802" s="1">
        <v>160856</v>
      </c>
      <c r="S1802" t="s">
        <v>9</v>
      </c>
    </row>
    <row r="1803" spans="1:19" x14ac:dyDescent="0.55000000000000004">
      <c r="A1803" t="s">
        <v>37</v>
      </c>
      <c r="B1803">
        <v>2004</v>
      </c>
      <c r="C1803">
        <v>25379</v>
      </c>
      <c r="D1803" s="2">
        <v>50</v>
      </c>
      <c r="E1803" s="3">
        <v>25429</v>
      </c>
      <c r="F1803" t="s">
        <v>12</v>
      </c>
      <c r="G1803" t="s">
        <v>12</v>
      </c>
      <c r="H1803" s="1">
        <v>4813.8651574819696</v>
      </c>
      <c r="I1803" s="1">
        <v>39153.3937341329</v>
      </c>
      <c r="J1803" s="1">
        <v>5431.6501162384002</v>
      </c>
      <c r="K1803" s="1"/>
      <c r="L1803" s="1"/>
      <c r="M1803" s="1"/>
      <c r="N1803" s="1"/>
      <c r="O1803" s="1"/>
      <c r="P1803" s="1"/>
      <c r="Q1803" s="1">
        <v>-76629.861218710997</v>
      </c>
      <c r="R1803" s="1">
        <v>151458</v>
      </c>
      <c r="S1803" t="s">
        <v>9</v>
      </c>
    </row>
    <row r="1804" spans="1:19" x14ac:dyDescent="0.55000000000000004">
      <c r="A1804" t="s">
        <v>37</v>
      </c>
      <c r="B1804">
        <v>2003</v>
      </c>
      <c r="C1804">
        <v>49488</v>
      </c>
      <c r="D1804" s="2">
        <v>389</v>
      </c>
      <c r="E1804" s="3">
        <v>49877</v>
      </c>
      <c r="F1804" t="s">
        <v>12</v>
      </c>
      <c r="G1804" t="s">
        <v>12</v>
      </c>
      <c r="H1804" s="1">
        <v>3454.1636562298099</v>
      </c>
      <c r="I1804" s="1">
        <v>56607.219176112303</v>
      </c>
      <c r="J1804" s="1">
        <v>12572.470271396</v>
      </c>
      <c r="K1804" s="1"/>
      <c r="L1804" s="1"/>
      <c r="M1804" s="1"/>
      <c r="N1804" s="1"/>
      <c r="O1804" s="1"/>
      <c r="P1804" s="1"/>
      <c r="Q1804" s="1">
        <v>-115674.065920596</v>
      </c>
      <c r="R1804" s="1">
        <v>238185</v>
      </c>
      <c r="S1804" t="s">
        <v>9</v>
      </c>
    </row>
    <row r="1805" spans="1:19" x14ac:dyDescent="0.55000000000000004">
      <c r="A1805" t="s">
        <v>37</v>
      </c>
      <c r="B1805">
        <v>2002</v>
      </c>
      <c r="C1805">
        <v>101033</v>
      </c>
      <c r="D1805" s="2">
        <v>18</v>
      </c>
      <c r="E1805" s="3">
        <v>101051</v>
      </c>
      <c r="F1805" t="s">
        <v>12</v>
      </c>
      <c r="G1805" t="s">
        <v>12</v>
      </c>
      <c r="H1805" s="1">
        <v>19.448525919284801</v>
      </c>
      <c r="I1805" s="1">
        <v>81509.858664319807</v>
      </c>
      <c r="J1805" s="1">
        <v>113539.17839723</v>
      </c>
      <c r="K1805" s="1"/>
      <c r="L1805" s="1"/>
      <c r="M1805" s="1"/>
      <c r="N1805" s="1"/>
      <c r="O1805" s="1"/>
      <c r="P1805" s="1"/>
      <c r="Q1805" s="1">
        <v>-297124.37747192697</v>
      </c>
      <c r="R1805" s="1">
        <v>593244</v>
      </c>
      <c r="S1805" t="s">
        <v>9</v>
      </c>
    </row>
    <row r="1806" spans="1:19" x14ac:dyDescent="0.55000000000000004">
      <c r="A1806" t="s">
        <v>37</v>
      </c>
      <c r="B1806">
        <v>2001</v>
      </c>
      <c r="C1806">
        <v>19915</v>
      </c>
      <c r="D1806" s="2">
        <v>176</v>
      </c>
      <c r="E1806" s="3">
        <v>20091</v>
      </c>
      <c r="F1806" t="s">
        <v>12</v>
      </c>
      <c r="G1806" t="s">
        <v>12</v>
      </c>
      <c r="H1806" s="1">
        <v>1559.75319480945</v>
      </c>
      <c r="I1806" s="1">
        <v>26501.9067809482</v>
      </c>
      <c r="J1806" s="1">
        <v>4206.2387850799596</v>
      </c>
      <c r="K1806" s="1"/>
      <c r="L1806" s="1"/>
      <c r="M1806" s="1"/>
      <c r="N1806" s="1"/>
      <c r="O1806" s="1"/>
      <c r="P1806" s="1"/>
      <c r="Q1806" s="1">
        <v>-171661.71010960001</v>
      </c>
      <c r="R1806" s="1">
        <v>224021</v>
      </c>
      <c r="S1806" t="s">
        <v>9</v>
      </c>
    </row>
    <row r="1807" spans="1:19" x14ac:dyDescent="0.55000000000000004">
      <c r="A1807" t="s">
        <v>37</v>
      </c>
      <c r="B1807">
        <v>2000</v>
      </c>
      <c r="C1807">
        <v>6613</v>
      </c>
      <c r="D1807" s="2">
        <v>10</v>
      </c>
      <c r="E1807" s="3">
        <v>6623</v>
      </c>
      <c r="F1807" t="s">
        <v>12</v>
      </c>
      <c r="G1807" t="s">
        <v>12</v>
      </c>
      <c r="H1807" s="1">
        <v>236.306064733798</v>
      </c>
      <c r="I1807" s="1">
        <v>216455.28719646001</v>
      </c>
      <c r="J1807" s="1">
        <v>3519.67124790654</v>
      </c>
      <c r="K1807" s="1"/>
      <c r="L1807" s="1"/>
      <c r="M1807" s="1"/>
      <c r="N1807" s="1"/>
      <c r="O1807" s="1"/>
      <c r="P1807" s="1"/>
      <c r="Q1807" s="1">
        <v>-232526.470598799</v>
      </c>
      <c r="R1807" s="1">
        <v>459361</v>
      </c>
      <c r="S1807" t="s">
        <v>9</v>
      </c>
    </row>
    <row r="1808" spans="1:19" x14ac:dyDescent="0.55000000000000004">
      <c r="A1808" t="s">
        <v>37</v>
      </c>
      <c r="B1808">
        <v>1999</v>
      </c>
      <c r="C1808">
        <v>34634</v>
      </c>
      <c r="D1808" s="2">
        <v>204</v>
      </c>
      <c r="E1808" s="3">
        <v>34838</v>
      </c>
      <c r="F1808" t="s">
        <v>12</v>
      </c>
      <c r="G1808" t="s">
        <v>12</v>
      </c>
      <c r="H1808" s="1">
        <v>3482.4997818637398</v>
      </c>
      <c r="I1808" s="1">
        <v>18530.4092244983</v>
      </c>
      <c r="J1808" s="1">
        <v>6115.8165402050399</v>
      </c>
      <c r="K1808" s="1"/>
      <c r="L1808" s="1"/>
      <c r="M1808" s="1"/>
      <c r="N1808" s="1"/>
      <c r="O1808" s="1"/>
      <c r="P1808" s="1"/>
      <c r="Q1808" s="1">
        <v>-180673.53475991701</v>
      </c>
      <c r="R1808" s="1">
        <v>243640</v>
      </c>
      <c r="S1808" t="s">
        <v>9</v>
      </c>
    </row>
    <row r="1809" spans="1:19" x14ac:dyDescent="0.55000000000000004">
      <c r="A1809" t="s">
        <v>37</v>
      </c>
      <c r="B1809">
        <v>1998</v>
      </c>
      <c r="C1809">
        <v>57091</v>
      </c>
      <c r="D1809" s="2">
        <v>68</v>
      </c>
      <c r="E1809" s="3">
        <v>57159</v>
      </c>
      <c r="F1809" t="s">
        <v>12</v>
      </c>
      <c r="G1809" t="s">
        <v>12</v>
      </c>
      <c r="H1809" s="1">
        <v>17796.344285508501</v>
      </c>
      <c r="I1809" s="1">
        <v>95094.346383211494</v>
      </c>
      <c r="J1809" s="1">
        <v>102555.31124993799</v>
      </c>
      <c r="K1809" s="1"/>
      <c r="L1809" s="1"/>
      <c r="M1809" s="1"/>
      <c r="N1809" s="1"/>
      <c r="O1809" s="1"/>
      <c r="P1809" s="1"/>
      <c r="Q1809" s="1">
        <v>-547950.84801781399</v>
      </c>
      <c r="R1809" s="1">
        <v>820556</v>
      </c>
      <c r="S1809" t="s">
        <v>9</v>
      </c>
    </row>
    <row r="1810" spans="1:19" x14ac:dyDescent="0.55000000000000004">
      <c r="A1810" t="s">
        <v>37</v>
      </c>
      <c r="B1810">
        <v>1997</v>
      </c>
      <c r="C1810">
        <v>25504</v>
      </c>
      <c r="D1810" s="2">
        <v>19</v>
      </c>
      <c r="E1810" s="3">
        <v>25523</v>
      </c>
      <c r="F1810" t="s">
        <v>12</v>
      </c>
      <c r="G1810" t="s">
        <v>12</v>
      </c>
      <c r="H1810" s="1">
        <v>7612.9103027757801</v>
      </c>
      <c r="I1810" s="1">
        <v>385546.36343630397</v>
      </c>
      <c r="J1810" s="1">
        <v>10220.205305356099</v>
      </c>
      <c r="K1810" s="1"/>
      <c r="L1810" s="1"/>
      <c r="M1810" s="1"/>
      <c r="N1810" s="1"/>
      <c r="O1810" s="1"/>
      <c r="P1810" s="1"/>
      <c r="Q1810" s="1">
        <v>-54639.189930295499</v>
      </c>
      <c r="R1810" s="1">
        <v>483542</v>
      </c>
      <c r="S1810" t="s">
        <v>9</v>
      </c>
    </row>
    <row r="1811" spans="1:19" x14ac:dyDescent="0.55000000000000004">
      <c r="A1811" t="s">
        <v>37</v>
      </c>
      <c r="B1811">
        <v>1996</v>
      </c>
      <c r="C1811">
        <v>72070</v>
      </c>
      <c r="D1811" s="2">
        <v>307</v>
      </c>
      <c r="E1811" s="3">
        <v>72377</v>
      </c>
      <c r="F1811" t="s">
        <v>12</v>
      </c>
      <c r="G1811" t="s">
        <v>12</v>
      </c>
      <c r="H1811" s="1">
        <v>16615.4879455427</v>
      </c>
      <c r="I1811" s="1">
        <v>255825.94894988899</v>
      </c>
      <c r="J1811" s="1">
        <v>97335.613010441695</v>
      </c>
      <c r="K1811" s="1"/>
      <c r="L1811" s="1"/>
      <c r="M1811" s="1"/>
      <c r="N1811" s="1"/>
      <c r="O1811" s="1"/>
      <c r="P1811" s="1"/>
      <c r="Q1811" s="1">
        <v>-288303.62689965899</v>
      </c>
      <c r="R1811" s="1">
        <v>730458</v>
      </c>
      <c r="S1811" t="s">
        <v>9</v>
      </c>
    </row>
    <row r="1812" spans="1:19" x14ac:dyDescent="0.55000000000000004">
      <c r="A1812" t="s">
        <v>37</v>
      </c>
      <c r="B1812">
        <v>1995</v>
      </c>
      <c r="C1812">
        <v>33125</v>
      </c>
      <c r="D1812" s="2">
        <v>316</v>
      </c>
      <c r="E1812" s="3">
        <v>33441</v>
      </c>
      <c r="F1812" t="s">
        <v>12</v>
      </c>
      <c r="G1812" t="s">
        <v>12</v>
      </c>
      <c r="H1812" s="1">
        <v>669.59601998471203</v>
      </c>
      <c r="I1812" s="1">
        <v>39752.892211998602</v>
      </c>
      <c r="J1812" s="1">
        <v>4220.3631329309601</v>
      </c>
      <c r="K1812" s="1"/>
      <c r="L1812" s="1"/>
      <c r="M1812" s="1"/>
      <c r="N1812" s="1"/>
      <c r="O1812" s="1"/>
      <c r="P1812" s="1"/>
      <c r="Q1812" s="1">
        <v>-30075.931119262299</v>
      </c>
      <c r="R1812" s="1">
        <v>108160</v>
      </c>
      <c r="S1812" t="s">
        <v>9</v>
      </c>
    </row>
    <row r="1813" spans="1:19" x14ac:dyDescent="0.55000000000000004">
      <c r="A1813" t="s">
        <v>37</v>
      </c>
      <c r="B1813">
        <v>1994</v>
      </c>
      <c r="C1813">
        <v>64956</v>
      </c>
      <c r="D1813" s="2">
        <v>70</v>
      </c>
      <c r="E1813" s="3">
        <v>65026</v>
      </c>
      <c r="F1813" t="s">
        <v>12</v>
      </c>
      <c r="G1813" t="s">
        <v>12</v>
      </c>
      <c r="H1813" s="1">
        <v>10361.446153315999</v>
      </c>
      <c r="I1813" s="1">
        <v>721885.08859862899</v>
      </c>
      <c r="J1813" s="1">
        <v>349.67400021562202</v>
      </c>
      <c r="K1813" s="1"/>
      <c r="L1813" s="1"/>
      <c r="M1813" s="1"/>
      <c r="N1813" s="1"/>
      <c r="O1813" s="1"/>
      <c r="P1813" s="1"/>
      <c r="Q1813" s="1">
        <v>-8447.0340144109705</v>
      </c>
      <c r="R1813" s="1">
        <v>806069</v>
      </c>
      <c r="S1813" t="s">
        <v>9</v>
      </c>
    </row>
    <row r="1814" spans="1:19" x14ac:dyDescent="0.55000000000000004">
      <c r="A1814" t="s">
        <v>37</v>
      </c>
      <c r="B1814">
        <v>1993</v>
      </c>
      <c r="C1814">
        <v>84456</v>
      </c>
      <c r="D1814" s="2">
        <v>1695</v>
      </c>
      <c r="E1814" s="3">
        <v>86151</v>
      </c>
      <c r="F1814" t="s">
        <v>12</v>
      </c>
      <c r="G1814" t="s">
        <v>12</v>
      </c>
      <c r="H1814" s="1">
        <v>15017.3521477882</v>
      </c>
      <c r="I1814" s="1">
        <v>801371.48438727995</v>
      </c>
      <c r="J1814" s="1"/>
      <c r="K1814" s="1"/>
      <c r="L1814" s="1"/>
      <c r="M1814" s="1"/>
      <c r="N1814" s="1"/>
      <c r="O1814" s="1"/>
      <c r="P1814" s="1"/>
      <c r="Q1814" s="1">
        <v>8552.9457111645297</v>
      </c>
      <c r="R1814" s="1">
        <v>902540</v>
      </c>
      <c r="S1814" t="s">
        <v>9</v>
      </c>
    </row>
    <row r="1815" spans="1:19" x14ac:dyDescent="0.55000000000000004">
      <c r="A1815" t="s">
        <v>37</v>
      </c>
      <c r="B1815">
        <v>1992</v>
      </c>
      <c r="C1815">
        <v>58686</v>
      </c>
      <c r="D1815" s="2">
        <v>1072</v>
      </c>
      <c r="E1815" s="3">
        <v>59758</v>
      </c>
      <c r="F1815" t="s">
        <v>12</v>
      </c>
      <c r="G1815" t="s">
        <v>12</v>
      </c>
      <c r="H1815" s="1">
        <v>10378.533750295899</v>
      </c>
      <c r="I1815" s="1">
        <v>300548.62796166103</v>
      </c>
      <c r="J1815" s="1">
        <v>34</v>
      </c>
      <c r="K1815" s="1"/>
      <c r="L1815" s="1"/>
      <c r="M1815" s="1"/>
      <c r="N1815" s="1"/>
      <c r="O1815" s="1"/>
      <c r="P1815" s="1"/>
      <c r="Q1815" s="1">
        <v>-18248.234472491898</v>
      </c>
      <c r="R1815" s="1">
        <v>388967</v>
      </c>
      <c r="S1815" t="s">
        <v>9</v>
      </c>
    </row>
    <row r="1816" spans="1:19" x14ac:dyDescent="0.55000000000000004">
      <c r="A1816" t="s">
        <v>37</v>
      </c>
      <c r="B1816">
        <v>1991</v>
      </c>
      <c r="C1816">
        <v>38124</v>
      </c>
      <c r="D1816" s="2">
        <v>1092</v>
      </c>
      <c r="E1816" s="3">
        <v>39216</v>
      </c>
      <c r="F1816" t="s">
        <v>12</v>
      </c>
      <c r="G1816" t="s">
        <v>12</v>
      </c>
      <c r="H1816" s="1">
        <v>2186.1909692844501</v>
      </c>
      <c r="I1816" s="1">
        <v>95651.869495525098</v>
      </c>
      <c r="J1816" s="1">
        <v>565.88125458932097</v>
      </c>
      <c r="K1816" s="1"/>
      <c r="L1816" s="1"/>
      <c r="M1816" s="1"/>
      <c r="N1816" s="1"/>
      <c r="O1816" s="1"/>
      <c r="P1816" s="1"/>
      <c r="Q1816" s="1">
        <v>-30864.567046162301</v>
      </c>
      <c r="R1816" s="1">
        <v>168485</v>
      </c>
      <c r="S1816" t="s">
        <v>9</v>
      </c>
    </row>
    <row r="1817" spans="1:19" x14ac:dyDescent="0.55000000000000004">
      <c r="A1817" t="s">
        <v>37</v>
      </c>
      <c r="B1817">
        <v>1990</v>
      </c>
      <c r="C1817">
        <v>16377</v>
      </c>
      <c r="D1817" s="2">
        <v>439</v>
      </c>
      <c r="E1817" s="3">
        <v>16816</v>
      </c>
      <c r="F1817" t="s">
        <v>12</v>
      </c>
      <c r="G1817" t="s">
        <v>12</v>
      </c>
      <c r="H1817" s="1">
        <v>1681.9685219150999</v>
      </c>
      <c r="I1817" s="1">
        <v>39807.123157391703</v>
      </c>
      <c r="J1817" s="1"/>
      <c r="K1817" s="1"/>
      <c r="L1817" s="1"/>
      <c r="M1817" s="1"/>
      <c r="N1817" s="1"/>
      <c r="O1817" s="1"/>
      <c r="P1817" s="1"/>
      <c r="Q1817" s="1">
        <v>3437.3433698701201</v>
      </c>
      <c r="R1817" s="1">
        <v>58305</v>
      </c>
      <c r="S1817" t="s">
        <v>9</v>
      </c>
    </row>
    <row r="1818" spans="1:19" x14ac:dyDescent="0.55000000000000004">
      <c r="A1818" t="s">
        <v>37</v>
      </c>
      <c r="B1818">
        <v>1989</v>
      </c>
      <c r="C1818">
        <v>17167</v>
      </c>
      <c r="D1818" s="2">
        <v>32</v>
      </c>
      <c r="E1818" s="3">
        <v>17199</v>
      </c>
      <c r="F1818" t="s">
        <v>12</v>
      </c>
      <c r="G1818" t="s">
        <v>12</v>
      </c>
      <c r="H1818" s="1">
        <v>4340.3196446371503</v>
      </c>
      <c r="I1818" s="1">
        <v>78570.267639597994</v>
      </c>
      <c r="J1818" s="1">
        <v>5</v>
      </c>
      <c r="K1818" s="1"/>
      <c r="L1818" s="1"/>
      <c r="M1818" s="1"/>
      <c r="N1818" s="1"/>
      <c r="O1818" s="1"/>
      <c r="P1818" s="1"/>
      <c r="Q1818" s="1">
        <v>-77599.039399485395</v>
      </c>
      <c r="R1818" s="1">
        <v>177714</v>
      </c>
      <c r="S1818" t="s">
        <v>9</v>
      </c>
    </row>
    <row r="1819" spans="1:19" x14ac:dyDescent="0.55000000000000004">
      <c r="A1819" t="s">
        <v>37</v>
      </c>
      <c r="B1819">
        <v>1988</v>
      </c>
      <c r="C1819">
        <v>49257</v>
      </c>
      <c r="D1819" s="2">
        <v>349</v>
      </c>
      <c r="E1819" s="3">
        <v>49606</v>
      </c>
      <c r="F1819" t="s">
        <v>12</v>
      </c>
      <c r="G1819" t="s">
        <v>12</v>
      </c>
      <c r="H1819" s="1">
        <v>0</v>
      </c>
      <c r="I1819" s="1">
        <v>541935.83378514601</v>
      </c>
      <c r="J1819" s="1">
        <v>1411</v>
      </c>
      <c r="K1819" s="1"/>
      <c r="L1819" s="1"/>
      <c r="M1819" s="1"/>
      <c r="N1819" s="1"/>
      <c r="O1819" s="1"/>
      <c r="P1819" s="1"/>
      <c r="Q1819" s="1">
        <v>-130161.637746476</v>
      </c>
      <c r="R1819" s="1">
        <v>723114</v>
      </c>
      <c r="S1819" t="s">
        <v>9</v>
      </c>
    </row>
    <row r="1820" spans="1:19" x14ac:dyDescent="0.55000000000000004">
      <c r="A1820" t="s">
        <v>37</v>
      </c>
      <c r="B1820">
        <v>1987</v>
      </c>
      <c r="C1820">
        <v>59968</v>
      </c>
      <c r="D1820" s="2">
        <v>3216</v>
      </c>
      <c r="E1820" s="3">
        <v>63184</v>
      </c>
      <c r="F1820" t="s">
        <v>12</v>
      </c>
      <c r="G1820" t="s">
        <v>12</v>
      </c>
      <c r="H1820" s="1">
        <v>332.49955033573298</v>
      </c>
      <c r="I1820" s="1">
        <v>369906.837264626</v>
      </c>
      <c r="J1820" s="1">
        <v>1006</v>
      </c>
      <c r="K1820" s="1"/>
      <c r="L1820" s="1"/>
      <c r="M1820" s="1"/>
      <c r="N1820" s="1"/>
      <c r="O1820" s="1"/>
      <c r="P1820" s="1"/>
      <c r="Q1820" s="1">
        <v>-15528.7047074812</v>
      </c>
      <c r="R1820" s="1">
        <v>449958</v>
      </c>
      <c r="S1820" t="s">
        <v>9</v>
      </c>
    </row>
    <row r="1821" spans="1:19" x14ac:dyDescent="0.55000000000000004">
      <c r="A1821" t="s">
        <v>37</v>
      </c>
      <c r="B1821">
        <v>1986</v>
      </c>
      <c r="C1821">
        <v>110738</v>
      </c>
      <c r="D1821" s="2">
        <v>858</v>
      </c>
      <c r="E1821" s="3">
        <v>111596</v>
      </c>
      <c r="F1821" t="s">
        <v>12</v>
      </c>
      <c r="G1821" t="s">
        <v>12</v>
      </c>
      <c r="H1821" s="1">
        <v>5760.1135538867702</v>
      </c>
      <c r="I1821" s="1">
        <v>1203913.8525535499</v>
      </c>
      <c r="J1821" s="1">
        <v>1789.38412818708</v>
      </c>
      <c r="K1821" s="1"/>
      <c r="L1821" s="1"/>
      <c r="M1821" s="1"/>
      <c r="N1821" s="1"/>
      <c r="O1821" s="1"/>
      <c r="P1821" s="1"/>
      <c r="Q1821" s="1">
        <v>-271110.22465520102</v>
      </c>
      <c r="R1821" s="1">
        <v>1594170</v>
      </c>
      <c r="S1821" t="s">
        <v>9</v>
      </c>
    </row>
    <row r="1822" spans="1:19" x14ac:dyDescent="0.55000000000000004">
      <c r="A1822" t="s">
        <v>37</v>
      </c>
      <c r="B1822">
        <v>1985</v>
      </c>
      <c r="C1822">
        <v>37019</v>
      </c>
      <c r="D1822" s="2">
        <v>2441</v>
      </c>
      <c r="E1822" s="3">
        <v>39460</v>
      </c>
      <c r="F1822" t="s">
        <v>12</v>
      </c>
      <c r="G1822" t="s">
        <v>12</v>
      </c>
      <c r="H1822" s="1">
        <v>198.10482660409701</v>
      </c>
      <c r="I1822" s="1">
        <v>183187.56465195201</v>
      </c>
      <c r="J1822" s="1">
        <v>555.10984411163497</v>
      </c>
      <c r="K1822" s="1"/>
      <c r="L1822" s="1"/>
      <c r="M1822" s="1"/>
      <c r="N1822" s="1"/>
      <c r="O1822" s="1"/>
      <c r="P1822" s="1"/>
      <c r="Q1822" s="1">
        <v>-15415.5039145828</v>
      </c>
      <c r="R1822" s="1">
        <v>238816</v>
      </c>
      <c r="S1822" t="s">
        <v>9</v>
      </c>
    </row>
    <row r="1823" spans="1:19" x14ac:dyDescent="0.55000000000000004">
      <c r="A1823" t="s">
        <v>37</v>
      </c>
      <c r="B1823">
        <v>1984</v>
      </c>
      <c r="C1823">
        <v>59602</v>
      </c>
      <c r="D1823" s="2">
        <v>768</v>
      </c>
      <c r="E1823" s="3">
        <v>60370</v>
      </c>
      <c r="F1823" t="s">
        <v>12</v>
      </c>
      <c r="G1823" t="s">
        <v>12</v>
      </c>
      <c r="H1823" s="1">
        <v>0</v>
      </c>
      <c r="I1823" s="1">
        <v>281636.85666506999</v>
      </c>
      <c r="J1823" s="1">
        <v>2478.7784095819602</v>
      </c>
      <c r="K1823" s="1"/>
      <c r="L1823" s="1"/>
      <c r="M1823" s="1"/>
      <c r="N1823" s="1"/>
      <c r="O1823" s="1"/>
      <c r="P1823" s="1"/>
      <c r="Q1823" s="1">
        <v>5845.6684551574199</v>
      </c>
      <c r="R1823" s="1">
        <v>344486</v>
      </c>
      <c r="S1823" t="s">
        <v>9</v>
      </c>
    </row>
    <row r="1824" spans="1:19" x14ac:dyDescent="0.55000000000000004">
      <c r="A1824" t="s">
        <v>37</v>
      </c>
      <c r="B1824">
        <v>1983</v>
      </c>
      <c r="C1824">
        <v>39341</v>
      </c>
      <c r="D1824" s="2">
        <v>926</v>
      </c>
      <c r="E1824" s="3">
        <v>40267</v>
      </c>
      <c r="F1824" t="s">
        <v>12</v>
      </c>
      <c r="G1824" t="s">
        <v>12</v>
      </c>
      <c r="H1824" s="1">
        <v>8841.7320714730595</v>
      </c>
      <c r="I1824" s="1">
        <v>254374.445585671</v>
      </c>
      <c r="J1824" s="1">
        <v>1252.21130501165</v>
      </c>
      <c r="K1824" s="1"/>
      <c r="L1824" s="1"/>
      <c r="M1824" s="1"/>
      <c r="N1824" s="1"/>
      <c r="O1824" s="1"/>
      <c r="P1824" s="1"/>
      <c r="Q1824" s="1">
        <v>9206.1840955966509</v>
      </c>
      <c r="R1824" s="1">
        <v>304735</v>
      </c>
      <c r="S1824" t="s">
        <v>9</v>
      </c>
    </row>
    <row r="1825" spans="1:19" x14ac:dyDescent="0.55000000000000004">
      <c r="A1825" t="s">
        <v>37</v>
      </c>
      <c r="B1825">
        <v>1982</v>
      </c>
      <c r="C1825">
        <v>294083</v>
      </c>
      <c r="D1825" s="2">
        <v>460</v>
      </c>
      <c r="E1825" s="3">
        <v>294543</v>
      </c>
      <c r="F1825" t="s">
        <v>12</v>
      </c>
      <c r="G1825" t="s">
        <v>12</v>
      </c>
      <c r="H1825" s="1"/>
      <c r="I1825" s="1">
        <v>895146.36815144005</v>
      </c>
      <c r="J1825" s="1">
        <v>3395.5134674124001</v>
      </c>
      <c r="K1825" s="1"/>
      <c r="L1825" s="1"/>
      <c r="M1825" s="1"/>
      <c r="N1825" s="1"/>
      <c r="O1825" s="1"/>
      <c r="P1825" s="1"/>
      <c r="Q1825" s="1">
        <v>-134427.71820339499</v>
      </c>
      <c r="R1825" s="1">
        <v>1327513</v>
      </c>
      <c r="S1825" t="s">
        <v>9</v>
      </c>
    </row>
    <row r="1826" spans="1:19" x14ac:dyDescent="0.55000000000000004">
      <c r="A1826" t="s">
        <v>37</v>
      </c>
      <c r="B1826">
        <v>1981</v>
      </c>
      <c r="C1826">
        <v>42002</v>
      </c>
      <c r="D1826" s="2">
        <v>1791</v>
      </c>
      <c r="E1826" s="3">
        <v>43793</v>
      </c>
      <c r="F1826" t="s">
        <v>12</v>
      </c>
      <c r="G1826" t="s">
        <v>12</v>
      </c>
      <c r="H1826" s="1"/>
      <c r="I1826" s="1">
        <v>207027.84092531499</v>
      </c>
      <c r="J1826" s="1">
        <v>2617.9016500851199</v>
      </c>
      <c r="K1826" s="1"/>
      <c r="L1826" s="1"/>
      <c r="M1826" s="1"/>
      <c r="N1826" s="1"/>
      <c r="O1826" s="1"/>
      <c r="P1826" s="1"/>
      <c r="Q1826" s="1">
        <v>-3799.1538745733001</v>
      </c>
      <c r="R1826" s="1">
        <v>257238</v>
      </c>
      <c r="S1826" t="s">
        <v>9</v>
      </c>
    </row>
    <row r="1827" spans="1:19" x14ac:dyDescent="0.55000000000000004">
      <c r="A1827" t="s">
        <v>37</v>
      </c>
      <c r="B1827">
        <v>1980</v>
      </c>
      <c r="C1827">
        <v>73830</v>
      </c>
      <c r="D1827" s="2">
        <v>1009</v>
      </c>
      <c r="E1827" s="3">
        <v>74839</v>
      </c>
      <c r="F1827" t="s">
        <v>12</v>
      </c>
      <c r="G1827" t="s">
        <v>12</v>
      </c>
      <c r="H1827" s="1"/>
      <c r="I1827" s="1">
        <v>179824.19902720299</v>
      </c>
      <c r="J1827" s="1">
        <v>3443.84060928078</v>
      </c>
      <c r="K1827" s="1"/>
      <c r="L1827" s="1"/>
      <c r="M1827" s="1"/>
      <c r="N1827" s="1"/>
      <c r="O1827" s="1"/>
      <c r="P1827" s="1"/>
      <c r="Q1827" s="1">
        <v>-59817.717101956499</v>
      </c>
      <c r="R1827" s="1">
        <v>317925</v>
      </c>
      <c r="S1827" t="s">
        <v>9</v>
      </c>
    </row>
    <row r="1828" spans="1:19" x14ac:dyDescent="0.55000000000000004">
      <c r="A1828" t="s">
        <v>37</v>
      </c>
      <c r="B1828">
        <v>1979</v>
      </c>
      <c r="C1828">
        <v>45026</v>
      </c>
      <c r="D1828" s="2">
        <v>6377</v>
      </c>
      <c r="E1828" s="3">
        <v>51403</v>
      </c>
      <c r="F1828" t="s">
        <v>12</v>
      </c>
      <c r="G1828" t="s">
        <v>12</v>
      </c>
      <c r="H1828" s="1"/>
      <c r="I1828" s="1">
        <v>146883.32500319899</v>
      </c>
      <c r="J1828" s="1">
        <v>2842.4304991731801</v>
      </c>
      <c r="K1828" s="1"/>
      <c r="L1828" s="1"/>
      <c r="M1828" s="1"/>
      <c r="N1828" s="1"/>
      <c r="O1828" s="1"/>
      <c r="P1828" s="1"/>
      <c r="Q1828" s="1">
        <v>-3469.5208085519998</v>
      </c>
      <c r="R1828" s="1">
        <v>204598</v>
      </c>
      <c r="S1828" t="s">
        <v>9</v>
      </c>
    </row>
    <row r="1829" spans="1:19" x14ac:dyDescent="0.55000000000000004">
      <c r="A1829" t="s">
        <v>37</v>
      </c>
      <c r="B1829">
        <v>1978</v>
      </c>
      <c r="C1829">
        <v>75171</v>
      </c>
      <c r="D1829" s="2">
        <v>1066</v>
      </c>
      <c r="E1829" s="3">
        <v>76237</v>
      </c>
      <c r="F1829" t="s">
        <v>12</v>
      </c>
      <c r="G1829" t="s">
        <v>12</v>
      </c>
      <c r="H1829" s="1"/>
      <c r="I1829" s="1">
        <v>194444.51762958101</v>
      </c>
      <c r="J1829" s="1">
        <v>2062.5286203116998</v>
      </c>
      <c r="K1829" s="1"/>
      <c r="L1829" s="1"/>
      <c r="M1829" s="1"/>
      <c r="N1829" s="1"/>
      <c r="O1829" s="1"/>
      <c r="P1829" s="1"/>
      <c r="Q1829" s="1">
        <v>9821.7264144212204</v>
      </c>
      <c r="R1829" s="1">
        <v>272744</v>
      </c>
      <c r="S1829" t="s">
        <v>9</v>
      </c>
    </row>
    <row r="1830" spans="1:19" x14ac:dyDescent="0.55000000000000004">
      <c r="A1830" t="s">
        <v>37</v>
      </c>
      <c r="B1830">
        <v>1977</v>
      </c>
      <c r="C1830">
        <v>52627</v>
      </c>
      <c r="D1830" s="2">
        <v>2518</v>
      </c>
      <c r="E1830" s="3">
        <v>55145</v>
      </c>
      <c r="F1830" t="s">
        <v>12</v>
      </c>
      <c r="G1830" t="s">
        <v>12</v>
      </c>
      <c r="H1830" s="1"/>
      <c r="I1830" s="1">
        <v>220058.824702076</v>
      </c>
      <c r="J1830" s="1">
        <v>2354.5840828044202</v>
      </c>
      <c r="K1830" s="1"/>
      <c r="L1830" s="1"/>
      <c r="M1830" s="1"/>
      <c r="N1830" s="1"/>
      <c r="O1830" s="1"/>
      <c r="P1830" s="1"/>
      <c r="Q1830" s="1">
        <v>-11280.1832544631</v>
      </c>
      <c r="R1830" s="1">
        <v>288839</v>
      </c>
      <c r="S1830" t="s">
        <v>9</v>
      </c>
    </row>
    <row r="1831" spans="1:19" x14ac:dyDescent="0.55000000000000004">
      <c r="A1831" t="s">
        <v>37</v>
      </c>
      <c r="B1831">
        <v>1976</v>
      </c>
      <c r="C1831">
        <v>49932</v>
      </c>
      <c r="D1831" s="2">
        <v>1146</v>
      </c>
      <c r="E1831" s="3">
        <v>51078</v>
      </c>
      <c r="F1831" t="s">
        <v>12</v>
      </c>
      <c r="G1831" t="s">
        <v>12</v>
      </c>
      <c r="H1831" s="1"/>
      <c r="I1831" s="1">
        <v>288354</v>
      </c>
      <c r="J1831" s="1">
        <v>1376</v>
      </c>
      <c r="K1831" s="1"/>
      <c r="L1831" s="1"/>
      <c r="M1831" s="1"/>
      <c r="N1831" s="1"/>
      <c r="O1831" s="1"/>
      <c r="P1831" s="1"/>
      <c r="Q1831" s="1"/>
      <c r="R1831" s="1">
        <v>340808</v>
      </c>
      <c r="S1831" t="s">
        <v>12</v>
      </c>
    </row>
    <row r="1832" spans="1:19" x14ac:dyDescent="0.55000000000000004">
      <c r="A1832" t="s">
        <v>37</v>
      </c>
      <c r="B1832">
        <v>1975</v>
      </c>
      <c r="C1832">
        <v>29736</v>
      </c>
      <c r="D1832" s="2">
        <v>2275</v>
      </c>
      <c r="E1832" s="3">
        <v>32011</v>
      </c>
      <c r="F1832" t="s">
        <v>12</v>
      </c>
      <c r="G1832" t="s">
        <v>12</v>
      </c>
      <c r="H1832" s="1"/>
      <c r="I1832" s="1">
        <v>118674</v>
      </c>
      <c r="J1832" s="1">
        <v>1012</v>
      </c>
      <c r="K1832" s="1"/>
      <c r="L1832" s="1"/>
      <c r="M1832" s="1"/>
      <c r="N1832" s="1"/>
      <c r="O1832" s="1"/>
      <c r="P1832" s="1"/>
      <c r="Q1832" s="1"/>
      <c r="R1832" s="1">
        <v>151697</v>
      </c>
      <c r="S1832" t="s">
        <v>11</v>
      </c>
    </row>
    <row r="1833" spans="1:19" x14ac:dyDescent="0.55000000000000004">
      <c r="A1833" t="s">
        <v>37</v>
      </c>
      <c r="B1833">
        <v>1974</v>
      </c>
      <c r="C1833">
        <v>64093</v>
      </c>
      <c r="D1833" s="2">
        <v>2714</v>
      </c>
      <c r="E1833" s="3">
        <v>66807</v>
      </c>
      <c r="F1833" t="s">
        <v>12</v>
      </c>
      <c r="G1833" t="s">
        <v>12</v>
      </c>
      <c r="H1833" s="1"/>
      <c r="I1833" s="1">
        <v>352821</v>
      </c>
      <c r="J1833" s="1">
        <v>1305</v>
      </c>
      <c r="K1833" s="1"/>
      <c r="L1833" s="1"/>
      <c r="M1833" s="1"/>
      <c r="N1833" s="1"/>
      <c r="O1833" s="1"/>
      <c r="P1833" s="1"/>
      <c r="Q1833" s="1"/>
      <c r="R1833" s="1">
        <v>420933</v>
      </c>
      <c r="S1833" t="s">
        <v>12</v>
      </c>
    </row>
    <row r="1834" spans="1:19" x14ac:dyDescent="0.55000000000000004">
      <c r="A1834" t="s">
        <v>37</v>
      </c>
      <c r="B1834">
        <v>1973</v>
      </c>
      <c r="C1834">
        <v>48541</v>
      </c>
      <c r="D1834" s="2">
        <v>1632</v>
      </c>
      <c r="E1834" s="3">
        <v>50173</v>
      </c>
      <c r="F1834" t="s">
        <v>12</v>
      </c>
      <c r="G1834" t="s">
        <v>12</v>
      </c>
      <c r="H1834" s="1"/>
      <c r="I1834" s="1">
        <v>338613</v>
      </c>
      <c r="J1834" s="1">
        <v>820</v>
      </c>
      <c r="K1834" s="1"/>
      <c r="L1834" s="1"/>
      <c r="M1834" s="1"/>
      <c r="N1834" s="1"/>
      <c r="O1834" s="1"/>
      <c r="P1834" s="1"/>
      <c r="Q1834" s="1"/>
      <c r="R1834" s="1">
        <v>389606</v>
      </c>
      <c r="S1834" t="s">
        <v>12</v>
      </c>
    </row>
    <row r="1835" spans="1:19" x14ac:dyDescent="0.55000000000000004">
      <c r="A1835" t="s">
        <v>37</v>
      </c>
      <c r="B1835">
        <v>1972</v>
      </c>
      <c r="C1835">
        <v>25738</v>
      </c>
      <c r="D1835" s="2">
        <v>810</v>
      </c>
      <c r="E1835" s="3">
        <v>26548</v>
      </c>
      <c r="F1835" t="s">
        <v>12</v>
      </c>
      <c r="G1835" t="s">
        <v>12</v>
      </c>
      <c r="H1835" s="1"/>
      <c r="I1835" s="1">
        <v>127602</v>
      </c>
      <c r="J1835" s="1">
        <v>77</v>
      </c>
      <c r="K1835" s="1"/>
      <c r="L1835" s="1"/>
      <c r="M1835" s="1"/>
      <c r="N1835" s="1"/>
      <c r="O1835" s="1"/>
      <c r="P1835" s="1"/>
      <c r="Q1835" s="1"/>
      <c r="R1835" s="1">
        <v>154227</v>
      </c>
      <c r="S1835" t="s">
        <v>12</v>
      </c>
    </row>
    <row r="1836" spans="1:19" x14ac:dyDescent="0.55000000000000004">
      <c r="A1836" t="s">
        <v>37</v>
      </c>
      <c r="B1836">
        <v>1971</v>
      </c>
      <c r="C1836">
        <v>4990</v>
      </c>
      <c r="D1836" s="2">
        <v>633</v>
      </c>
      <c r="E1836" s="3">
        <v>5623</v>
      </c>
      <c r="F1836" t="s">
        <v>12</v>
      </c>
      <c r="G1836" t="s">
        <v>12</v>
      </c>
      <c r="H1836" s="1"/>
      <c r="I1836" s="1">
        <v>76271</v>
      </c>
      <c r="J1836" s="1">
        <v>309</v>
      </c>
      <c r="K1836" s="1"/>
      <c r="L1836" s="1"/>
      <c r="M1836" s="1"/>
      <c r="N1836" s="1"/>
      <c r="O1836" s="1"/>
      <c r="P1836" s="1"/>
      <c r="Q1836" s="1"/>
      <c r="R1836" s="1">
        <v>82203</v>
      </c>
      <c r="S1836" t="s">
        <v>12</v>
      </c>
    </row>
    <row r="1837" spans="1:19" x14ac:dyDescent="0.55000000000000004">
      <c r="A1837" t="s">
        <v>37</v>
      </c>
      <c r="B1837">
        <v>1970</v>
      </c>
      <c r="C1837">
        <v>10435</v>
      </c>
      <c r="D1837" s="2">
        <v>661</v>
      </c>
      <c r="E1837" s="3">
        <v>11096</v>
      </c>
      <c r="F1837" t="s">
        <v>12</v>
      </c>
      <c r="G1837" t="s">
        <v>12</v>
      </c>
      <c r="H1837" s="1"/>
      <c r="I1837" s="1">
        <v>83837</v>
      </c>
      <c r="J1837" s="1">
        <v>435</v>
      </c>
      <c r="K1837" s="1"/>
      <c r="L1837" s="1"/>
      <c r="M1837" s="1"/>
      <c r="N1837" s="1"/>
      <c r="O1837" s="1"/>
      <c r="P1837" s="1"/>
      <c r="Q1837" s="1"/>
      <c r="R1837" s="1">
        <v>95368</v>
      </c>
      <c r="S1837" t="s">
        <v>12</v>
      </c>
    </row>
    <row r="1838" spans="1:19" x14ac:dyDescent="0.55000000000000004">
      <c r="A1838" t="s">
        <v>37</v>
      </c>
      <c r="B1838">
        <v>1969</v>
      </c>
      <c r="C1838">
        <v>58727</v>
      </c>
      <c r="D1838" s="2">
        <v>219</v>
      </c>
      <c r="E1838" s="3">
        <v>58946</v>
      </c>
      <c r="F1838" t="s">
        <v>12</v>
      </c>
      <c r="G1838" t="s">
        <v>12</v>
      </c>
      <c r="H1838" s="1"/>
      <c r="I1838" s="1">
        <v>128583</v>
      </c>
      <c r="J1838" s="1">
        <v>1025</v>
      </c>
      <c r="K1838" s="1"/>
      <c r="L1838" s="1"/>
      <c r="M1838" s="1"/>
      <c r="N1838" s="1"/>
      <c r="O1838" s="1"/>
      <c r="P1838" s="1"/>
      <c r="Q1838" s="1"/>
      <c r="R1838" s="1">
        <v>188554</v>
      </c>
      <c r="S1838" t="s">
        <v>12</v>
      </c>
    </row>
    <row r="1839" spans="1:19" x14ac:dyDescent="0.55000000000000004">
      <c r="A1839" t="s">
        <v>37</v>
      </c>
      <c r="B1839">
        <v>1968</v>
      </c>
      <c r="C1839">
        <v>3799</v>
      </c>
      <c r="D1839" s="2">
        <v>717</v>
      </c>
      <c r="E1839" s="3">
        <v>4516</v>
      </c>
      <c r="F1839" t="s">
        <v>12</v>
      </c>
      <c r="G1839" t="s">
        <v>12</v>
      </c>
      <c r="H1839" s="1"/>
      <c r="I1839" s="1">
        <v>19277.623380370998</v>
      </c>
      <c r="J1839" s="1">
        <v>268</v>
      </c>
      <c r="K1839" s="1"/>
      <c r="L1839" s="1"/>
      <c r="M1839" s="1"/>
      <c r="N1839" s="1"/>
      <c r="O1839" s="1"/>
      <c r="P1839" s="1"/>
      <c r="Q1839" s="1"/>
      <c r="R1839" s="1">
        <v>24062</v>
      </c>
      <c r="S1839" t="s">
        <v>12</v>
      </c>
    </row>
    <row r="1840" spans="1:19" x14ac:dyDescent="0.55000000000000004">
      <c r="A1840" t="s">
        <v>37</v>
      </c>
      <c r="B1840">
        <v>1967</v>
      </c>
      <c r="C1840">
        <v>22581</v>
      </c>
      <c r="D1840" s="2">
        <v>36</v>
      </c>
      <c r="E1840" s="3">
        <v>22617</v>
      </c>
      <c r="F1840" t="s">
        <v>12</v>
      </c>
      <c r="G1840" t="s">
        <v>12</v>
      </c>
      <c r="H1840" s="1"/>
      <c r="I1840" s="1">
        <v>141888</v>
      </c>
      <c r="J1840" s="1">
        <v>239</v>
      </c>
      <c r="K1840" s="1"/>
      <c r="L1840" s="1"/>
      <c r="M1840" s="1"/>
      <c r="N1840" s="1"/>
      <c r="O1840" s="1"/>
      <c r="P1840" s="1"/>
      <c r="Q1840" s="1"/>
      <c r="R1840" s="1">
        <v>164744</v>
      </c>
      <c r="S1840" t="s">
        <v>12</v>
      </c>
    </row>
    <row r="1841" spans="1:19" x14ac:dyDescent="0.55000000000000004">
      <c r="A1841" t="s">
        <v>37</v>
      </c>
      <c r="B1841">
        <v>1966</v>
      </c>
      <c r="C1841">
        <v>19489</v>
      </c>
      <c r="D1841" s="2">
        <v>927</v>
      </c>
      <c r="E1841" s="3">
        <v>20416</v>
      </c>
      <c r="F1841" t="s">
        <v>12</v>
      </c>
      <c r="G1841" t="s">
        <v>12</v>
      </c>
      <c r="H1841" s="1"/>
      <c r="I1841" s="1">
        <v>37412.622587068901</v>
      </c>
      <c r="J1841" s="1">
        <v>723.99999999999898</v>
      </c>
      <c r="K1841" s="1"/>
      <c r="L1841" s="1"/>
      <c r="M1841" s="1"/>
      <c r="N1841" s="1"/>
      <c r="O1841" s="1"/>
      <c r="P1841" s="1"/>
      <c r="Q1841" s="1"/>
      <c r="R1841" s="1">
        <v>58553</v>
      </c>
      <c r="S1841" t="s">
        <v>12</v>
      </c>
    </row>
    <row r="1842" spans="1:19" x14ac:dyDescent="0.55000000000000004">
      <c r="A1842" t="s">
        <v>37</v>
      </c>
      <c r="B1842">
        <v>1965</v>
      </c>
      <c r="C1842">
        <v>17924</v>
      </c>
      <c r="D1842" s="2">
        <v>51</v>
      </c>
      <c r="E1842" s="3">
        <v>17975</v>
      </c>
      <c r="F1842" t="s">
        <v>12</v>
      </c>
      <c r="G1842" t="s">
        <v>12</v>
      </c>
      <c r="H1842" s="1"/>
      <c r="I1842" s="1">
        <v>29266.324471554599</v>
      </c>
      <c r="J1842" s="1">
        <v>785</v>
      </c>
      <c r="K1842" s="1"/>
      <c r="L1842" s="1"/>
      <c r="M1842" s="1"/>
      <c r="N1842" s="1"/>
      <c r="O1842" s="1"/>
      <c r="P1842" s="1"/>
      <c r="Q1842" s="1"/>
      <c r="R1842" s="1">
        <v>48026</v>
      </c>
      <c r="S1842" t="s">
        <v>12</v>
      </c>
    </row>
    <row r="1843" spans="1:19" x14ac:dyDescent="0.55000000000000004">
      <c r="A1843" t="s">
        <v>37</v>
      </c>
      <c r="B1843">
        <v>1964</v>
      </c>
      <c r="C1843">
        <v>1196</v>
      </c>
      <c r="D1843" s="2">
        <v>174</v>
      </c>
      <c r="E1843" s="3">
        <v>1370</v>
      </c>
      <c r="F1843" t="s">
        <v>12</v>
      </c>
      <c r="G1843" t="s">
        <v>12</v>
      </c>
      <c r="H1843" s="1"/>
      <c r="I1843" s="1">
        <v>2563.7882986913</v>
      </c>
      <c r="J1843" s="1">
        <v>90</v>
      </c>
      <c r="K1843" s="1"/>
      <c r="L1843" s="1"/>
      <c r="M1843" s="1"/>
      <c r="N1843" s="1"/>
      <c r="O1843" s="1"/>
      <c r="P1843" s="1"/>
      <c r="Q1843" s="1"/>
      <c r="R1843" s="1">
        <v>4024</v>
      </c>
      <c r="S1843" t="s">
        <v>11</v>
      </c>
    </row>
    <row r="1844" spans="1:19" x14ac:dyDescent="0.55000000000000004">
      <c r="A1844" t="s">
        <v>37</v>
      </c>
      <c r="B1844">
        <v>1963</v>
      </c>
      <c r="C1844">
        <v>14469</v>
      </c>
      <c r="D1844" s="2">
        <v>0</v>
      </c>
      <c r="E1844" s="3">
        <v>14469</v>
      </c>
      <c r="F1844" t="s">
        <v>12</v>
      </c>
      <c r="G1844" t="s">
        <v>12</v>
      </c>
      <c r="H1844" s="1"/>
      <c r="I1844" s="1">
        <v>23566</v>
      </c>
      <c r="J1844" s="1">
        <v>582</v>
      </c>
      <c r="K1844" s="1"/>
      <c r="L1844" s="1"/>
      <c r="M1844" s="1"/>
      <c r="N1844" s="1"/>
      <c r="O1844" s="1"/>
      <c r="P1844" s="1"/>
      <c r="Q1844" s="1"/>
      <c r="R1844" s="1">
        <v>38617</v>
      </c>
      <c r="S1844" t="s">
        <v>12</v>
      </c>
    </row>
    <row r="1845" spans="1:19" x14ac:dyDescent="0.55000000000000004">
      <c r="A1845" t="s">
        <v>37</v>
      </c>
      <c r="B1845">
        <v>1962</v>
      </c>
      <c r="C1845">
        <v>15924</v>
      </c>
      <c r="D1845" s="2">
        <v>38</v>
      </c>
      <c r="E1845" s="3">
        <v>15962</v>
      </c>
      <c r="F1845" t="s">
        <v>12</v>
      </c>
      <c r="G1845" t="s">
        <v>12</v>
      </c>
      <c r="H1845" s="1"/>
      <c r="I1845" s="1">
        <v>15469.331401105899</v>
      </c>
      <c r="J1845" s="1">
        <v>738</v>
      </c>
      <c r="K1845" s="1"/>
      <c r="L1845" s="1"/>
      <c r="M1845" s="1"/>
      <c r="N1845" s="1"/>
      <c r="O1845" s="1"/>
      <c r="P1845" s="1"/>
      <c r="Q1845" s="1"/>
      <c r="R1845" s="1">
        <v>32169</v>
      </c>
      <c r="S1845" t="s">
        <v>12</v>
      </c>
    </row>
    <row r="1846" spans="1:19" x14ac:dyDescent="0.55000000000000004">
      <c r="A1846" t="s">
        <v>37</v>
      </c>
      <c r="B1846">
        <v>1961</v>
      </c>
      <c r="C1846">
        <v>4246</v>
      </c>
      <c r="D1846" s="2">
        <v>137</v>
      </c>
      <c r="E1846" s="3">
        <v>4383</v>
      </c>
      <c r="F1846" t="s">
        <v>12</v>
      </c>
      <c r="G1846" t="s">
        <v>12</v>
      </c>
      <c r="H1846" s="1"/>
      <c r="I1846" s="1">
        <v>2785</v>
      </c>
      <c r="J1846" s="1">
        <v>196</v>
      </c>
      <c r="K1846" s="1"/>
      <c r="L1846" s="1"/>
      <c r="M1846" s="1"/>
      <c r="N1846" s="1"/>
      <c r="O1846" s="1"/>
      <c r="P1846" s="1"/>
      <c r="Q1846" s="1"/>
      <c r="R1846" s="1">
        <v>7364</v>
      </c>
      <c r="S1846" t="s">
        <v>12</v>
      </c>
    </row>
    <row r="1847" spans="1:19" x14ac:dyDescent="0.55000000000000004">
      <c r="A1847" t="s">
        <v>37</v>
      </c>
      <c r="B1847">
        <v>1960</v>
      </c>
      <c r="C1847">
        <v>7033</v>
      </c>
      <c r="D1847" s="2">
        <v>9</v>
      </c>
      <c r="E1847" s="3">
        <v>7042</v>
      </c>
      <c r="F1847" t="s">
        <v>12</v>
      </c>
      <c r="G1847" t="s">
        <v>12</v>
      </c>
      <c r="H1847" s="1"/>
      <c r="I1847" s="1">
        <v>13649</v>
      </c>
      <c r="J1847" s="1">
        <v>118</v>
      </c>
      <c r="K1847" s="1"/>
      <c r="L1847" s="1"/>
      <c r="M1847" s="1"/>
      <c r="N1847" s="1"/>
      <c r="O1847" s="1"/>
      <c r="P1847" s="1"/>
      <c r="Q1847" s="1"/>
      <c r="R1847" s="1">
        <v>20809</v>
      </c>
      <c r="S1847" t="s">
        <v>11</v>
      </c>
    </row>
    <row r="1848" spans="1:19" x14ac:dyDescent="0.55000000000000004">
      <c r="A1848" t="s">
        <v>37</v>
      </c>
      <c r="B1848">
        <v>1959</v>
      </c>
      <c r="C1848">
        <v>8363</v>
      </c>
      <c r="D1848" s="2">
        <v>16</v>
      </c>
      <c r="E1848" s="3">
        <v>8379</v>
      </c>
      <c r="F1848" t="s">
        <v>12</v>
      </c>
      <c r="G1848" t="s">
        <v>12</v>
      </c>
      <c r="H1848" s="1"/>
      <c r="I1848" s="1">
        <v>57172.309724031802</v>
      </c>
      <c r="J1848" s="1">
        <v>270.93059339097499</v>
      </c>
      <c r="K1848" s="1"/>
      <c r="L1848" s="1"/>
      <c r="M1848" s="1"/>
      <c r="N1848" s="1"/>
      <c r="O1848" s="1"/>
      <c r="P1848" s="1"/>
      <c r="Q1848" s="1"/>
      <c r="R1848" s="1">
        <v>65822</v>
      </c>
      <c r="S1848" t="s">
        <v>12</v>
      </c>
    </row>
    <row r="1849" spans="1:19" x14ac:dyDescent="0.55000000000000004">
      <c r="A1849" t="s">
        <v>37</v>
      </c>
      <c r="B1849">
        <v>1958</v>
      </c>
      <c r="C1849">
        <v>35939</v>
      </c>
      <c r="D1849" s="2">
        <v>260</v>
      </c>
      <c r="E1849" s="3">
        <v>36199</v>
      </c>
      <c r="F1849" t="s">
        <v>12</v>
      </c>
      <c r="G1849" t="s">
        <v>12</v>
      </c>
      <c r="H1849" s="1"/>
      <c r="I1849" s="1">
        <v>218190</v>
      </c>
      <c r="J1849" s="1">
        <v>38</v>
      </c>
      <c r="K1849" s="1"/>
      <c r="L1849" s="1"/>
      <c r="M1849" s="1"/>
      <c r="N1849" s="1"/>
      <c r="O1849" s="1"/>
      <c r="P1849" s="1"/>
      <c r="Q1849" s="1"/>
      <c r="R1849" s="1">
        <v>254427</v>
      </c>
      <c r="S1849" t="s">
        <v>12</v>
      </c>
    </row>
    <row r="1850" spans="1:19" x14ac:dyDescent="0.55000000000000004">
      <c r="A1850" t="s">
        <v>37</v>
      </c>
      <c r="B1850">
        <v>1957</v>
      </c>
      <c r="C1850">
        <v>20237</v>
      </c>
      <c r="D1850" s="2">
        <v>629</v>
      </c>
      <c r="E1850" s="3">
        <v>20866</v>
      </c>
      <c r="F1850" t="s">
        <v>12</v>
      </c>
      <c r="G1850" t="s">
        <v>12</v>
      </c>
      <c r="H1850" s="1"/>
      <c r="I1850" s="1">
        <v>148982.33888407401</v>
      </c>
      <c r="J1850" s="1">
        <v>80</v>
      </c>
      <c r="K1850" s="1"/>
      <c r="L1850" s="1"/>
      <c r="M1850" s="1"/>
      <c r="N1850" s="1"/>
      <c r="O1850" s="1"/>
      <c r="P1850" s="1"/>
      <c r="Q1850" s="1"/>
      <c r="R1850" s="1">
        <v>169928</v>
      </c>
      <c r="S1850" t="s">
        <v>12</v>
      </c>
    </row>
    <row r="1851" spans="1:19" x14ac:dyDescent="0.55000000000000004">
      <c r="A1851" t="s">
        <v>37</v>
      </c>
      <c r="B1851">
        <v>1956</v>
      </c>
      <c r="C1851">
        <v>8490</v>
      </c>
      <c r="D1851" s="2">
        <v>282</v>
      </c>
      <c r="E1851" s="3">
        <v>8772</v>
      </c>
      <c r="F1851" t="s">
        <v>12</v>
      </c>
      <c r="G1851" t="s">
        <v>12</v>
      </c>
      <c r="H1851" s="1"/>
      <c r="I1851" s="1">
        <v>15562</v>
      </c>
      <c r="J1851" s="1">
        <v>24</v>
      </c>
      <c r="K1851" s="1"/>
      <c r="L1851" s="1"/>
      <c r="M1851" s="1"/>
      <c r="N1851" s="1"/>
      <c r="O1851" s="1"/>
      <c r="P1851" s="1"/>
      <c r="Q1851" s="1"/>
      <c r="R1851" s="1">
        <v>24358</v>
      </c>
      <c r="S1851" t="s">
        <v>12</v>
      </c>
    </row>
    <row r="1852" spans="1:19" x14ac:dyDescent="0.55000000000000004">
      <c r="A1852" t="s">
        <v>37</v>
      </c>
      <c r="B1852">
        <v>1955</v>
      </c>
      <c r="C1852">
        <v>21636</v>
      </c>
      <c r="D1852" s="2">
        <v>36</v>
      </c>
      <c r="E1852" s="3">
        <v>21672</v>
      </c>
      <c r="F1852" t="s">
        <v>12</v>
      </c>
      <c r="G1852" t="s">
        <v>12</v>
      </c>
      <c r="H1852" s="1"/>
      <c r="I1852" s="1">
        <v>82658.000000000102</v>
      </c>
      <c r="J1852" s="1">
        <v>100</v>
      </c>
      <c r="K1852" s="1"/>
      <c r="L1852" s="1"/>
      <c r="M1852" s="1"/>
      <c r="N1852" s="1"/>
      <c r="O1852" s="1"/>
      <c r="P1852" s="1"/>
      <c r="Q1852" s="1"/>
      <c r="R1852" s="1">
        <v>104430</v>
      </c>
      <c r="S1852" t="s">
        <v>11</v>
      </c>
    </row>
    <row r="1853" spans="1:19" x14ac:dyDescent="0.55000000000000004">
      <c r="A1853" t="s">
        <v>37</v>
      </c>
      <c r="B1853">
        <v>1954</v>
      </c>
      <c r="C1853">
        <v>28137</v>
      </c>
      <c r="D1853" s="2">
        <v>313</v>
      </c>
      <c r="E1853" s="3">
        <v>28450</v>
      </c>
      <c r="F1853" t="s">
        <v>12</v>
      </c>
      <c r="G1853" t="s">
        <v>12</v>
      </c>
      <c r="H1853" s="1"/>
      <c r="I1853" s="1">
        <v>152206.050933786</v>
      </c>
      <c r="J1853" s="1">
        <v>32</v>
      </c>
      <c r="K1853" s="1"/>
      <c r="L1853" s="1"/>
      <c r="M1853" s="1"/>
      <c r="N1853" s="1"/>
      <c r="O1853" s="1"/>
      <c r="P1853" s="1"/>
      <c r="Q1853" s="1"/>
      <c r="R1853" s="1">
        <v>180688</v>
      </c>
      <c r="S1853" t="s">
        <v>12</v>
      </c>
    </row>
    <row r="1854" spans="1:19" x14ac:dyDescent="0.55000000000000004">
      <c r="A1854" t="s">
        <v>37</v>
      </c>
      <c r="B1854">
        <v>1953</v>
      </c>
      <c r="C1854">
        <v>8789</v>
      </c>
      <c r="D1854" s="2">
        <v>606</v>
      </c>
      <c r="E1854" s="3">
        <v>9395</v>
      </c>
      <c r="F1854" t="s">
        <v>12</v>
      </c>
      <c r="G1854" t="s">
        <v>12</v>
      </c>
      <c r="H1854" s="1"/>
      <c r="I1854" s="1">
        <v>36714</v>
      </c>
      <c r="J1854" s="1">
        <v>16</v>
      </c>
      <c r="K1854" s="1"/>
      <c r="L1854" s="1"/>
      <c r="M1854" s="1"/>
      <c r="N1854" s="1"/>
      <c r="O1854" s="1"/>
      <c r="P1854" s="1"/>
      <c r="Q1854" s="1"/>
      <c r="R1854" s="1">
        <v>46125</v>
      </c>
      <c r="S1854" t="s">
        <v>12</v>
      </c>
    </row>
    <row r="1855" spans="1:19" x14ac:dyDescent="0.55000000000000004">
      <c r="A1855" t="s">
        <v>37</v>
      </c>
      <c r="B1855">
        <v>1952</v>
      </c>
      <c r="C1855">
        <v>28050</v>
      </c>
      <c r="D1855" s="2">
        <v>50</v>
      </c>
      <c r="E1855" s="3">
        <v>28100</v>
      </c>
      <c r="F1855" t="s">
        <v>12</v>
      </c>
      <c r="G1855" t="s">
        <v>12</v>
      </c>
      <c r="H1855" s="1"/>
      <c r="I1855" s="1">
        <v>101435</v>
      </c>
      <c r="J1855" s="1">
        <v>103</v>
      </c>
      <c r="K1855" s="1"/>
      <c r="L1855" s="1"/>
      <c r="M1855" s="1"/>
      <c r="N1855" s="1"/>
      <c r="O1855" s="1"/>
      <c r="P1855" s="1"/>
      <c r="Q1855" s="1"/>
      <c r="R1855" s="1">
        <v>129638</v>
      </c>
      <c r="S1855" t="s">
        <v>12</v>
      </c>
    </row>
    <row r="1856" spans="1:19" x14ac:dyDescent="0.55000000000000004">
      <c r="A1856" t="s">
        <v>38</v>
      </c>
      <c r="B1856">
        <v>2023</v>
      </c>
      <c r="C1856">
        <v>68</v>
      </c>
      <c r="D1856" s="2">
        <v>0</v>
      </c>
      <c r="E1856" s="3">
        <v>68</v>
      </c>
      <c r="F1856" t="s">
        <v>12</v>
      </c>
      <c r="G1856" t="s">
        <v>12</v>
      </c>
      <c r="H1856" s="1">
        <v>0</v>
      </c>
      <c r="I1856" s="1">
        <v>27.872897074456301</v>
      </c>
      <c r="J1856" s="1"/>
      <c r="K1856" s="1"/>
      <c r="L1856" s="1">
        <v>29</v>
      </c>
      <c r="M1856" s="1"/>
      <c r="N1856" s="1"/>
      <c r="O1856" s="1"/>
      <c r="P1856" s="1"/>
      <c r="Q1856" s="1">
        <v>48.297305028273797</v>
      </c>
      <c r="R1856" s="1">
        <v>125</v>
      </c>
      <c r="S1856" t="s">
        <v>11</v>
      </c>
    </row>
    <row r="1857" spans="1:19" x14ac:dyDescent="0.55000000000000004">
      <c r="A1857" t="s">
        <v>38</v>
      </c>
      <c r="B1857">
        <v>2022</v>
      </c>
      <c r="C1857">
        <v>223</v>
      </c>
      <c r="D1857" s="2">
        <v>0</v>
      </c>
      <c r="E1857" s="3">
        <v>223</v>
      </c>
      <c r="F1857" t="s">
        <v>12</v>
      </c>
      <c r="G1857" t="s">
        <v>12</v>
      </c>
      <c r="H1857" s="1"/>
      <c r="I1857" s="1"/>
      <c r="J1857" s="1"/>
      <c r="K1857" s="1"/>
      <c r="L1857" s="1">
        <v>56</v>
      </c>
      <c r="M1857" s="1"/>
      <c r="N1857" s="1"/>
      <c r="O1857" s="1"/>
      <c r="P1857" s="1"/>
      <c r="Q1857" s="1">
        <v>223</v>
      </c>
      <c r="R1857" s="1">
        <v>279</v>
      </c>
      <c r="S1857" t="s">
        <v>11</v>
      </c>
    </row>
    <row r="1858" spans="1:19" x14ac:dyDescent="0.55000000000000004">
      <c r="A1858" t="s">
        <v>38</v>
      </c>
      <c r="B1858">
        <v>2021</v>
      </c>
      <c r="C1858">
        <v>124</v>
      </c>
      <c r="D1858" s="2">
        <v>0</v>
      </c>
      <c r="E1858" s="3">
        <v>124</v>
      </c>
      <c r="F1858" t="s">
        <v>12</v>
      </c>
      <c r="G1858" t="s">
        <v>12</v>
      </c>
      <c r="H1858" s="1"/>
      <c r="I1858" s="1"/>
      <c r="J1858" s="1"/>
      <c r="K1858" s="1"/>
      <c r="L1858" s="1">
        <v>31</v>
      </c>
      <c r="M1858" s="1"/>
      <c r="N1858" s="1"/>
      <c r="O1858" s="1"/>
      <c r="P1858" s="1"/>
      <c r="Q1858" s="1">
        <v>124</v>
      </c>
      <c r="R1858" s="1">
        <v>155</v>
      </c>
      <c r="S1858" t="s">
        <v>11</v>
      </c>
    </row>
    <row r="1859" spans="1:19" x14ac:dyDescent="0.55000000000000004">
      <c r="A1859" t="s">
        <v>38</v>
      </c>
      <c r="B1859">
        <v>2020</v>
      </c>
      <c r="C1859">
        <v>245</v>
      </c>
      <c r="D1859" s="2">
        <v>3</v>
      </c>
      <c r="E1859" s="3">
        <v>248</v>
      </c>
      <c r="F1859" t="s">
        <v>12</v>
      </c>
      <c r="G1859" t="s">
        <v>12</v>
      </c>
      <c r="H1859" s="1"/>
      <c r="I1859" s="1"/>
      <c r="J1859" s="1"/>
      <c r="K1859" s="1"/>
      <c r="L1859" s="1">
        <v>82</v>
      </c>
      <c r="M1859" s="1"/>
      <c r="N1859" s="1"/>
      <c r="O1859" s="1">
        <v>1</v>
      </c>
      <c r="P1859" s="1"/>
      <c r="Q1859" s="1">
        <v>248</v>
      </c>
      <c r="R1859" s="1">
        <v>331</v>
      </c>
      <c r="S1859" t="s">
        <v>11</v>
      </c>
    </row>
    <row r="1860" spans="1:19" x14ac:dyDescent="0.55000000000000004">
      <c r="A1860" t="s">
        <v>38</v>
      </c>
      <c r="B1860">
        <v>2019</v>
      </c>
      <c r="C1860">
        <v>176</v>
      </c>
      <c r="D1860" s="2">
        <v>0</v>
      </c>
      <c r="E1860" s="3">
        <v>176</v>
      </c>
      <c r="F1860" t="s">
        <v>12</v>
      </c>
      <c r="G1860" t="s">
        <v>12</v>
      </c>
      <c r="H1860" s="1">
        <v>0</v>
      </c>
      <c r="I1860" s="1">
        <v>4.0849397458347001</v>
      </c>
      <c r="J1860" s="1"/>
      <c r="K1860" s="1"/>
      <c r="L1860" s="1">
        <v>59</v>
      </c>
      <c r="M1860" s="1"/>
      <c r="N1860" s="1"/>
      <c r="O1860" s="1"/>
      <c r="P1860" s="1"/>
      <c r="Q1860" s="1">
        <v>67.769832559600005</v>
      </c>
      <c r="R1860" s="1">
        <v>239</v>
      </c>
      <c r="S1860" t="s">
        <v>11</v>
      </c>
    </row>
    <row r="1861" spans="1:19" x14ac:dyDescent="0.55000000000000004">
      <c r="A1861" t="s">
        <v>38</v>
      </c>
      <c r="B1861">
        <v>2018</v>
      </c>
      <c r="C1861">
        <v>171</v>
      </c>
      <c r="D1861" s="2">
        <v>0</v>
      </c>
      <c r="E1861" s="3">
        <v>171</v>
      </c>
      <c r="F1861" t="s">
        <v>12</v>
      </c>
      <c r="G1861" t="s">
        <v>12</v>
      </c>
      <c r="H1861" s="1"/>
      <c r="I1861" s="1"/>
      <c r="J1861" s="1"/>
      <c r="K1861" s="1"/>
      <c r="L1861" s="1">
        <v>57</v>
      </c>
      <c r="M1861" s="1"/>
      <c r="N1861" s="1"/>
      <c r="O1861" s="1"/>
      <c r="P1861" s="1"/>
      <c r="Q1861" s="1">
        <v>171</v>
      </c>
      <c r="R1861" s="1">
        <v>228</v>
      </c>
      <c r="S1861" t="s">
        <v>11</v>
      </c>
    </row>
    <row r="1862" spans="1:19" x14ac:dyDescent="0.55000000000000004">
      <c r="A1862" t="s">
        <v>38</v>
      </c>
      <c r="B1862">
        <v>2017</v>
      </c>
      <c r="C1862">
        <v>139</v>
      </c>
      <c r="D1862" s="2">
        <v>0</v>
      </c>
      <c r="E1862" s="3">
        <v>139</v>
      </c>
      <c r="F1862" t="s">
        <v>12</v>
      </c>
      <c r="G1862" t="s">
        <v>12</v>
      </c>
      <c r="H1862" s="1">
        <v>0</v>
      </c>
      <c r="I1862" s="1">
        <v>2.8912830169269301</v>
      </c>
      <c r="J1862" s="1"/>
      <c r="K1862" s="1"/>
      <c r="L1862" s="1">
        <v>46</v>
      </c>
      <c r="M1862" s="1"/>
      <c r="N1862" s="1"/>
      <c r="O1862" s="1"/>
      <c r="P1862" s="1"/>
      <c r="Q1862" s="1">
        <v>64.764529394899995</v>
      </c>
      <c r="R1862" s="1">
        <v>188</v>
      </c>
      <c r="S1862" t="s">
        <v>11</v>
      </c>
    </row>
    <row r="1863" spans="1:19" x14ac:dyDescent="0.55000000000000004">
      <c r="A1863" t="s">
        <v>38</v>
      </c>
      <c r="B1863">
        <v>2016</v>
      </c>
      <c r="C1863">
        <v>236</v>
      </c>
      <c r="D1863" s="2">
        <v>0</v>
      </c>
      <c r="E1863" s="3">
        <v>236</v>
      </c>
      <c r="F1863" t="s">
        <v>12</v>
      </c>
      <c r="G1863" t="s">
        <v>12</v>
      </c>
      <c r="H1863" s="1">
        <v>0</v>
      </c>
      <c r="I1863" s="1">
        <v>7.1733379138558</v>
      </c>
      <c r="J1863" s="1"/>
      <c r="K1863" s="1"/>
      <c r="L1863" s="1">
        <v>101</v>
      </c>
      <c r="M1863" s="1"/>
      <c r="N1863" s="1"/>
      <c r="O1863" s="1"/>
      <c r="P1863" s="1"/>
      <c r="Q1863" s="1">
        <v>-292.1486334361</v>
      </c>
      <c r="R1863" s="1">
        <v>344</v>
      </c>
      <c r="S1863" t="s">
        <v>11</v>
      </c>
    </row>
    <row r="1864" spans="1:19" x14ac:dyDescent="0.55000000000000004">
      <c r="A1864" t="s">
        <v>38</v>
      </c>
      <c r="B1864">
        <v>2015</v>
      </c>
      <c r="C1864">
        <v>137</v>
      </c>
      <c r="D1864" s="2">
        <v>0</v>
      </c>
      <c r="E1864" s="3">
        <v>137</v>
      </c>
      <c r="F1864" t="s">
        <v>12</v>
      </c>
      <c r="G1864" t="s">
        <v>12</v>
      </c>
      <c r="H1864" s="1">
        <v>0</v>
      </c>
      <c r="I1864" s="1">
        <v>186.441414124712</v>
      </c>
      <c r="J1864" s="1"/>
      <c r="K1864" s="1"/>
      <c r="L1864" s="1">
        <v>59</v>
      </c>
      <c r="M1864" s="1"/>
      <c r="N1864" s="1"/>
      <c r="O1864" s="1"/>
      <c r="P1864" s="1"/>
      <c r="Q1864" s="1">
        <v>137</v>
      </c>
      <c r="R1864" s="1">
        <v>382</v>
      </c>
      <c r="S1864" t="s">
        <v>11</v>
      </c>
    </row>
    <row r="1865" spans="1:19" x14ac:dyDescent="0.55000000000000004">
      <c r="A1865" t="s">
        <v>38</v>
      </c>
      <c r="B1865">
        <v>2014</v>
      </c>
      <c r="C1865">
        <v>364</v>
      </c>
      <c r="D1865" s="2">
        <v>0</v>
      </c>
      <c r="E1865" s="3">
        <v>364</v>
      </c>
      <c r="F1865" t="s">
        <v>12</v>
      </c>
      <c r="G1865" t="s">
        <v>12</v>
      </c>
      <c r="H1865" s="1">
        <v>0</v>
      </c>
      <c r="I1865" s="1">
        <v>3.7526881721000001</v>
      </c>
      <c r="J1865" s="1"/>
      <c r="K1865" s="1"/>
      <c r="L1865" s="1">
        <v>121</v>
      </c>
      <c r="M1865" s="1"/>
      <c r="N1865" s="1"/>
      <c r="O1865" s="1"/>
      <c r="P1865" s="1"/>
      <c r="Q1865" s="1">
        <v>364</v>
      </c>
      <c r="R1865" s="1">
        <v>489</v>
      </c>
      <c r="S1865" t="s">
        <v>11</v>
      </c>
    </row>
    <row r="1866" spans="1:19" x14ac:dyDescent="0.55000000000000004">
      <c r="A1866" t="s">
        <v>38</v>
      </c>
      <c r="B1866">
        <v>2013</v>
      </c>
      <c r="C1866">
        <v>1695</v>
      </c>
      <c r="D1866" s="2">
        <v>10</v>
      </c>
      <c r="E1866" s="3">
        <v>1705</v>
      </c>
      <c r="F1866" t="s">
        <v>12</v>
      </c>
      <c r="G1866" t="s">
        <v>12</v>
      </c>
      <c r="H1866" s="1">
        <v>0</v>
      </c>
      <c r="I1866" s="1">
        <v>11.609606743980001</v>
      </c>
      <c r="J1866" s="1"/>
      <c r="K1866" s="1"/>
      <c r="L1866" s="1">
        <v>726</v>
      </c>
      <c r="M1866" s="1"/>
      <c r="N1866" s="1"/>
      <c r="O1866" s="1">
        <v>4</v>
      </c>
      <c r="P1866" s="1"/>
      <c r="Q1866" s="1">
        <v>1373.43573904393</v>
      </c>
      <c r="R1866" s="1">
        <v>2447</v>
      </c>
      <c r="S1866" t="s">
        <v>11</v>
      </c>
    </row>
    <row r="1867" spans="1:19" x14ac:dyDescent="0.55000000000000004">
      <c r="A1867" t="s">
        <v>38</v>
      </c>
      <c r="B1867">
        <v>2012</v>
      </c>
      <c r="C1867">
        <v>461</v>
      </c>
      <c r="D1867" s="2">
        <v>5</v>
      </c>
      <c r="E1867" s="3">
        <v>466</v>
      </c>
      <c r="F1867" t="s">
        <v>12</v>
      </c>
      <c r="G1867" t="s">
        <v>12</v>
      </c>
      <c r="H1867" s="1">
        <v>0</v>
      </c>
      <c r="I1867" s="1">
        <v>71.391643121925398</v>
      </c>
      <c r="J1867" s="1"/>
      <c r="K1867" s="1"/>
      <c r="L1867" s="1">
        <v>307</v>
      </c>
      <c r="M1867" s="1"/>
      <c r="N1867" s="1">
        <v>95</v>
      </c>
      <c r="O1867" s="1">
        <v>3</v>
      </c>
      <c r="P1867" s="1"/>
      <c r="Q1867" s="1">
        <v>-479.8373228122</v>
      </c>
      <c r="R1867" s="1">
        <v>942</v>
      </c>
      <c r="S1867" t="s">
        <v>11</v>
      </c>
    </row>
    <row r="1868" spans="1:19" x14ac:dyDescent="0.55000000000000004">
      <c r="A1868" t="s">
        <v>38</v>
      </c>
      <c r="B1868">
        <v>2011</v>
      </c>
      <c r="C1868">
        <v>1534</v>
      </c>
      <c r="D1868" s="2">
        <v>5</v>
      </c>
      <c r="E1868" s="3">
        <v>1539</v>
      </c>
      <c r="F1868" t="s">
        <v>12</v>
      </c>
      <c r="G1868" t="s">
        <v>12</v>
      </c>
      <c r="H1868" s="1">
        <v>0</v>
      </c>
      <c r="I1868" s="1">
        <v>446.50412878596597</v>
      </c>
      <c r="J1868" s="1"/>
      <c r="K1868" s="1"/>
      <c r="L1868" s="1">
        <v>567</v>
      </c>
      <c r="M1868" s="1"/>
      <c r="N1868" s="1">
        <v>30</v>
      </c>
      <c r="O1868" s="1">
        <v>2</v>
      </c>
      <c r="P1868" s="1"/>
      <c r="Q1868" s="1">
        <v>1539</v>
      </c>
      <c r="R1868" s="1">
        <v>2585</v>
      </c>
      <c r="S1868" t="s">
        <v>11</v>
      </c>
    </row>
    <row r="1869" spans="1:19" x14ac:dyDescent="0.55000000000000004">
      <c r="A1869" t="s">
        <v>38</v>
      </c>
      <c r="B1869">
        <v>2010</v>
      </c>
      <c r="C1869">
        <v>1015</v>
      </c>
      <c r="D1869" s="2">
        <v>0</v>
      </c>
      <c r="E1869" s="3">
        <v>1015</v>
      </c>
      <c r="F1869" t="s">
        <v>12</v>
      </c>
      <c r="G1869" t="s">
        <v>12</v>
      </c>
      <c r="H1869" s="1">
        <v>0</v>
      </c>
      <c r="I1869" s="1">
        <v>3.92920292087291</v>
      </c>
      <c r="J1869" s="1"/>
      <c r="K1869" s="1"/>
      <c r="L1869" s="1">
        <v>286</v>
      </c>
      <c r="M1869" s="1"/>
      <c r="N1869" s="1">
        <v>419</v>
      </c>
      <c r="O1869" s="1"/>
      <c r="P1869" s="1"/>
      <c r="Q1869" s="1">
        <v>-535.31796529108999</v>
      </c>
      <c r="R1869" s="1">
        <v>1724</v>
      </c>
      <c r="S1869" t="s">
        <v>11</v>
      </c>
    </row>
    <row r="1870" spans="1:19" x14ac:dyDescent="0.55000000000000004">
      <c r="A1870" t="s">
        <v>38</v>
      </c>
      <c r="B1870">
        <v>2009</v>
      </c>
      <c r="C1870">
        <v>1556</v>
      </c>
      <c r="D1870" s="2">
        <v>3</v>
      </c>
      <c r="E1870" s="3">
        <v>1559</v>
      </c>
      <c r="F1870" t="s">
        <v>12</v>
      </c>
      <c r="G1870" t="s">
        <v>12</v>
      </c>
      <c r="H1870" s="1">
        <v>0</v>
      </c>
      <c r="I1870" s="1">
        <v>19.8397459788021</v>
      </c>
      <c r="J1870" s="1"/>
      <c r="K1870" s="1"/>
      <c r="L1870" s="1">
        <v>439</v>
      </c>
      <c r="M1870" s="1"/>
      <c r="N1870" s="1">
        <v>9</v>
      </c>
      <c r="O1870" s="1">
        <v>1</v>
      </c>
      <c r="P1870" s="1"/>
      <c r="Q1870" s="1">
        <v>1408.4056536435201</v>
      </c>
      <c r="R1870" s="1">
        <v>2028</v>
      </c>
      <c r="S1870" t="s">
        <v>11</v>
      </c>
    </row>
    <row r="1871" spans="1:19" x14ac:dyDescent="0.55000000000000004">
      <c r="A1871" t="s">
        <v>38</v>
      </c>
      <c r="B1871">
        <v>2008</v>
      </c>
      <c r="C1871">
        <v>85</v>
      </c>
      <c r="D1871" s="2">
        <v>0</v>
      </c>
      <c r="E1871" s="3">
        <v>85</v>
      </c>
      <c r="F1871" t="s">
        <v>12</v>
      </c>
      <c r="G1871" t="s">
        <v>12</v>
      </c>
      <c r="H1871" s="1">
        <v>0</v>
      </c>
      <c r="I1871" s="1">
        <v>7.6920759439471</v>
      </c>
      <c r="J1871" s="1"/>
      <c r="K1871" s="1"/>
      <c r="L1871" s="1"/>
      <c r="M1871" s="1"/>
      <c r="N1871" s="1"/>
      <c r="O1871" s="1"/>
      <c r="P1871" s="1"/>
      <c r="Q1871" s="1">
        <v>-165.5955161757</v>
      </c>
      <c r="R1871" s="1">
        <v>258</v>
      </c>
      <c r="S1871" t="s">
        <v>9</v>
      </c>
    </row>
    <row r="1872" spans="1:19" x14ac:dyDescent="0.55000000000000004">
      <c r="A1872" t="s">
        <v>38</v>
      </c>
      <c r="B1872">
        <v>2007</v>
      </c>
      <c r="C1872">
        <v>176</v>
      </c>
      <c r="D1872" s="2">
        <v>0</v>
      </c>
      <c r="E1872" s="3">
        <v>176</v>
      </c>
      <c r="F1872" t="s">
        <v>12</v>
      </c>
      <c r="G1872" t="s">
        <v>12</v>
      </c>
      <c r="H1872" s="1">
        <v>0</v>
      </c>
      <c r="I1872" s="1">
        <v>3.0578947399</v>
      </c>
      <c r="J1872" s="1"/>
      <c r="K1872" s="1"/>
      <c r="L1872" s="1"/>
      <c r="M1872" s="1"/>
      <c r="N1872" s="1"/>
      <c r="O1872" s="1"/>
      <c r="P1872" s="1"/>
      <c r="Q1872" s="1">
        <v>176</v>
      </c>
      <c r="R1872" s="1">
        <v>179</v>
      </c>
      <c r="S1872" t="s">
        <v>9</v>
      </c>
    </row>
    <row r="1873" spans="1:19" x14ac:dyDescent="0.55000000000000004">
      <c r="A1873" t="s">
        <v>38</v>
      </c>
      <c r="B1873">
        <v>2006</v>
      </c>
      <c r="C1873">
        <v>171</v>
      </c>
      <c r="D1873" s="2">
        <v>0</v>
      </c>
      <c r="E1873" s="3">
        <v>171</v>
      </c>
      <c r="F1873" t="s">
        <v>12</v>
      </c>
      <c r="G1873" t="s">
        <v>12</v>
      </c>
      <c r="H1873" s="1">
        <v>0</v>
      </c>
      <c r="I1873" s="1">
        <v>648.84982846520802</v>
      </c>
      <c r="J1873" s="1"/>
      <c r="K1873" s="1"/>
      <c r="L1873" s="1"/>
      <c r="M1873" s="1"/>
      <c r="N1873" s="1"/>
      <c r="O1873" s="1"/>
      <c r="P1873" s="1"/>
      <c r="Q1873" s="1">
        <v>171</v>
      </c>
      <c r="R1873" s="1">
        <v>820</v>
      </c>
      <c r="S1873" t="s">
        <v>9</v>
      </c>
    </row>
    <row r="1874" spans="1:19" x14ac:dyDescent="0.55000000000000004">
      <c r="A1874" t="s">
        <v>38</v>
      </c>
      <c r="B1874">
        <v>2005</v>
      </c>
      <c r="C1874">
        <v>294</v>
      </c>
      <c r="D1874" s="2">
        <v>7</v>
      </c>
      <c r="E1874" s="3">
        <v>301</v>
      </c>
      <c r="F1874" t="s">
        <v>12</v>
      </c>
      <c r="G1874" t="s">
        <v>12</v>
      </c>
      <c r="H1874" s="1">
        <v>0</v>
      </c>
      <c r="I1874" s="1">
        <v>1039.68365845174</v>
      </c>
      <c r="J1874" s="1"/>
      <c r="K1874" s="1"/>
      <c r="L1874" s="1"/>
      <c r="M1874" s="1"/>
      <c r="N1874" s="1"/>
      <c r="O1874" s="1"/>
      <c r="P1874" s="1"/>
      <c r="Q1874" s="1">
        <v>154.73896340900001</v>
      </c>
      <c r="R1874" s="1">
        <v>1341</v>
      </c>
      <c r="S1874" t="s">
        <v>9</v>
      </c>
    </row>
    <row r="1875" spans="1:19" x14ac:dyDescent="0.55000000000000004">
      <c r="A1875" t="s">
        <v>38</v>
      </c>
      <c r="B1875">
        <v>2004</v>
      </c>
      <c r="C1875">
        <v>49</v>
      </c>
      <c r="D1875" s="2">
        <v>0</v>
      </c>
      <c r="E1875" s="3">
        <v>49</v>
      </c>
      <c r="F1875" t="s">
        <v>12</v>
      </c>
      <c r="G1875" t="s">
        <v>12</v>
      </c>
      <c r="H1875" s="1"/>
      <c r="I1875" s="1"/>
      <c r="J1875" s="1"/>
      <c r="K1875" s="1"/>
      <c r="L1875" s="1"/>
      <c r="M1875" s="1"/>
      <c r="N1875" s="1"/>
      <c r="O1875" s="1"/>
      <c r="P1875" s="1"/>
      <c r="Q1875" s="1">
        <v>49</v>
      </c>
      <c r="R1875" s="1">
        <v>49</v>
      </c>
      <c r="S1875" t="s">
        <v>9</v>
      </c>
    </row>
    <row r="1876" spans="1:19" x14ac:dyDescent="0.55000000000000004">
      <c r="A1876" t="s">
        <v>38</v>
      </c>
      <c r="B1876">
        <v>2003</v>
      </c>
      <c r="C1876">
        <v>122</v>
      </c>
      <c r="D1876" s="2">
        <v>62</v>
      </c>
      <c r="E1876" s="3">
        <v>184</v>
      </c>
      <c r="F1876" t="s">
        <v>12</v>
      </c>
      <c r="G1876" t="s">
        <v>12</v>
      </c>
      <c r="H1876" s="1"/>
      <c r="I1876" s="1"/>
      <c r="J1876" s="1"/>
      <c r="K1876" s="1"/>
      <c r="L1876" s="1"/>
      <c r="M1876" s="1"/>
      <c r="N1876" s="1"/>
      <c r="O1876" s="1"/>
      <c r="P1876" s="1"/>
      <c r="Q1876" s="1">
        <v>184</v>
      </c>
      <c r="R1876" s="1">
        <v>184</v>
      </c>
      <c r="S1876" t="s">
        <v>9</v>
      </c>
    </row>
    <row r="1877" spans="1:19" x14ac:dyDescent="0.55000000000000004">
      <c r="A1877" t="s">
        <v>38</v>
      </c>
      <c r="B1877">
        <v>2002</v>
      </c>
      <c r="C1877">
        <v>680</v>
      </c>
      <c r="D1877" s="2">
        <v>0</v>
      </c>
      <c r="E1877" s="3">
        <v>680</v>
      </c>
      <c r="F1877" t="s">
        <v>12</v>
      </c>
      <c r="G1877" t="s">
        <v>12</v>
      </c>
      <c r="H1877" s="1">
        <v>2.0699930932364498E-3</v>
      </c>
      <c r="I1877" s="1">
        <v>50.292197700929698</v>
      </c>
      <c r="J1877" s="1">
        <v>15.3249873005852</v>
      </c>
      <c r="K1877" s="1"/>
      <c r="L1877" s="1"/>
      <c r="M1877" s="1"/>
      <c r="N1877" s="1"/>
      <c r="O1877" s="1"/>
      <c r="P1877" s="1"/>
      <c r="Q1877" s="1">
        <v>-36.293677064941697</v>
      </c>
      <c r="R1877" s="1">
        <v>782</v>
      </c>
      <c r="S1877" t="s">
        <v>9</v>
      </c>
    </row>
    <row r="1878" spans="1:19" x14ac:dyDescent="0.55000000000000004">
      <c r="A1878" t="s">
        <v>38</v>
      </c>
      <c r="B1878">
        <v>2001</v>
      </c>
      <c r="C1878">
        <v>85</v>
      </c>
      <c r="D1878" s="2">
        <v>0</v>
      </c>
      <c r="E1878" s="3">
        <v>85</v>
      </c>
      <c r="F1878" t="s">
        <v>12</v>
      </c>
      <c r="G1878" t="s">
        <v>12</v>
      </c>
      <c r="H1878" s="1">
        <v>2.4935856154532798</v>
      </c>
      <c r="I1878" s="1">
        <v>48.133319229041597</v>
      </c>
      <c r="J1878" s="1">
        <v>11.799932780636</v>
      </c>
      <c r="K1878" s="1"/>
      <c r="L1878" s="1"/>
      <c r="M1878" s="1"/>
      <c r="N1878" s="1"/>
      <c r="O1878" s="1"/>
      <c r="P1878" s="1"/>
      <c r="Q1878" s="1">
        <v>-222.61289372930699</v>
      </c>
      <c r="R1878" s="1">
        <v>370</v>
      </c>
      <c r="S1878" t="s">
        <v>9</v>
      </c>
    </row>
    <row r="1879" spans="1:19" x14ac:dyDescent="0.55000000000000004">
      <c r="A1879" t="s">
        <v>38</v>
      </c>
      <c r="B1879">
        <v>2000</v>
      </c>
      <c r="C1879">
        <v>29</v>
      </c>
      <c r="D1879" s="2">
        <v>0</v>
      </c>
      <c r="E1879" s="3">
        <v>29</v>
      </c>
      <c r="F1879" t="s">
        <v>12</v>
      </c>
      <c r="G1879" t="s">
        <v>12</v>
      </c>
      <c r="H1879" s="1">
        <v>2.11353249360898E-2</v>
      </c>
      <c r="I1879" s="1">
        <v>38.266628352220998</v>
      </c>
      <c r="J1879" s="1">
        <v>2.2433733665926199</v>
      </c>
      <c r="K1879" s="1"/>
      <c r="L1879" s="1"/>
      <c r="M1879" s="1"/>
      <c r="N1879" s="1"/>
      <c r="O1879" s="1"/>
      <c r="P1879" s="1"/>
      <c r="Q1879" s="1">
        <v>-44.7368476273978</v>
      </c>
      <c r="R1879" s="1">
        <v>114</v>
      </c>
      <c r="S1879" t="s">
        <v>9</v>
      </c>
    </row>
    <row r="1880" spans="1:19" x14ac:dyDescent="0.55000000000000004">
      <c r="A1880" t="s">
        <v>38</v>
      </c>
      <c r="B1880">
        <v>1999</v>
      </c>
      <c r="C1880">
        <v>162</v>
      </c>
      <c r="D1880" s="2">
        <v>0</v>
      </c>
      <c r="E1880" s="3">
        <v>162</v>
      </c>
      <c r="F1880" t="s">
        <v>12</v>
      </c>
      <c r="G1880" t="s">
        <v>12</v>
      </c>
      <c r="H1880" s="1">
        <v>0</v>
      </c>
      <c r="I1880" s="1">
        <v>43.582026920522601</v>
      </c>
      <c r="J1880" s="1">
        <v>4.9299922677911203</v>
      </c>
      <c r="K1880" s="1"/>
      <c r="L1880" s="1"/>
      <c r="M1880" s="1"/>
      <c r="N1880" s="1"/>
      <c r="O1880" s="1"/>
      <c r="P1880" s="1"/>
      <c r="Q1880" s="1">
        <v>-332.453191220458</v>
      </c>
      <c r="R1880" s="1">
        <v>543</v>
      </c>
      <c r="S1880" t="s">
        <v>9</v>
      </c>
    </row>
    <row r="1881" spans="1:19" x14ac:dyDescent="0.55000000000000004">
      <c r="A1881" t="s">
        <v>38</v>
      </c>
      <c r="B1881">
        <v>1998</v>
      </c>
      <c r="C1881">
        <v>70</v>
      </c>
      <c r="D1881" s="2">
        <v>0</v>
      </c>
      <c r="E1881" s="3">
        <v>70</v>
      </c>
      <c r="F1881" t="s">
        <v>12</v>
      </c>
      <c r="G1881" t="s">
        <v>12</v>
      </c>
      <c r="H1881" s="1">
        <v>0</v>
      </c>
      <c r="I1881" s="1">
        <v>4.9418598200576502</v>
      </c>
      <c r="J1881" s="1">
        <v>1.5396837164911299</v>
      </c>
      <c r="K1881" s="1"/>
      <c r="L1881" s="1"/>
      <c r="M1881" s="1"/>
      <c r="N1881" s="1"/>
      <c r="O1881" s="1"/>
      <c r="P1881" s="1"/>
      <c r="Q1881" s="1">
        <v>-56.8935009866629</v>
      </c>
      <c r="R1881" s="1">
        <v>133</v>
      </c>
      <c r="S1881" t="s">
        <v>9</v>
      </c>
    </row>
    <row r="1882" spans="1:19" x14ac:dyDescent="0.55000000000000004">
      <c r="A1882" t="s">
        <v>38</v>
      </c>
      <c r="B1882">
        <v>1997</v>
      </c>
      <c r="C1882">
        <v>32</v>
      </c>
      <c r="D1882" s="2">
        <v>0</v>
      </c>
      <c r="E1882" s="3">
        <v>32</v>
      </c>
      <c r="F1882" t="s">
        <v>12</v>
      </c>
      <c r="G1882" t="s">
        <v>12</v>
      </c>
      <c r="H1882" s="1">
        <v>16.2493889185629</v>
      </c>
      <c r="I1882" s="1">
        <v>912.30225937039904</v>
      </c>
      <c r="J1882" s="1">
        <v>4.5511756545400903</v>
      </c>
      <c r="K1882" s="1"/>
      <c r="L1882" s="1"/>
      <c r="M1882" s="1"/>
      <c r="N1882" s="1"/>
      <c r="O1882" s="1"/>
      <c r="P1882" s="1"/>
      <c r="Q1882" s="1">
        <v>-182.22266440930699</v>
      </c>
      <c r="R1882" s="1">
        <v>1147</v>
      </c>
      <c r="S1882" t="s">
        <v>9</v>
      </c>
    </row>
    <row r="1883" spans="1:19" x14ac:dyDescent="0.55000000000000004">
      <c r="A1883" t="s">
        <v>38</v>
      </c>
      <c r="B1883">
        <v>1996</v>
      </c>
      <c r="C1883">
        <v>94</v>
      </c>
      <c r="D1883" s="2">
        <v>0</v>
      </c>
      <c r="E1883" s="3">
        <v>94</v>
      </c>
      <c r="F1883" t="s">
        <v>12</v>
      </c>
      <c r="G1883" t="s">
        <v>12</v>
      </c>
      <c r="H1883" s="1">
        <v>1.5995604676451201</v>
      </c>
      <c r="I1883" s="1">
        <v>55.726771369675703</v>
      </c>
      <c r="J1883" s="1">
        <v>2.52288225554316</v>
      </c>
      <c r="K1883" s="1"/>
      <c r="L1883" s="1"/>
      <c r="M1883" s="1"/>
      <c r="N1883" s="1"/>
      <c r="O1883" s="1"/>
      <c r="P1883" s="1"/>
      <c r="Q1883" s="1">
        <v>-8.8588719411688395</v>
      </c>
      <c r="R1883" s="1">
        <v>163</v>
      </c>
      <c r="S1883" t="s">
        <v>9</v>
      </c>
    </row>
    <row r="1884" spans="1:19" x14ac:dyDescent="0.55000000000000004">
      <c r="A1884" t="s">
        <v>38</v>
      </c>
      <c r="B1884">
        <v>1995</v>
      </c>
      <c r="C1884">
        <v>119</v>
      </c>
      <c r="D1884" s="2">
        <v>0</v>
      </c>
      <c r="E1884" s="3">
        <v>119</v>
      </c>
      <c r="F1884" t="s">
        <v>12</v>
      </c>
      <c r="G1884" t="s">
        <v>12</v>
      </c>
      <c r="H1884" s="1">
        <v>0.129328528560886</v>
      </c>
      <c r="I1884" s="1">
        <v>146.48247335958999</v>
      </c>
      <c r="J1884" s="1">
        <v>14.932789336565699</v>
      </c>
      <c r="K1884" s="1"/>
      <c r="L1884" s="1"/>
      <c r="M1884" s="1"/>
      <c r="N1884" s="1"/>
      <c r="O1884" s="1"/>
      <c r="P1884" s="1"/>
      <c r="Q1884" s="1">
        <v>14.045940729188301</v>
      </c>
      <c r="R1884" s="1">
        <v>281</v>
      </c>
      <c r="S1884" t="s">
        <v>9</v>
      </c>
    </row>
    <row r="1885" spans="1:19" x14ac:dyDescent="0.55000000000000004">
      <c r="A1885" t="s">
        <v>38</v>
      </c>
      <c r="B1885">
        <v>1994</v>
      </c>
      <c r="C1885">
        <v>157</v>
      </c>
      <c r="D1885" s="2">
        <v>0</v>
      </c>
      <c r="E1885" s="3">
        <v>157</v>
      </c>
      <c r="F1885" t="s">
        <v>12</v>
      </c>
      <c r="G1885" t="s">
        <v>12</v>
      </c>
      <c r="H1885" s="1">
        <v>0</v>
      </c>
      <c r="I1885" s="1">
        <v>589.59902310147095</v>
      </c>
      <c r="J1885" s="1">
        <v>0.85613757212354302</v>
      </c>
      <c r="K1885" s="1"/>
      <c r="L1885" s="1"/>
      <c r="M1885" s="1"/>
      <c r="N1885" s="1"/>
      <c r="O1885" s="1"/>
      <c r="P1885" s="1"/>
      <c r="Q1885" s="1">
        <v>-316.45712711424102</v>
      </c>
      <c r="R1885" s="1">
        <v>1064</v>
      </c>
      <c r="S1885" t="s">
        <v>9</v>
      </c>
    </row>
    <row r="1886" spans="1:19" x14ac:dyDescent="0.55000000000000004">
      <c r="A1886" t="s">
        <v>38</v>
      </c>
      <c r="B1886">
        <v>1992</v>
      </c>
      <c r="C1886">
        <v>92</v>
      </c>
      <c r="D1886" s="2">
        <v>0</v>
      </c>
      <c r="E1886" s="3">
        <v>92</v>
      </c>
      <c r="F1886" t="s">
        <v>12</v>
      </c>
      <c r="G1886" t="s">
        <v>12</v>
      </c>
      <c r="H1886" s="1">
        <v>25.913663659485501</v>
      </c>
      <c r="I1886" s="1">
        <v>994.37733021081499</v>
      </c>
      <c r="J1886" s="1"/>
      <c r="K1886" s="1"/>
      <c r="L1886" s="1"/>
      <c r="M1886" s="1"/>
      <c r="N1886" s="1"/>
      <c r="O1886" s="1"/>
      <c r="P1886" s="1"/>
      <c r="Q1886" s="1">
        <v>-300.03428697566898</v>
      </c>
      <c r="R1886" s="1">
        <v>1412</v>
      </c>
      <c r="S1886" t="s">
        <v>9</v>
      </c>
    </row>
    <row r="1887" spans="1:19" x14ac:dyDescent="0.55000000000000004">
      <c r="A1887" t="s">
        <v>38</v>
      </c>
      <c r="B1887">
        <v>1991</v>
      </c>
      <c r="C1887">
        <v>634</v>
      </c>
      <c r="D1887" s="2">
        <v>0</v>
      </c>
      <c r="E1887" s="3">
        <v>634</v>
      </c>
      <c r="F1887" t="s">
        <v>12</v>
      </c>
      <c r="G1887" t="s">
        <v>12</v>
      </c>
      <c r="H1887" s="1">
        <v>0</v>
      </c>
      <c r="I1887" s="1">
        <v>935.89512411305896</v>
      </c>
      <c r="J1887" s="1">
        <v>11.1420748232796</v>
      </c>
      <c r="K1887" s="1"/>
      <c r="L1887" s="1"/>
      <c r="M1887" s="1"/>
      <c r="N1887" s="1"/>
      <c r="O1887" s="1"/>
      <c r="P1887" s="1"/>
      <c r="Q1887" s="1">
        <v>-193.65400567102</v>
      </c>
      <c r="R1887" s="1">
        <v>1775</v>
      </c>
      <c r="S1887" t="s">
        <v>9</v>
      </c>
    </row>
    <row r="1888" spans="1:19" x14ac:dyDescent="0.55000000000000004">
      <c r="A1888" t="s">
        <v>38</v>
      </c>
      <c r="B1888">
        <v>1990</v>
      </c>
      <c r="C1888">
        <v>0</v>
      </c>
      <c r="D1888" s="2">
        <v>0</v>
      </c>
      <c r="E1888" s="3">
        <v>0</v>
      </c>
      <c r="F1888" t="s">
        <v>12</v>
      </c>
      <c r="G1888" t="s">
        <v>12</v>
      </c>
      <c r="H1888" s="1"/>
      <c r="I1888" s="1"/>
      <c r="J1888" s="1"/>
      <c r="K1888" s="1"/>
      <c r="L1888" s="1"/>
      <c r="M1888" s="1"/>
      <c r="N1888" s="1"/>
      <c r="O1888" s="1"/>
      <c r="P1888" s="1"/>
      <c r="Q1888" s="1">
        <v>0</v>
      </c>
      <c r="R1888" s="1">
        <v>0</v>
      </c>
      <c r="S1888" t="s">
        <v>9</v>
      </c>
    </row>
    <row r="1889" spans="1:19" x14ac:dyDescent="0.55000000000000004">
      <c r="A1889" t="s">
        <v>38</v>
      </c>
      <c r="B1889">
        <v>1989</v>
      </c>
      <c r="C1889">
        <v>391</v>
      </c>
      <c r="D1889" s="2">
        <v>0</v>
      </c>
      <c r="E1889" s="3">
        <v>391</v>
      </c>
      <c r="F1889" t="s">
        <v>12</v>
      </c>
      <c r="G1889" t="s">
        <v>12</v>
      </c>
      <c r="H1889" s="1">
        <v>37.088168932514101</v>
      </c>
      <c r="I1889" s="1">
        <v>5647.4640345711396</v>
      </c>
      <c r="J1889" s="1"/>
      <c r="K1889" s="1"/>
      <c r="L1889" s="1"/>
      <c r="M1889" s="1"/>
      <c r="N1889" s="1"/>
      <c r="O1889" s="1"/>
      <c r="P1889" s="1"/>
      <c r="Q1889" s="1">
        <v>-1552.2677934568601</v>
      </c>
      <c r="R1889" s="1">
        <v>7628</v>
      </c>
      <c r="S1889" t="s">
        <v>9</v>
      </c>
    </row>
    <row r="1890" spans="1:19" x14ac:dyDescent="0.55000000000000004">
      <c r="A1890" t="s">
        <v>38</v>
      </c>
      <c r="B1890">
        <v>1988</v>
      </c>
      <c r="C1890">
        <v>2118</v>
      </c>
      <c r="D1890" s="2">
        <v>15</v>
      </c>
      <c r="E1890" s="3">
        <v>2133</v>
      </c>
      <c r="F1890" t="s">
        <v>12</v>
      </c>
      <c r="G1890" t="s">
        <v>12</v>
      </c>
      <c r="H1890" s="1">
        <v>0</v>
      </c>
      <c r="I1890" s="1">
        <v>7783.4792615755396</v>
      </c>
      <c r="J1890" s="1">
        <v>21.540570417864199</v>
      </c>
      <c r="K1890" s="1"/>
      <c r="L1890" s="1"/>
      <c r="M1890" s="1"/>
      <c r="N1890" s="1"/>
      <c r="O1890" s="1"/>
      <c r="P1890" s="1"/>
      <c r="Q1890" s="1">
        <v>-4958.5529587617102</v>
      </c>
      <c r="R1890" s="1">
        <v>14897</v>
      </c>
      <c r="S1890" t="s">
        <v>9</v>
      </c>
    </row>
    <row r="1891" spans="1:19" x14ac:dyDescent="0.55000000000000004">
      <c r="A1891" t="s">
        <v>38</v>
      </c>
      <c r="B1891">
        <v>1987</v>
      </c>
      <c r="C1891">
        <v>1549</v>
      </c>
      <c r="D1891" s="2">
        <v>8</v>
      </c>
      <c r="E1891" s="3">
        <v>1557</v>
      </c>
      <c r="F1891" t="s">
        <v>12</v>
      </c>
      <c r="G1891" t="s">
        <v>12</v>
      </c>
      <c r="H1891" s="1">
        <v>0</v>
      </c>
      <c r="I1891" s="1">
        <v>1641.8101423370899</v>
      </c>
      <c r="J1891" s="1"/>
      <c r="K1891" s="1"/>
      <c r="L1891" s="1"/>
      <c r="M1891" s="1"/>
      <c r="N1891" s="1"/>
      <c r="O1891" s="1"/>
      <c r="P1891" s="1"/>
      <c r="Q1891" s="1">
        <v>1555.1970281439901</v>
      </c>
      <c r="R1891" s="1">
        <v>3199</v>
      </c>
      <c r="S1891" t="s">
        <v>9</v>
      </c>
    </row>
    <row r="1892" spans="1:19" x14ac:dyDescent="0.55000000000000004">
      <c r="A1892" t="s">
        <v>38</v>
      </c>
      <c r="B1892">
        <v>1986</v>
      </c>
      <c r="C1892">
        <v>1300</v>
      </c>
      <c r="D1892" s="2">
        <v>0</v>
      </c>
      <c r="E1892" s="3">
        <v>1300</v>
      </c>
      <c r="F1892" t="s">
        <v>12</v>
      </c>
      <c r="G1892" t="s">
        <v>12</v>
      </c>
      <c r="H1892" s="1">
        <v>0</v>
      </c>
      <c r="I1892" s="1">
        <v>4565.61990325644</v>
      </c>
      <c r="J1892" s="1">
        <v>27.7133914220455</v>
      </c>
      <c r="K1892" s="1"/>
      <c r="L1892" s="1"/>
      <c r="M1892" s="1"/>
      <c r="N1892" s="1"/>
      <c r="O1892" s="1"/>
      <c r="P1892" s="1"/>
      <c r="Q1892" s="1">
        <v>-1404.7984757053</v>
      </c>
      <c r="R1892" s="1">
        <v>7298</v>
      </c>
      <c r="S1892" t="s">
        <v>9</v>
      </c>
    </row>
    <row r="1893" spans="1:19" x14ac:dyDescent="0.55000000000000004">
      <c r="A1893" t="s">
        <v>38</v>
      </c>
      <c r="B1893">
        <v>1985</v>
      </c>
      <c r="C1893">
        <v>801</v>
      </c>
      <c r="D1893" s="2">
        <v>0</v>
      </c>
      <c r="E1893" s="3">
        <v>801</v>
      </c>
      <c r="F1893" t="s">
        <v>12</v>
      </c>
      <c r="G1893" t="s">
        <v>12</v>
      </c>
      <c r="H1893" s="1">
        <v>3.5821018196761898</v>
      </c>
      <c r="I1893" s="1">
        <v>1107.01310360709</v>
      </c>
      <c r="J1893" s="1">
        <v>12.011210057900501</v>
      </c>
      <c r="K1893" s="1"/>
      <c r="L1893" s="1"/>
      <c r="M1893" s="1"/>
      <c r="N1893" s="1"/>
      <c r="O1893" s="1"/>
      <c r="P1893" s="1"/>
      <c r="Q1893" s="1">
        <v>799.26146801671598</v>
      </c>
      <c r="R1893" s="1">
        <v>1924</v>
      </c>
      <c r="S1893" t="s">
        <v>9</v>
      </c>
    </row>
    <row r="1894" spans="1:19" x14ac:dyDescent="0.55000000000000004">
      <c r="A1894" t="s">
        <v>38</v>
      </c>
      <c r="B1894">
        <v>1984</v>
      </c>
      <c r="C1894">
        <v>266</v>
      </c>
      <c r="D1894" s="2">
        <v>0</v>
      </c>
      <c r="E1894" s="3">
        <v>266</v>
      </c>
      <c r="F1894" t="s">
        <v>12</v>
      </c>
      <c r="G1894" t="s">
        <v>12</v>
      </c>
      <c r="H1894" s="1">
        <v>0</v>
      </c>
      <c r="I1894" s="1">
        <v>2821.8910825264402</v>
      </c>
      <c r="J1894" s="1">
        <v>11.062633081923501</v>
      </c>
      <c r="K1894" s="1"/>
      <c r="L1894" s="1"/>
      <c r="M1894" s="1"/>
      <c r="N1894" s="1"/>
      <c r="O1894" s="1"/>
      <c r="P1894" s="1"/>
      <c r="Q1894" s="1">
        <v>-653.51444856463195</v>
      </c>
      <c r="R1894" s="1">
        <v>3752</v>
      </c>
      <c r="S1894" t="s">
        <v>9</v>
      </c>
    </row>
    <row r="1895" spans="1:19" x14ac:dyDescent="0.55000000000000004">
      <c r="A1895" t="s">
        <v>38</v>
      </c>
      <c r="B1895">
        <v>1983</v>
      </c>
      <c r="C1895">
        <v>943</v>
      </c>
      <c r="D1895" s="2">
        <v>0</v>
      </c>
      <c r="E1895" s="3">
        <v>943</v>
      </c>
      <c r="F1895" t="s">
        <v>12</v>
      </c>
      <c r="G1895" t="s">
        <v>12</v>
      </c>
      <c r="H1895" s="1">
        <v>190.96403527908899</v>
      </c>
      <c r="I1895" s="1">
        <v>5210.6950971271699</v>
      </c>
      <c r="J1895" s="1">
        <v>30.015384983248602</v>
      </c>
      <c r="K1895" s="1"/>
      <c r="L1895" s="1"/>
      <c r="M1895" s="1"/>
      <c r="N1895" s="1"/>
      <c r="O1895" s="1"/>
      <c r="P1895" s="1"/>
      <c r="Q1895" s="1">
        <v>797.22895358282699</v>
      </c>
      <c r="R1895" s="1">
        <v>6375</v>
      </c>
      <c r="S1895" t="s">
        <v>9</v>
      </c>
    </row>
    <row r="1896" spans="1:19" x14ac:dyDescent="0.55000000000000004">
      <c r="A1896" t="s">
        <v>38</v>
      </c>
      <c r="B1896">
        <v>1982</v>
      </c>
      <c r="C1896">
        <v>509</v>
      </c>
      <c r="D1896" s="2">
        <v>6</v>
      </c>
      <c r="E1896" s="3">
        <v>515</v>
      </c>
      <c r="F1896" t="s">
        <v>12</v>
      </c>
      <c r="G1896" t="s">
        <v>12</v>
      </c>
      <c r="H1896" s="1"/>
      <c r="I1896" s="1">
        <v>5613.3639602651001</v>
      </c>
      <c r="J1896" s="1">
        <v>5.8769679135241102</v>
      </c>
      <c r="K1896" s="1"/>
      <c r="L1896" s="1"/>
      <c r="M1896" s="1"/>
      <c r="N1896" s="1"/>
      <c r="O1896" s="1"/>
      <c r="P1896" s="1"/>
      <c r="Q1896" s="1">
        <v>-2131.20515100373</v>
      </c>
      <c r="R1896" s="1">
        <v>8265</v>
      </c>
      <c r="S1896" t="s">
        <v>9</v>
      </c>
    </row>
    <row r="1897" spans="1:19" x14ac:dyDescent="0.55000000000000004">
      <c r="A1897" t="s">
        <v>38</v>
      </c>
      <c r="B1897">
        <v>1981</v>
      </c>
      <c r="C1897">
        <v>572</v>
      </c>
      <c r="D1897" s="2">
        <v>0</v>
      </c>
      <c r="E1897" s="3">
        <v>572</v>
      </c>
      <c r="F1897" t="s">
        <v>12</v>
      </c>
      <c r="G1897" t="s">
        <v>12</v>
      </c>
      <c r="H1897" s="1"/>
      <c r="I1897" s="1">
        <v>2653.79473969832</v>
      </c>
      <c r="J1897" s="1">
        <v>35.651629537847903</v>
      </c>
      <c r="K1897" s="1"/>
      <c r="L1897" s="1"/>
      <c r="M1897" s="1"/>
      <c r="N1897" s="1"/>
      <c r="O1897" s="1"/>
      <c r="P1897" s="1"/>
      <c r="Q1897" s="1">
        <v>-117.966470911654</v>
      </c>
      <c r="R1897" s="1">
        <v>3379</v>
      </c>
      <c r="S1897" t="s">
        <v>9</v>
      </c>
    </row>
    <row r="1898" spans="1:19" x14ac:dyDescent="0.55000000000000004">
      <c r="A1898" t="s">
        <v>38</v>
      </c>
      <c r="B1898">
        <v>1980</v>
      </c>
      <c r="C1898">
        <v>389</v>
      </c>
      <c r="D1898" s="2">
        <v>0</v>
      </c>
      <c r="E1898" s="3">
        <v>389</v>
      </c>
      <c r="F1898" t="s">
        <v>12</v>
      </c>
      <c r="G1898" t="s">
        <v>12</v>
      </c>
      <c r="H1898" s="1"/>
      <c r="I1898" s="1">
        <v>784.47078841973996</v>
      </c>
      <c r="J1898" s="1">
        <v>18.1451171205502</v>
      </c>
      <c r="K1898" s="1"/>
      <c r="L1898" s="1"/>
      <c r="M1898" s="1"/>
      <c r="N1898" s="1"/>
      <c r="O1898" s="1"/>
      <c r="P1898" s="1"/>
      <c r="Q1898" s="1">
        <v>-142.390185300556</v>
      </c>
      <c r="R1898" s="1">
        <v>1334</v>
      </c>
      <c r="S1898" t="s">
        <v>9</v>
      </c>
    </row>
    <row r="1899" spans="1:19" x14ac:dyDescent="0.55000000000000004">
      <c r="A1899" t="s">
        <v>38</v>
      </c>
      <c r="B1899">
        <v>1979</v>
      </c>
      <c r="C1899">
        <v>599</v>
      </c>
      <c r="D1899" s="2">
        <v>0</v>
      </c>
      <c r="E1899" s="3">
        <v>599</v>
      </c>
      <c r="F1899" t="s">
        <v>12</v>
      </c>
      <c r="G1899" t="s">
        <v>12</v>
      </c>
      <c r="H1899" s="1"/>
      <c r="I1899" s="1">
        <v>1324.12103874987</v>
      </c>
      <c r="J1899" s="1">
        <v>37.814060076505498</v>
      </c>
      <c r="K1899" s="1"/>
      <c r="L1899" s="1"/>
      <c r="M1899" s="1"/>
      <c r="N1899" s="1"/>
      <c r="O1899" s="1"/>
      <c r="P1899" s="1"/>
      <c r="Q1899" s="1">
        <v>37.0431617643873</v>
      </c>
      <c r="R1899" s="1">
        <v>1961</v>
      </c>
      <c r="S1899" t="s">
        <v>9</v>
      </c>
    </row>
    <row r="1900" spans="1:19" x14ac:dyDescent="0.55000000000000004">
      <c r="A1900" t="s">
        <v>38</v>
      </c>
      <c r="B1900">
        <v>1978</v>
      </c>
      <c r="C1900">
        <v>1574</v>
      </c>
      <c r="D1900" s="2">
        <v>26</v>
      </c>
      <c r="E1900" s="3">
        <v>1600</v>
      </c>
      <c r="F1900" t="s">
        <v>12</v>
      </c>
      <c r="G1900" t="s">
        <v>12</v>
      </c>
      <c r="H1900" s="1"/>
      <c r="I1900" s="1">
        <v>4113.7800614938396</v>
      </c>
      <c r="J1900" s="1">
        <v>43.1871339794683</v>
      </c>
      <c r="K1900" s="1"/>
      <c r="L1900" s="1"/>
      <c r="M1900" s="1"/>
      <c r="N1900" s="1"/>
      <c r="O1900" s="1"/>
      <c r="P1900" s="1"/>
      <c r="Q1900" s="1">
        <v>193.364916432131</v>
      </c>
      <c r="R1900" s="1">
        <v>5757</v>
      </c>
      <c r="S1900" t="s">
        <v>9</v>
      </c>
    </row>
    <row r="1901" spans="1:19" x14ac:dyDescent="0.55000000000000004">
      <c r="A1901" t="s">
        <v>38</v>
      </c>
      <c r="B1901">
        <v>1977</v>
      </c>
      <c r="C1901">
        <v>422</v>
      </c>
      <c r="D1901" s="2">
        <v>5</v>
      </c>
      <c r="E1901" s="3">
        <v>427</v>
      </c>
      <c r="F1901" t="s">
        <v>12</v>
      </c>
      <c r="G1901" t="s">
        <v>12</v>
      </c>
      <c r="H1901" s="1"/>
      <c r="I1901" s="1">
        <v>1681.31560845281</v>
      </c>
      <c r="J1901" s="1">
        <v>18.880697796634198</v>
      </c>
      <c r="K1901" s="1"/>
      <c r="L1901" s="1"/>
      <c r="M1901" s="1"/>
      <c r="N1901" s="1"/>
      <c r="O1901" s="1"/>
      <c r="P1901" s="1"/>
      <c r="Q1901" s="1">
        <v>-47.025448266022998</v>
      </c>
      <c r="R1901" s="1">
        <v>2174</v>
      </c>
      <c r="S1901" t="s">
        <v>9</v>
      </c>
    </row>
    <row r="1902" spans="1:19" x14ac:dyDescent="0.55000000000000004">
      <c r="A1902" t="s">
        <v>38</v>
      </c>
      <c r="B1902">
        <v>1976</v>
      </c>
      <c r="C1902">
        <v>1366</v>
      </c>
      <c r="D1902" s="2">
        <v>25</v>
      </c>
      <c r="E1902" s="3">
        <v>1391</v>
      </c>
      <c r="F1902" t="s">
        <v>12</v>
      </c>
      <c r="G1902" t="s">
        <v>12</v>
      </c>
      <c r="H1902" s="1"/>
      <c r="I1902" s="1">
        <v>8200.0000000000091</v>
      </c>
      <c r="J1902" s="1">
        <v>40</v>
      </c>
      <c r="K1902" s="1"/>
      <c r="L1902" s="1"/>
      <c r="M1902" s="1"/>
      <c r="N1902" s="1"/>
      <c r="O1902" s="1"/>
      <c r="P1902" s="1"/>
      <c r="Q1902" s="1"/>
      <c r="R1902" s="1">
        <v>9631</v>
      </c>
      <c r="S1902" t="s">
        <v>12</v>
      </c>
    </row>
    <row r="1903" spans="1:19" x14ac:dyDescent="0.55000000000000004">
      <c r="A1903" t="s">
        <v>38</v>
      </c>
      <c r="B1903">
        <v>1975</v>
      </c>
      <c r="C1903">
        <v>911</v>
      </c>
      <c r="D1903" s="2">
        <v>25</v>
      </c>
      <c r="E1903" s="3">
        <v>936</v>
      </c>
      <c r="F1903" t="s">
        <v>12</v>
      </c>
      <c r="G1903" t="s">
        <v>12</v>
      </c>
      <c r="H1903" s="1"/>
      <c r="I1903" s="1">
        <v>3564</v>
      </c>
      <c r="J1903" s="1"/>
      <c r="K1903" s="1"/>
      <c r="L1903" s="1"/>
      <c r="M1903" s="1"/>
      <c r="N1903" s="1"/>
      <c r="O1903" s="1"/>
      <c r="P1903" s="1"/>
      <c r="Q1903" s="1"/>
      <c r="R1903" s="1">
        <v>4500</v>
      </c>
      <c r="S1903" t="s">
        <v>11</v>
      </c>
    </row>
    <row r="1904" spans="1:19" x14ac:dyDescent="0.55000000000000004">
      <c r="A1904" t="s">
        <v>38</v>
      </c>
      <c r="B1904">
        <v>1974</v>
      </c>
      <c r="C1904">
        <v>1632</v>
      </c>
      <c r="D1904" s="2">
        <v>11</v>
      </c>
      <c r="E1904" s="3">
        <v>1643</v>
      </c>
      <c r="F1904" t="s">
        <v>12</v>
      </c>
      <c r="G1904" t="s">
        <v>12</v>
      </c>
      <c r="H1904" s="1"/>
      <c r="I1904" s="1">
        <v>8722.9999999999909</v>
      </c>
      <c r="J1904" s="1"/>
      <c r="K1904" s="1"/>
      <c r="L1904" s="1"/>
      <c r="M1904" s="1"/>
      <c r="N1904" s="1"/>
      <c r="O1904" s="1"/>
      <c r="P1904" s="1"/>
      <c r="Q1904" s="1"/>
      <c r="R1904" s="1">
        <v>10366</v>
      </c>
      <c r="S1904" t="s">
        <v>12</v>
      </c>
    </row>
    <row r="1905" spans="1:19" x14ac:dyDescent="0.55000000000000004">
      <c r="A1905" t="s">
        <v>38</v>
      </c>
      <c r="B1905">
        <v>1973</v>
      </c>
      <c r="C1905">
        <v>427</v>
      </c>
      <c r="D1905" s="2">
        <v>0</v>
      </c>
      <c r="E1905" s="3">
        <v>427</v>
      </c>
      <c r="F1905" t="s">
        <v>12</v>
      </c>
      <c r="G1905" t="s">
        <v>12</v>
      </c>
      <c r="H1905" s="1"/>
      <c r="I1905" s="1">
        <v>2814</v>
      </c>
      <c r="J1905" s="1"/>
      <c r="K1905" s="1"/>
      <c r="L1905" s="1"/>
      <c r="M1905" s="1"/>
      <c r="N1905" s="1"/>
      <c r="O1905" s="1"/>
      <c r="P1905" s="1"/>
      <c r="Q1905" s="1"/>
      <c r="R1905" s="1">
        <v>3241</v>
      </c>
      <c r="S1905" t="s">
        <v>12</v>
      </c>
    </row>
    <row r="1906" spans="1:19" x14ac:dyDescent="0.55000000000000004">
      <c r="A1906" t="s">
        <v>38</v>
      </c>
      <c r="B1906">
        <v>1972</v>
      </c>
      <c r="C1906">
        <v>298</v>
      </c>
      <c r="D1906" s="2">
        <v>4</v>
      </c>
      <c r="E1906" s="3">
        <v>302</v>
      </c>
      <c r="F1906" t="s">
        <v>12</v>
      </c>
      <c r="G1906" t="s">
        <v>12</v>
      </c>
      <c r="H1906" s="1"/>
      <c r="I1906" s="1">
        <v>715.00000000000102</v>
      </c>
      <c r="J1906" s="1"/>
      <c r="K1906" s="1"/>
      <c r="L1906" s="1"/>
      <c r="M1906" s="1"/>
      <c r="N1906" s="1"/>
      <c r="O1906" s="1"/>
      <c r="P1906" s="1"/>
      <c r="Q1906" s="1"/>
      <c r="R1906" s="1">
        <v>1017</v>
      </c>
      <c r="S1906" t="s">
        <v>12</v>
      </c>
    </row>
    <row r="1907" spans="1:19" x14ac:dyDescent="0.55000000000000004">
      <c r="A1907" t="s">
        <v>38</v>
      </c>
      <c r="B1907">
        <v>1971</v>
      </c>
      <c r="C1907">
        <v>394</v>
      </c>
      <c r="D1907" s="2">
        <v>0</v>
      </c>
      <c r="E1907" s="3">
        <v>394</v>
      </c>
      <c r="F1907" t="s">
        <v>12</v>
      </c>
      <c r="G1907" t="s">
        <v>12</v>
      </c>
      <c r="H1907" s="1"/>
      <c r="I1907" s="1">
        <v>4409</v>
      </c>
      <c r="J1907" s="1"/>
      <c r="K1907" s="1"/>
      <c r="L1907" s="1"/>
      <c r="M1907" s="1"/>
      <c r="N1907" s="1"/>
      <c r="O1907" s="1"/>
      <c r="P1907" s="1"/>
      <c r="Q1907" s="1"/>
      <c r="R1907" s="1">
        <v>4803</v>
      </c>
      <c r="S1907" t="s">
        <v>12</v>
      </c>
    </row>
    <row r="1908" spans="1:19" x14ac:dyDescent="0.55000000000000004">
      <c r="A1908" t="s">
        <v>38</v>
      </c>
      <c r="B1908">
        <v>1970</v>
      </c>
      <c r="C1908">
        <v>361</v>
      </c>
      <c r="D1908" s="2">
        <v>3</v>
      </c>
      <c r="E1908" s="3">
        <v>364</v>
      </c>
      <c r="F1908" t="s">
        <v>12</v>
      </c>
      <c r="G1908" t="s">
        <v>12</v>
      </c>
      <c r="H1908" s="1"/>
      <c r="I1908" s="1">
        <v>1736</v>
      </c>
      <c r="J1908" s="1"/>
      <c r="K1908" s="1"/>
      <c r="L1908" s="1"/>
      <c r="M1908" s="1"/>
      <c r="N1908" s="1"/>
      <c r="O1908" s="1"/>
      <c r="P1908" s="1"/>
      <c r="Q1908" s="1"/>
      <c r="R1908" s="1">
        <v>2100</v>
      </c>
      <c r="S1908" t="s">
        <v>12</v>
      </c>
    </row>
    <row r="1909" spans="1:19" x14ac:dyDescent="0.55000000000000004">
      <c r="A1909" t="s">
        <v>38</v>
      </c>
      <c r="B1909">
        <v>1969</v>
      </c>
      <c r="C1909">
        <v>715</v>
      </c>
      <c r="D1909" s="2">
        <v>0</v>
      </c>
      <c r="E1909" s="3">
        <v>715</v>
      </c>
      <c r="F1909" t="s">
        <v>12</v>
      </c>
      <c r="G1909" t="s">
        <v>12</v>
      </c>
      <c r="H1909" s="1"/>
      <c r="I1909" s="1">
        <v>1533</v>
      </c>
      <c r="J1909" s="1"/>
      <c r="K1909" s="1"/>
      <c r="L1909" s="1"/>
      <c r="M1909" s="1"/>
      <c r="N1909" s="1"/>
      <c r="O1909" s="1"/>
      <c r="P1909" s="1"/>
      <c r="Q1909" s="1"/>
      <c r="R1909" s="1">
        <v>2248</v>
      </c>
      <c r="S1909" t="s">
        <v>12</v>
      </c>
    </row>
    <row r="1910" spans="1:19" x14ac:dyDescent="0.55000000000000004">
      <c r="A1910" t="s">
        <v>38</v>
      </c>
      <c r="B1910">
        <v>1968</v>
      </c>
      <c r="C1910">
        <v>1552</v>
      </c>
      <c r="D1910" s="2">
        <v>0</v>
      </c>
      <c r="E1910" s="3">
        <v>1552</v>
      </c>
      <c r="F1910" t="s">
        <v>12</v>
      </c>
      <c r="G1910" t="s">
        <v>12</v>
      </c>
      <c r="H1910" s="1"/>
      <c r="I1910" s="1">
        <v>1458.11061779638</v>
      </c>
      <c r="J1910" s="1"/>
      <c r="K1910" s="1"/>
      <c r="L1910" s="1"/>
      <c r="M1910" s="1"/>
      <c r="N1910" s="1"/>
      <c r="O1910" s="1"/>
      <c r="P1910" s="1"/>
      <c r="Q1910" s="1"/>
      <c r="R1910" s="1">
        <v>3010</v>
      </c>
      <c r="S1910" t="s">
        <v>12</v>
      </c>
    </row>
    <row r="1911" spans="1:19" x14ac:dyDescent="0.55000000000000004">
      <c r="A1911" t="s">
        <v>38</v>
      </c>
      <c r="B1911">
        <v>1967</v>
      </c>
      <c r="C1911">
        <v>998</v>
      </c>
      <c r="D1911" s="2">
        <v>8</v>
      </c>
      <c r="E1911" s="3">
        <v>1006</v>
      </c>
      <c r="F1911" t="s">
        <v>12</v>
      </c>
      <c r="G1911" t="s">
        <v>12</v>
      </c>
      <c r="H1911" s="1"/>
      <c r="I1911" s="1">
        <v>4608</v>
      </c>
      <c r="J1911" s="1"/>
      <c r="K1911" s="1"/>
      <c r="L1911" s="1"/>
      <c r="M1911" s="1"/>
      <c r="N1911" s="1"/>
      <c r="O1911" s="1"/>
      <c r="P1911" s="1"/>
      <c r="Q1911" s="1"/>
      <c r="R1911" s="1">
        <v>5614</v>
      </c>
      <c r="S1911" t="s">
        <v>12</v>
      </c>
    </row>
    <row r="1912" spans="1:19" x14ac:dyDescent="0.55000000000000004">
      <c r="A1912" t="s">
        <v>38</v>
      </c>
      <c r="B1912">
        <v>1966</v>
      </c>
      <c r="C1912">
        <v>866</v>
      </c>
      <c r="D1912" s="2">
        <v>18</v>
      </c>
      <c r="E1912" s="3">
        <v>884</v>
      </c>
      <c r="F1912" t="s">
        <v>12</v>
      </c>
      <c r="G1912" t="s">
        <v>12</v>
      </c>
      <c r="H1912" s="1"/>
      <c r="I1912" s="1">
        <v>1672.37741293103</v>
      </c>
      <c r="J1912" s="1"/>
      <c r="K1912" s="1"/>
      <c r="L1912" s="1"/>
      <c r="M1912" s="1"/>
      <c r="N1912" s="1"/>
      <c r="O1912" s="1"/>
      <c r="P1912" s="1"/>
      <c r="Q1912" s="1"/>
      <c r="R1912" s="1">
        <v>2556</v>
      </c>
      <c r="S1912" t="s">
        <v>12</v>
      </c>
    </row>
    <row r="1913" spans="1:19" x14ac:dyDescent="0.55000000000000004">
      <c r="A1913" t="s">
        <v>38</v>
      </c>
      <c r="B1913">
        <v>1965</v>
      </c>
      <c r="C1913">
        <v>275</v>
      </c>
      <c r="D1913" s="2">
        <v>0</v>
      </c>
      <c r="E1913" s="3">
        <v>275</v>
      </c>
      <c r="F1913" t="s">
        <v>12</v>
      </c>
      <c r="G1913" t="s">
        <v>12</v>
      </c>
      <c r="H1913" s="1"/>
      <c r="I1913" s="1">
        <v>683.40656499023805</v>
      </c>
      <c r="J1913" s="1"/>
      <c r="K1913" s="1"/>
      <c r="L1913" s="1"/>
      <c r="M1913" s="1"/>
      <c r="N1913" s="1"/>
      <c r="O1913" s="1"/>
      <c r="P1913" s="1"/>
      <c r="Q1913" s="1"/>
      <c r="R1913" s="1">
        <v>958</v>
      </c>
      <c r="S1913" t="s">
        <v>12</v>
      </c>
    </row>
    <row r="1914" spans="1:19" x14ac:dyDescent="0.55000000000000004">
      <c r="A1914" t="s">
        <v>38</v>
      </c>
      <c r="B1914">
        <v>1964</v>
      </c>
      <c r="C1914">
        <v>660</v>
      </c>
      <c r="D1914" s="2">
        <v>7</v>
      </c>
      <c r="E1914" s="3">
        <v>667</v>
      </c>
      <c r="F1914" t="s">
        <v>12</v>
      </c>
      <c r="G1914" t="s">
        <v>12</v>
      </c>
      <c r="H1914" s="1"/>
      <c r="I1914" s="1">
        <v>878</v>
      </c>
      <c r="J1914" s="1"/>
      <c r="K1914" s="1"/>
      <c r="L1914" s="1"/>
      <c r="M1914" s="1"/>
      <c r="N1914" s="1"/>
      <c r="O1914" s="1"/>
      <c r="P1914" s="1"/>
      <c r="Q1914" s="1"/>
      <c r="R1914" s="1">
        <v>1545</v>
      </c>
      <c r="S1914" t="s">
        <v>11</v>
      </c>
    </row>
    <row r="1915" spans="1:19" x14ac:dyDescent="0.55000000000000004">
      <c r="A1915" t="s">
        <v>38</v>
      </c>
      <c r="B1915">
        <v>1963</v>
      </c>
      <c r="C1915">
        <v>353</v>
      </c>
      <c r="D1915" s="2">
        <v>0</v>
      </c>
      <c r="E1915" s="3">
        <v>353</v>
      </c>
      <c r="F1915" t="s">
        <v>12</v>
      </c>
      <c r="G1915" t="s">
        <v>12</v>
      </c>
      <c r="H1915" s="1"/>
      <c r="I1915" s="1">
        <v>709.00000000000102</v>
      </c>
      <c r="J1915" s="1"/>
      <c r="K1915" s="1"/>
      <c r="L1915" s="1"/>
      <c r="M1915" s="1"/>
      <c r="N1915" s="1"/>
      <c r="O1915" s="1"/>
      <c r="P1915" s="1"/>
      <c r="Q1915" s="1"/>
      <c r="R1915" s="1">
        <v>1062</v>
      </c>
      <c r="S1915" t="s">
        <v>12</v>
      </c>
    </row>
    <row r="1916" spans="1:19" x14ac:dyDescent="0.55000000000000004">
      <c r="A1916" t="s">
        <v>38</v>
      </c>
      <c r="B1916">
        <v>1962</v>
      </c>
      <c r="C1916">
        <v>599</v>
      </c>
      <c r="D1916" s="2">
        <v>0</v>
      </c>
      <c r="E1916" s="3">
        <v>599</v>
      </c>
      <c r="F1916" t="s">
        <v>12</v>
      </c>
      <c r="G1916" t="s">
        <v>12</v>
      </c>
      <c r="H1916" s="1"/>
      <c r="I1916" s="1">
        <v>875.66859889406896</v>
      </c>
      <c r="J1916" s="1"/>
      <c r="K1916" s="1"/>
      <c r="L1916" s="1"/>
      <c r="M1916" s="1"/>
      <c r="N1916" s="1"/>
      <c r="O1916" s="1"/>
      <c r="P1916" s="1"/>
      <c r="Q1916" s="1"/>
      <c r="R1916" s="1">
        <v>1475</v>
      </c>
      <c r="S1916" t="s">
        <v>12</v>
      </c>
    </row>
    <row r="1917" spans="1:19" x14ac:dyDescent="0.55000000000000004">
      <c r="A1917" t="s">
        <v>38</v>
      </c>
      <c r="B1917">
        <v>1961</v>
      </c>
      <c r="C1917">
        <v>1291</v>
      </c>
      <c r="D1917" s="2">
        <v>2</v>
      </c>
      <c r="E1917" s="3">
        <v>1293</v>
      </c>
      <c r="F1917" t="s">
        <v>12</v>
      </c>
      <c r="G1917" t="s">
        <v>12</v>
      </c>
      <c r="H1917" s="1"/>
      <c r="I1917" s="1">
        <v>710</v>
      </c>
      <c r="J1917" s="1"/>
      <c r="K1917" s="1"/>
      <c r="L1917" s="1"/>
      <c r="M1917" s="1"/>
      <c r="N1917" s="1"/>
      <c r="O1917" s="1"/>
      <c r="P1917" s="1"/>
      <c r="Q1917" s="1"/>
      <c r="R1917" s="1">
        <v>2003</v>
      </c>
      <c r="S1917" t="s">
        <v>12</v>
      </c>
    </row>
    <row r="1918" spans="1:19" x14ac:dyDescent="0.55000000000000004">
      <c r="A1918" t="s">
        <v>38</v>
      </c>
      <c r="B1918">
        <v>1960</v>
      </c>
      <c r="C1918">
        <v>400</v>
      </c>
      <c r="D1918" s="2">
        <v>0</v>
      </c>
      <c r="E1918" s="3">
        <v>400</v>
      </c>
      <c r="F1918" t="s">
        <v>12</v>
      </c>
      <c r="G1918" t="s">
        <v>12</v>
      </c>
      <c r="H1918" s="1"/>
      <c r="I1918" s="1">
        <v>824.99999999999898</v>
      </c>
      <c r="J1918" s="1"/>
      <c r="K1918" s="1"/>
      <c r="L1918" s="1"/>
      <c r="M1918" s="1"/>
      <c r="N1918" s="1"/>
      <c r="O1918" s="1"/>
      <c r="P1918" s="1"/>
      <c r="Q1918" s="1"/>
      <c r="R1918" s="1">
        <v>1225</v>
      </c>
      <c r="S1918" t="s">
        <v>11</v>
      </c>
    </row>
    <row r="1919" spans="1:19" x14ac:dyDescent="0.55000000000000004">
      <c r="A1919" t="s">
        <v>38</v>
      </c>
      <c r="B1919">
        <v>1959</v>
      </c>
      <c r="C1919">
        <v>622</v>
      </c>
      <c r="D1919" s="2">
        <v>15</v>
      </c>
      <c r="E1919" s="3">
        <v>637</v>
      </c>
      <c r="F1919" t="s">
        <v>12</v>
      </c>
      <c r="G1919" t="s">
        <v>12</v>
      </c>
      <c r="H1919" s="1"/>
      <c r="I1919" s="1">
        <v>6558</v>
      </c>
      <c r="J1919" s="1">
        <v>1</v>
      </c>
      <c r="K1919" s="1"/>
      <c r="L1919" s="1"/>
      <c r="M1919" s="1"/>
      <c r="N1919" s="1"/>
      <c r="O1919" s="1"/>
      <c r="P1919" s="1"/>
      <c r="Q1919" s="1"/>
      <c r="R1919" s="1">
        <v>7196</v>
      </c>
      <c r="S1919" t="s">
        <v>12</v>
      </c>
    </row>
    <row r="1920" spans="1:19" x14ac:dyDescent="0.55000000000000004">
      <c r="A1920" t="s">
        <v>38</v>
      </c>
      <c r="B1920">
        <v>1958</v>
      </c>
      <c r="C1920">
        <v>653</v>
      </c>
      <c r="D1920" s="2">
        <v>40</v>
      </c>
      <c r="E1920" s="3">
        <v>693</v>
      </c>
      <c r="F1920" t="s">
        <v>12</v>
      </c>
      <c r="G1920" t="s">
        <v>12</v>
      </c>
      <c r="H1920" s="1"/>
      <c r="I1920" s="1">
        <v>1602</v>
      </c>
      <c r="J1920" s="1"/>
      <c r="K1920" s="1"/>
      <c r="L1920" s="1"/>
      <c r="M1920" s="1"/>
      <c r="N1920" s="1"/>
      <c r="O1920" s="1"/>
      <c r="P1920" s="1"/>
      <c r="Q1920" s="1"/>
      <c r="R1920" s="1">
        <v>2295</v>
      </c>
      <c r="S1920" t="s">
        <v>12</v>
      </c>
    </row>
    <row r="1921" spans="1:19" x14ac:dyDescent="0.55000000000000004">
      <c r="A1921" t="s">
        <v>38</v>
      </c>
      <c r="B1921">
        <v>1957</v>
      </c>
      <c r="C1921">
        <v>1164</v>
      </c>
      <c r="D1921" s="2">
        <v>36</v>
      </c>
      <c r="E1921" s="3">
        <v>1200</v>
      </c>
      <c r="F1921" t="s">
        <v>12</v>
      </c>
      <c r="G1921" t="s">
        <v>12</v>
      </c>
      <c r="H1921" s="1"/>
      <c r="I1921" s="1">
        <v>8728.4006359300492</v>
      </c>
      <c r="J1921" s="1"/>
      <c r="K1921" s="1"/>
      <c r="L1921" s="1"/>
      <c r="M1921" s="1"/>
      <c r="N1921" s="1"/>
      <c r="O1921" s="1"/>
      <c r="P1921" s="1"/>
      <c r="Q1921" s="1"/>
      <c r="R1921" s="1">
        <v>9928</v>
      </c>
      <c r="S1921" t="s">
        <v>12</v>
      </c>
    </row>
    <row r="1922" spans="1:19" x14ac:dyDescent="0.55000000000000004">
      <c r="A1922" t="s">
        <v>38</v>
      </c>
      <c r="B1922">
        <v>1956</v>
      </c>
      <c r="C1922">
        <v>919</v>
      </c>
      <c r="D1922" s="2">
        <v>81</v>
      </c>
      <c r="E1922" s="3">
        <v>1000</v>
      </c>
      <c r="F1922" t="s">
        <v>12</v>
      </c>
      <c r="G1922" t="s">
        <v>12</v>
      </c>
      <c r="H1922" s="1"/>
      <c r="I1922" s="1">
        <v>2816</v>
      </c>
      <c r="J1922" s="1"/>
      <c r="K1922" s="1"/>
      <c r="L1922" s="1"/>
      <c r="M1922" s="1"/>
      <c r="N1922" s="1"/>
      <c r="O1922" s="1"/>
      <c r="P1922" s="1"/>
      <c r="Q1922" s="1"/>
      <c r="R1922" s="1">
        <v>3816</v>
      </c>
      <c r="S1922" t="s">
        <v>12</v>
      </c>
    </row>
    <row r="1923" spans="1:19" x14ac:dyDescent="0.55000000000000004">
      <c r="A1923" t="s">
        <v>38</v>
      </c>
      <c r="B1923">
        <v>1955</v>
      </c>
      <c r="C1923">
        <v>100</v>
      </c>
      <c r="D1923" s="2">
        <v>0</v>
      </c>
      <c r="E1923" s="3">
        <v>100</v>
      </c>
      <c r="F1923" t="s">
        <v>12</v>
      </c>
      <c r="G1923" t="s">
        <v>12</v>
      </c>
      <c r="H1923" s="1"/>
      <c r="I1923" s="1">
        <v>720.07023705004201</v>
      </c>
      <c r="J1923" s="1"/>
      <c r="K1923" s="1"/>
      <c r="L1923" s="1"/>
      <c r="M1923" s="1"/>
      <c r="N1923" s="1"/>
      <c r="O1923" s="1"/>
      <c r="P1923" s="1"/>
      <c r="Q1923" s="1"/>
      <c r="R1923" s="1">
        <v>820</v>
      </c>
      <c r="S1923" t="s">
        <v>11</v>
      </c>
    </row>
    <row r="1924" spans="1:19" x14ac:dyDescent="0.55000000000000004">
      <c r="A1924" t="s">
        <v>38</v>
      </c>
      <c r="B1924">
        <v>1954</v>
      </c>
      <c r="C1924">
        <v>1000</v>
      </c>
      <c r="D1924" s="2">
        <v>0</v>
      </c>
      <c r="E1924" s="3">
        <v>1000</v>
      </c>
      <c r="F1924" t="s">
        <v>12</v>
      </c>
      <c r="G1924" t="s">
        <v>12</v>
      </c>
      <c r="H1924" s="1"/>
      <c r="I1924" s="1">
        <v>5349.9490662139197</v>
      </c>
      <c r="J1924" s="1"/>
      <c r="K1924" s="1"/>
      <c r="L1924" s="1"/>
      <c r="M1924" s="1"/>
      <c r="N1924" s="1"/>
      <c r="O1924" s="1"/>
      <c r="P1924" s="1"/>
      <c r="Q1924" s="1"/>
      <c r="R1924" s="1">
        <v>6350</v>
      </c>
      <c r="S1924" t="s">
        <v>12</v>
      </c>
    </row>
    <row r="1925" spans="1:19" x14ac:dyDescent="0.55000000000000004">
      <c r="A1925" t="s">
        <v>38</v>
      </c>
      <c r="B1925">
        <v>1953</v>
      </c>
      <c r="C1925">
        <v>1464</v>
      </c>
      <c r="D1925" s="2">
        <v>30</v>
      </c>
      <c r="E1925" s="3">
        <v>1494</v>
      </c>
      <c r="F1925" t="s">
        <v>12</v>
      </c>
      <c r="G1925" t="s">
        <v>12</v>
      </c>
      <c r="H1925" s="1"/>
      <c r="I1925" s="1">
        <v>6187</v>
      </c>
      <c r="J1925" s="1"/>
      <c r="K1925" s="1"/>
      <c r="L1925" s="1"/>
      <c r="M1925" s="1"/>
      <c r="N1925" s="1"/>
      <c r="O1925" s="1"/>
      <c r="P1925" s="1"/>
      <c r="Q1925" s="1"/>
      <c r="R1925" s="1">
        <v>7681</v>
      </c>
      <c r="S1925" t="s">
        <v>12</v>
      </c>
    </row>
    <row r="1926" spans="1:19" x14ac:dyDescent="0.55000000000000004">
      <c r="A1926" t="s">
        <v>38</v>
      </c>
      <c r="B1926">
        <v>1952</v>
      </c>
      <c r="C1926">
        <v>1311</v>
      </c>
      <c r="D1926" s="2">
        <v>122</v>
      </c>
      <c r="E1926" s="3">
        <v>1433</v>
      </c>
      <c r="F1926" t="s">
        <v>12</v>
      </c>
      <c r="G1926" t="s">
        <v>12</v>
      </c>
      <c r="H1926" s="1"/>
      <c r="I1926" s="1">
        <v>4101</v>
      </c>
      <c r="J1926" s="1"/>
      <c r="K1926" s="1"/>
      <c r="L1926" s="1"/>
      <c r="M1926" s="1"/>
      <c r="N1926" s="1"/>
      <c r="O1926" s="1"/>
      <c r="P1926" s="1"/>
      <c r="Q1926" s="1"/>
      <c r="R1926" s="1">
        <v>5534</v>
      </c>
      <c r="S1926" t="s">
        <v>12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5B3BD-F7A7-4E73-9438-80BA307C8038}">
  <dimension ref="A1:AP83"/>
  <sheetViews>
    <sheetView tabSelected="1" topLeftCell="AA1" workbookViewId="0">
      <selection activeCell="AI6" sqref="AI6"/>
    </sheetView>
  </sheetViews>
  <sheetFormatPr defaultRowHeight="14.4" x14ac:dyDescent="0.55000000000000004"/>
  <cols>
    <col min="1" max="1" width="12.05078125" bestFit="1" customWidth="1"/>
    <col min="2" max="2" width="21.578125" bestFit="1" customWidth="1"/>
    <col min="3" max="3" width="20.41796875" bestFit="1" customWidth="1"/>
    <col min="4" max="4" width="73.7890625" bestFit="1" customWidth="1"/>
    <col min="5" max="5" width="12.26171875" bestFit="1" customWidth="1"/>
    <col min="6" max="6" width="43.734375" bestFit="1" customWidth="1"/>
    <col min="7" max="7" width="23.7890625" bestFit="1" customWidth="1"/>
    <col min="8" max="8" width="17.05078125" bestFit="1" customWidth="1"/>
    <col min="9" max="9" width="13.578125" bestFit="1" customWidth="1"/>
    <col min="10" max="10" width="11.47265625" customWidth="1"/>
    <col min="11" max="11" width="10.26171875" customWidth="1"/>
    <col min="12" max="12" width="12.7890625" customWidth="1"/>
    <col min="13" max="13" width="13.578125" customWidth="1"/>
    <col min="27" max="27" width="11.578125" bestFit="1" customWidth="1"/>
    <col min="30" max="30" width="11.578125" bestFit="1" customWidth="1"/>
    <col min="34" max="34" width="13.3125" bestFit="1" customWidth="1"/>
    <col min="35" max="35" width="11.68359375" bestFit="1" customWidth="1"/>
    <col min="36" max="36" width="12.26171875" bestFit="1" customWidth="1"/>
    <col min="37" max="38" width="12.3125" bestFit="1" customWidth="1"/>
    <col min="39" max="39" width="11.62890625" bestFit="1" customWidth="1"/>
    <col min="41" max="41" width="12.15625" bestFit="1" customWidth="1"/>
  </cols>
  <sheetData>
    <row r="1" spans="1:42" x14ac:dyDescent="0.55000000000000004">
      <c r="A1" s="7" t="s">
        <v>0</v>
      </c>
      <c r="B1" t="s">
        <v>18</v>
      </c>
      <c r="R1" t="s">
        <v>138</v>
      </c>
      <c r="S1">
        <f>AVERAGE(Q4:Q75)</f>
        <v>0.4194194564772743</v>
      </c>
      <c r="T1" t="s">
        <v>139</v>
      </c>
      <c r="U1">
        <f>1-S1</f>
        <v>0.5805805435227257</v>
      </c>
      <c r="V1" t="s">
        <v>145</v>
      </c>
      <c r="W1">
        <f>AVERAGE(W4:W71)</f>
        <v>78784.073529411762</v>
      </c>
      <c r="X1" t="s">
        <v>63</v>
      </c>
      <c r="Y1">
        <f>INTERCEPT(Y4:Y71,W4:W71)</f>
        <v>1.5457088796163612</v>
      </c>
      <c r="Z1" t="s">
        <v>147</v>
      </c>
      <c r="AA1">
        <f>ybar+rb*sbar</f>
        <v>1.5457088796163612</v>
      </c>
      <c r="AC1" t="s">
        <v>106</v>
      </c>
      <c r="AD1" t="str">
        <f>B1</f>
        <v>Early Stuart</v>
      </c>
      <c r="AH1" t="s">
        <v>108</v>
      </c>
      <c r="AI1">
        <v>1</v>
      </c>
      <c r="AJ1">
        <v>2</v>
      </c>
      <c r="AK1">
        <v>3</v>
      </c>
      <c r="AL1">
        <v>4</v>
      </c>
      <c r="AM1" t="s">
        <v>144</v>
      </c>
    </row>
    <row r="2" spans="1:42" x14ac:dyDescent="0.55000000000000004">
      <c r="A2" t="s">
        <v>131</v>
      </c>
      <c r="B2" s="8">
        <f ca="1">AK4</f>
        <v>1.6510805455059772E-5</v>
      </c>
      <c r="C2" s="22">
        <f ca="1">AL4</f>
        <v>8.8724465811606867E-6</v>
      </c>
      <c r="D2" s="20" t="s">
        <v>114</v>
      </c>
      <c r="E2" s="15"/>
      <c r="F2" s="15"/>
      <c r="G2" s="15"/>
      <c r="Q2" t="str">
        <f>B1</f>
        <v>Early Stuart</v>
      </c>
      <c r="R2" t="s">
        <v>140</v>
      </c>
      <c r="S2">
        <f>AVERAGE(Y4:Y71)</f>
        <v>1.3488863623446452</v>
      </c>
      <c r="T2" t="s">
        <v>141</v>
      </c>
      <c r="U2">
        <f>LN(1/U1)</f>
        <v>0.54372673893705081</v>
      </c>
      <c r="V2" t="s">
        <v>146</v>
      </c>
      <c r="W2">
        <f>AVERAGE(Y4:Y71)</f>
        <v>1.3488863623446452</v>
      </c>
      <c r="X2" t="s">
        <v>64</v>
      </c>
      <c r="Y2">
        <f>-SLOPE(Y4:Y71,W4:W71)</f>
        <v>2.4982526093708249E-6</v>
      </c>
      <c r="Z2" t="s">
        <v>148</v>
      </c>
      <c r="AA2">
        <f>(AA1-ybar)/sbar</f>
        <v>2.4982526093708262E-6</v>
      </c>
      <c r="AC2" t="s">
        <v>82</v>
      </c>
      <c r="AH2" t="s">
        <v>112</v>
      </c>
      <c r="AI2" s="21">
        <f ca="1">AVERAGE(AI10:AI26)</f>
        <v>38205.23529411765</v>
      </c>
      <c r="AJ2" s="21">
        <f ca="1">AVERAGE(AK10:AK26)</f>
        <v>192332.9411764706</v>
      </c>
      <c r="AK2" s="21">
        <f ca="1">AVERAGE(AM10:AM26)</f>
        <v>39011.941176470587</v>
      </c>
      <c r="AL2" s="21">
        <f ca="1">AVERAGE(AO10:AO25)</f>
        <v>48429.75</v>
      </c>
      <c r="AM2" s="21">
        <f ca="1">AVERAGE(AI2:AL2)</f>
        <v>79494.966911764714</v>
      </c>
    </row>
    <row r="3" spans="1:42" x14ac:dyDescent="0.55000000000000004">
      <c r="A3" s="7" t="s">
        <v>48</v>
      </c>
      <c r="B3" t="s">
        <v>50</v>
      </c>
      <c r="C3" t="s">
        <v>105</v>
      </c>
      <c r="D3" t="s">
        <v>53</v>
      </c>
      <c r="E3" t="s">
        <v>52</v>
      </c>
      <c r="F3" t="s">
        <v>54</v>
      </c>
      <c r="G3" t="s">
        <v>55</v>
      </c>
      <c r="H3" t="s">
        <v>56</v>
      </c>
      <c r="I3" t="s">
        <v>51</v>
      </c>
      <c r="K3" s="15" t="s">
        <v>81</v>
      </c>
      <c r="N3" t="s">
        <v>1</v>
      </c>
      <c r="O3" t="s">
        <v>57</v>
      </c>
      <c r="P3" t="s">
        <v>58</v>
      </c>
      <c r="Q3" t="s">
        <v>75</v>
      </c>
      <c r="R3" t="s">
        <v>66</v>
      </c>
      <c r="S3" t="s">
        <v>72</v>
      </c>
      <c r="T3" t="s">
        <v>59</v>
      </c>
      <c r="U3" t="s">
        <v>60</v>
      </c>
      <c r="V3" t="s">
        <v>73</v>
      </c>
      <c r="W3" t="s">
        <v>80</v>
      </c>
      <c r="X3" t="s">
        <v>61</v>
      </c>
      <c r="Y3" t="s">
        <v>62</v>
      </c>
      <c r="Z3" t="s">
        <v>65</v>
      </c>
      <c r="AB3" t="s">
        <v>1</v>
      </c>
      <c r="AC3" t="s">
        <v>67</v>
      </c>
      <c r="AD3" t="s">
        <v>68</v>
      </c>
      <c r="AE3" t="s">
        <v>69</v>
      </c>
      <c r="AF3" t="s">
        <v>76</v>
      </c>
      <c r="AH3" t="s">
        <v>110</v>
      </c>
      <c r="AI3">
        <f ca="1">INTERCEPT(AJ10:AJ26,AI10:AI26)</f>
        <v>1.6763366529562145</v>
      </c>
      <c r="AJ3">
        <f ca="1">INTERCEPT(AL10:AL26,AK10:AK26)</f>
        <v>1.2121712395792803</v>
      </c>
      <c r="AK3">
        <f ca="1">INTERCEPT(AN10:AN26,AM10:AM26)</f>
        <v>1.9284517261368515</v>
      </c>
      <c r="AL3">
        <f ca="1">INTERCEPT(AP10:AP25,AO10:AO25)</f>
        <v>1.8432436419201681</v>
      </c>
      <c r="AM3" s="25">
        <f t="shared" ref="AM3:AM7" ca="1" si="0">AVERAGE(AI3:AL3)</f>
        <v>1.6650508151481285</v>
      </c>
    </row>
    <row r="4" spans="1:42" x14ac:dyDescent="0.55000000000000004">
      <c r="A4" s="8">
        <v>1952</v>
      </c>
      <c r="B4" s="9">
        <v>30191</v>
      </c>
      <c r="C4" s="9">
        <v>3391</v>
      </c>
      <c r="D4" s="9">
        <v>33582</v>
      </c>
      <c r="E4" s="9"/>
      <c r="F4" s="9">
        <v>151461</v>
      </c>
      <c r="G4" s="9">
        <v>6670.99999999999</v>
      </c>
      <c r="H4" s="9"/>
      <c r="I4" s="9">
        <v>191714</v>
      </c>
      <c r="J4" s="9"/>
      <c r="K4" s="15" t="s">
        <v>70</v>
      </c>
      <c r="L4" s="15">
        <v>0.3</v>
      </c>
      <c r="M4" s="9"/>
      <c r="N4">
        <f>A4</f>
        <v>1952</v>
      </c>
      <c r="O4">
        <f>I4-C4</f>
        <v>188323</v>
      </c>
      <c r="P4">
        <f>F4+G4</f>
        <v>158132</v>
      </c>
      <c r="Q4">
        <f>MIN(0.95,P4/O4)</f>
        <v>0.8396850092659951</v>
      </c>
      <c r="R4">
        <f>MIN(1,MAX(0.0001,W4/O4/(1-Q4)))</f>
        <v>0.99999999999999978</v>
      </c>
      <c r="S4">
        <f>1-R4</f>
        <v>0</v>
      </c>
      <c r="T4">
        <f>O4-(P4+B4)</f>
        <v>0</v>
      </c>
      <c r="U4">
        <f>-E4</f>
        <v>0</v>
      </c>
      <c r="V4">
        <f>T4/(O4-P4)</f>
        <v>0</v>
      </c>
      <c r="W4">
        <f>B4</f>
        <v>30191</v>
      </c>
      <c r="X4">
        <f>O8</f>
        <v>86570</v>
      </c>
      <c r="Y4">
        <f>IF(AND(W4&gt;0,X4&gt;0),LN(X4/W4),0)</f>
        <v>1.0534094685066628</v>
      </c>
      <c r="Z4">
        <f t="shared" ref="Z4:Z35" si="1">Y4-(ra-rb*W4)</f>
        <v>-0.41687466658018368</v>
      </c>
      <c r="AB4">
        <v>1952</v>
      </c>
      <c r="AC4" s="13">
        <f>O4</f>
        <v>188323</v>
      </c>
      <c r="AD4">
        <f t="shared" ref="AD4:AD35" si="2">IF(AND(useretro,N4&gt;=yrretro),retroU,Q4)</f>
        <v>0.8396850092659951</v>
      </c>
      <c r="AE4">
        <f>AC4*(1-AD4)*R4</f>
        <v>30190.999999999996</v>
      </c>
      <c r="AF4">
        <f>AC4*AD4</f>
        <v>158132</v>
      </c>
      <c r="AH4" t="s">
        <v>111</v>
      </c>
      <c r="AI4">
        <f ca="1">-SLOPE(AJ10:AJ26,AI10:AI26)</f>
        <v>7.6817815109813172E-6</v>
      </c>
      <c r="AJ4">
        <f ca="1">-SLOPE(AL10:AL26,AK10:AK26)</f>
        <v>7.7799468597037979E-7</v>
      </c>
      <c r="AK4">
        <f ca="1">-SLOPE(AN10:AN26,AM10:AM26)</f>
        <v>1.6510805455059772E-5</v>
      </c>
      <c r="AL4">
        <f ca="1">-SLOPE(AP10:AP25,AO10:AO25)</f>
        <v>8.8724465811606867E-6</v>
      </c>
      <c r="AM4" s="24">
        <f t="shared" ca="1" si="0"/>
        <v>8.4607570582930389E-6</v>
      </c>
    </row>
    <row r="5" spans="1:42" x14ac:dyDescent="0.55000000000000004">
      <c r="A5" s="8">
        <v>1953</v>
      </c>
      <c r="B5" s="9">
        <v>154036</v>
      </c>
      <c r="C5" s="9">
        <v>276</v>
      </c>
      <c r="D5" s="9">
        <v>154312</v>
      </c>
      <c r="E5" s="9"/>
      <c r="F5" s="9">
        <v>783524</v>
      </c>
      <c r="G5" s="9">
        <v>27427</v>
      </c>
      <c r="H5" s="9"/>
      <c r="I5" s="9">
        <v>965263</v>
      </c>
      <c r="J5" s="9"/>
      <c r="K5" s="15" t="s">
        <v>71</v>
      </c>
      <c r="L5" s="15" t="b">
        <v>1</v>
      </c>
      <c r="M5" s="9"/>
      <c r="N5">
        <f t="shared" ref="N5:N68" si="3">A5</f>
        <v>1953</v>
      </c>
      <c r="O5">
        <f t="shared" ref="O5:O68" si="4">I5-C5</f>
        <v>964987</v>
      </c>
      <c r="P5">
        <f t="shared" ref="P5:P68" si="5">F5+G5</f>
        <v>810951</v>
      </c>
      <c r="Q5">
        <f t="shared" ref="Q5:Q68" si="6">MIN(0.95,P5/O5)</f>
        <v>0.84037505168463411</v>
      </c>
      <c r="R5">
        <f t="shared" ref="R5:R68" si="7">MIN(1,MAX(0.0001,W5/O5/(1-Q5)))</f>
        <v>1</v>
      </c>
      <c r="S5">
        <f t="shared" ref="S5:S68" si="8">1-R5</f>
        <v>0</v>
      </c>
      <c r="T5">
        <f t="shared" ref="T5:T68" si="9">O5-(P5+B5)</f>
        <v>0</v>
      </c>
      <c r="U5">
        <f t="shared" ref="U5:U68" si="10">-E5</f>
        <v>0</v>
      </c>
      <c r="V5">
        <f t="shared" ref="V5:V68" si="11">T5/(O5-P5)</f>
        <v>0</v>
      </c>
      <c r="W5">
        <f t="shared" ref="W5:W68" si="12">B5</f>
        <v>154036</v>
      </c>
      <c r="X5">
        <f t="shared" ref="X5:X68" si="13">O9</f>
        <v>516476</v>
      </c>
      <c r="Y5">
        <f t="shared" ref="Y5:Y68" si="14">IF(AND(W5&gt;0,X5&gt;0),LN(X5/W5),0)</f>
        <v>1.2098424795496308</v>
      </c>
      <c r="Z5">
        <f t="shared" si="1"/>
        <v>4.8954438870314032E-2</v>
      </c>
      <c r="AB5">
        <v>1953</v>
      </c>
      <c r="AC5" s="13">
        <f t="shared" ref="AC5:AC7" si="15">O5</f>
        <v>964987</v>
      </c>
      <c r="AD5">
        <f t="shared" si="2"/>
        <v>0.84037505168463411</v>
      </c>
      <c r="AE5">
        <f t="shared" ref="AE5:AE68" si="16">AC5*(1-AD5)*R5</f>
        <v>154035.99999999997</v>
      </c>
      <c r="AF5">
        <f t="shared" ref="AF5:AF68" si="17">AC5*AD5</f>
        <v>810951</v>
      </c>
      <c r="AH5" t="s">
        <v>113</v>
      </c>
      <c r="AI5" s="21">
        <f ca="1">IF(AI4&gt;0,AI3/AI4,1)</f>
        <v>218222.3811702852</v>
      </c>
      <c r="AJ5" s="21">
        <f t="shared" ref="AJ5:AL5" ca="1" si="18">IF(AJ4&gt;0,AJ3/AJ4,1)</f>
        <v>1558071.361460984</v>
      </c>
      <c r="AK5" s="21">
        <f t="shared" ca="1" si="18"/>
        <v>116799.37307636758</v>
      </c>
      <c r="AL5" s="21">
        <f t="shared" ca="1" si="18"/>
        <v>207749.19578935762</v>
      </c>
      <c r="AM5" s="21">
        <f t="shared" ca="1" si="0"/>
        <v>525210.57787424861</v>
      </c>
    </row>
    <row r="6" spans="1:42" x14ac:dyDescent="0.55000000000000004">
      <c r="A6" s="8">
        <v>1954</v>
      </c>
      <c r="B6" s="9">
        <v>35050</v>
      </c>
      <c r="C6" s="9">
        <v>8</v>
      </c>
      <c r="D6" s="9">
        <v>35058</v>
      </c>
      <c r="E6" s="9"/>
      <c r="F6" s="9">
        <v>177838</v>
      </c>
      <c r="G6" s="9">
        <v>8673</v>
      </c>
      <c r="H6" s="9"/>
      <c r="I6" s="9">
        <v>221569</v>
      </c>
      <c r="J6" s="9"/>
      <c r="K6" s="15" t="s">
        <v>74</v>
      </c>
      <c r="L6" s="15">
        <v>1990</v>
      </c>
      <c r="M6" s="9"/>
      <c r="N6">
        <f t="shared" si="3"/>
        <v>1954</v>
      </c>
      <c r="O6">
        <f t="shared" si="4"/>
        <v>221561</v>
      </c>
      <c r="P6">
        <f t="shared" si="5"/>
        <v>186511</v>
      </c>
      <c r="Q6">
        <f t="shared" si="6"/>
        <v>0.8418042886609105</v>
      </c>
      <c r="R6">
        <f t="shared" si="7"/>
        <v>0.99999999999999978</v>
      </c>
      <c r="S6">
        <f t="shared" si="8"/>
        <v>0</v>
      </c>
      <c r="T6">
        <f t="shared" si="9"/>
        <v>0</v>
      </c>
      <c r="U6">
        <f t="shared" si="10"/>
        <v>0</v>
      </c>
      <c r="V6">
        <f t="shared" si="11"/>
        <v>0</v>
      </c>
      <c r="W6">
        <f t="shared" si="12"/>
        <v>35050</v>
      </c>
      <c r="X6">
        <f t="shared" si="13"/>
        <v>157673</v>
      </c>
      <c r="Y6">
        <f t="shared" si="14"/>
        <v>1.5037476546696587</v>
      </c>
      <c r="Z6">
        <f t="shared" si="1"/>
        <v>4.5602529011744997E-2</v>
      </c>
      <c r="AB6">
        <v>1954</v>
      </c>
      <c r="AC6" s="13">
        <f t="shared" si="15"/>
        <v>221561</v>
      </c>
      <c r="AD6">
        <f t="shared" si="2"/>
        <v>0.8418042886609105</v>
      </c>
      <c r="AE6">
        <f t="shared" si="16"/>
        <v>35050</v>
      </c>
      <c r="AF6">
        <f t="shared" si="17"/>
        <v>186511</v>
      </c>
      <c r="AH6" t="s">
        <v>142</v>
      </c>
      <c r="AI6" s="24">
        <f ca="1">(AI3-AVERAGE(AJ10:AJ26))/AI2</f>
        <v>7.6817815109813155E-6</v>
      </c>
      <c r="AJ6" s="24">
        <f ca="1">(AJ3-AVERAGE(AL10:AL26))/AJ2</f>
        <v>7.7799468597037989E-7</v>
      </c>
      <c r="AK6" s="24">
        <f ca="1">(AK3-AVERAGE(AN10:AN26))/AK2</f>
        <v>1.6510805455059769E-5</v>
      </c>
      <c r="AL6" s="24">
        <f ca="1">(AL3-AVERAGE(AP10:AP26))/AL2</f>
        <v>3.663470568144587E-6</v>
      </c>
      <c r="AM6" s="24">
        <f t="shared" ca="1" si="0"/>
        <v>7.1585130550390124E-6</v>
      </c>
    </row>
    <row r="7" spans="1:42" x14ac:dyDescent="0.55000000000000004">
      <c r="A7" s="8">
        <v>1955</v>
      </c>
      <c r="B7" s="9">
        <v>2159</v>
      </c>
      <c r="C7" s="9">
        <v>11</v>
      </c>
      <c r="D7" s="9">
        <v>2170</v>
      </c>
      <c r="E7" s="9"/>
      <c r="F7" s="9">
        <v>112180</v>
      </c>
      <c r="G7" s="9">
        <v>1357</v>
      </c>
      <c r="H7" s="9"/>
      <c r="I7" s="9">
        <v>139809</v>
      </c>
      <c r="J7" s="9"/>
      <c r="K7" s="15"/>
      <c r="L7" s="15"/>
      <c r="M7" s="9"/>
      <c r="N7">
        <f t="shared" si="3"/>
        <v>1955</v>
      </c>
      <c r="O7">
        <f t="shared" si="4"/>
        <v>139798</v>
      </c>
      <c r="P7">
        <f t="shared" si="5"/>
        <v>113537</v>
      </c>
      <c r="Q7">
        <f t="shared" si="6"/>
        <v>0.81215038841757392</v>
      </c>
      <c r="R7">
        <f t="shared" si="7"/>
        <v>8.2213167815391647E-2</v>
      </c>
      <c r="S7">
        <f t="shared" si="8"/>
        <v>0.91778683218460833</v>
      </c>
      <c r="T7">
        <f t="shared" si="9"/>
        <v>24102</v>
      </c>
      <c r="U7">
        <f t="shared" si="10"/>
        <v>0</v>
      </c>
      <c r="V7">
        <f t="shared" si="11"/>
        <v>0.91778683218460833</v>
      </c>
      <c r="W7">
        <f t="shared" si="12"/>
        <v>2159</v>
      </c>
      <c r="X7">
        <f t="shared" si="13"/>
        <v>8180</v>
      </c>
      <c r="Y7">
        <f t="shared" si="14"/>
        <v>1.3320469990819854</v>
      </c>
      <c r="Z7">
        <f t="shared" si="1"/>
        <v>-0.20826815315074421</v>
      </c>
      <c r="AB7">
        <v>1955</v>
      </c>
      <c r="AC7" s="13">
        <f t="shared" si="15"/>
        <v>139798</v>
      </c>
      <c r="AD7">
        <f t="shared" si="2"/>
        <v>0.81215038841757392</v>
      </c>
      <c r="AE7">
        <f t="shared" si="16"/>
        <v>2159</v>
      </c>
      <c r="AF7">
        <f t="shared" si="17"/>
        <v>113537</v>
      </c>
      <c r="AH7" t="s">
        <v>143</v>
      </c>
      <c r="AI7" s="23">
        <f ca="1">AVERAGE(AJ10:AJ26)+AI4*AI2</f>
        <v>1.6763366529562145</v>
      </c>
      <c r="AJ7" s="23">
        <f ca="1">AVERAGE(AL10:AL26)+AJ4*AJ2</f>
        <v>1.2121712395792803</v>
      </c>
      <c r="AK7" s="23">
        <f ca="1">AVERAGE(AN10:AN26)+AK4*AK2</f>
        <v>1.9284517261368515</v>
      </c>
      <c r="AL7" s="23">
        <f ca="1">AVERAGE(AP10:AP26)+AL4*AL2</f>
        <v>2.0955130479865347</v>
      </c>
      <c r="AM7" s="25">
        <f t="shared" ca="1" si="0"/>
        <v>1.7281181666647201</v>
      </c>
    </row>
    <row r="8" spans="1:42" x14ac:dyDescent="0.55000000000000004">
      <c r="A8" s="8">
        <v>1956</v>
      </c>
      <c r="B8" s="9">
        <v>25020</v>
      </c>
      <c r="C8" s="9">
        <v>137</v>
      </c>
      <c r="D8" s="9">
        <v>25157</v>
      </c>
      <c r="E8" s="9"/>
      <c r="F8" s="9">
        <v>58473</v>
      </c>
      <c r="G8" s="9">
        <v>3077</v>
      </c>
      <c r="H8" s="9"/>
      <c r="I8" s="9">
        <v>86707</v>
      </c>
      <c r="J8" s="9"/>
      <c r="K8" s="15" t="s">
        <v>77</v>
      </c>
      <c r="L8" s="16">
        <f>SUM(P4:P75)</f>
        <v>11130020.965352369</v>
      </c>
      <c r="M8" s="9"/>
      <c r="N8">
        <f t="shared" si="3"/>
        <v>1956</v>
      </c>
      <c r="O8">
        <f t="shared" si="4"/>
        <v>86570</v>
      </c>
      <c r="P8">
        <f t="shared" si="5"/>
        <v>61550</v>
      </c>
      <c r="Q8">
        <f t="shared" si="6"/>
        <v>0.71098532979092066</v>
      </c>
      <c r="R8">
        <f t="shared" si="7"/>
        <v>1</v>
      </c>
      <c r="S8">
        <f t="shared" si="8"/>
        <v>0</v>
      </c>
      <c r="T8">
        <f t="shared" si="9"/>
        <v>0</v>
      </c>
      <c r="U8">
        <f t="shared" si="10"/>
        <v>0</v>
      </c>
      <c r="V8">
        <f t="shared" si="11"/>
        <v>0</v>
      </c>
      <c r="W8">
        <f t="shared" si="12"/>
        <v>25020</v>
      </c>
      <c r="X8">
        <f t="shared" si="13"/>
        <v>91380</v>
      </c>
      <c r="Y8">
        <f t="shared" si="14"/>
        <v>1.2953511310963604</v>
      </c>
      <c r="Z8">
        <f t="shared" si="1"/>
        <v>-0.18785146823354282</v>
      </c>
      <c r="AB8">
        <v>1956</v>
      </c>
      <c r="AC8" s="4">
        <f t="shared" ref="AC8:AC39" si="19">AE4*EXP(ra-rb*AE4+Z4)</f>
        <v>86569.999999999971</v>
      </c>
      <c r="AD8">
        <f t="shared" si="2"/>
        <v>0.71098532979092066</v>
      </c>
      <c r="AE8">
        <f t="shared" si="16"/>
        <v>25019.999999999989</v>
      </c>
      <c r="AF8">
        <f t="shared" si="17"/>
        <v>61549.999999999978</v>
      </c>
      <c r="AH8" t="s">
        <v>108</v>
      </c>
      <c r="AI8">
        <v>1</v>
      </c>
      <c r="AK8">
        <v>2</v>
      </c>
      <c r="AM8">
        <v>3</v>
      </c>
      <c r="AO8">
        <v>4</v>
      </c>
    </row>
    <row r="9" spans="1:42" x14ac:dyDescent="0.55000000000000004">
      <c r="A9" s="8">
        <v>1957</v>
      </c>
      <c r="B9" s="9">
        <v>234850</v>
      </c>
      <c r="C9" s="9">
        <v>183</v>
      </c>
      <c r="D9" s="9">
        <v>235033</v>
      </c>
      <c r="E9" s="9"/>
      <c r="F9" s="9">
        <v>257672</v>
      </c>
      <c r="G9" s="9">
        <v>23954</v>
      </c>
      <c r="H9" s="9"/>
      <c r="I9" s="9">
        <v>516659</v>
      </c>
      <c r="J9" s="9"/>
      <c r="K9" s="15" t="s">
        <v>78</v>
      </c>
      <c r="L9" s="16">
        <f>SUM(AF4:AF75)</f>
        <v>10704120.888997748</v>
      </c>
      <c r="M9" s="9"/>
      <c r="N9">
        <f t="shared" si="3"/>
        <v>1957</v>
      </c>
      <c r="O9">
        <f t="shared" si="4"/>
        <v>516476</v>
      </c>
      <c r="P9">
        <f t="shared" si="5"/>
        <v>281626</v>
      </c>
      <c r="Q9">
        <f t="shared" si="6"/>
        <v>0.54528380796009879</v>
      </c>
      <c r="R9">
        <f t="shared" si="7"/>
        <v>0.99999999999999989</v>
      </c>
      <c r="S9">
        <f t="shared" si="8"/>
        <v>0</v>
      </c>
      <c r="T9">
        <f t="shared" si="9"/>
        <v>0</v>
      </c>
      <c r="U9">
        <f t="shared" si="10"/>
        <v>0</v>
      </c>
      <c r="V9">
        <f t="shared" si="11"/>
        <v>0</v>
      </c>
      <c r="W9">
        <f t="shared" si="12"/>
        <v>234850</v>
      </c>
      <c r="X9">
        <f t="shared" si="13"/>
        <v>1035627</v>
      </c>
      <c r="Y9">
        <f t="shared" si="14"/>
        <v>1.4838153069069242</v>
      </c>
      <c r="Z9">
        <f t="shared" si="1"/>
        <v>0.5248210526013013</v>
      </c>
      <c r="AB9">
        <v>1957</v>
      </c>
      <c r="AC9" s="4">
        <f t="shared" si="19"/>
        <v>516475.99999999994</v>
      </c>
      <c r="AD9">
        <f t="shared" si="2"/>
        <v>0.54528380796009879</v>
      </c>
      <c r="AE9">
        <f t="shared" si="16"/>
        <v>234849.99999999997</v>
      </c>
      <c r="AF9">
        <f t="shared" si="17"/>
        <v>281625.99999999994</v>
      </c>
      <c r="AH9" t="s">
        <v>107</v>
      </c>
      <c r="AI9" t="s">
        <v>134</v>
      </c>
      <c r="AJ9" t="s">
        <v>109</v>
      </c>
      <c r="AK9" t="s">
        <v>135</v>
      </c>
      <c r="AL9" t="s">
        <v>109</v>
      </c>
      <c r="AM9" t="s">
        <v>136</v>
      </c>
      <c r="AN9" t="s">
        <v>109</v>
      </c>
      <c r="AO9" t="s">
        <v>137</v>
      </c>
      <c r="AP9" t="s">
        <v>109</v>
      </c>
    </row>
    <row r="10" spans="1:42" x14ac:dyDescent="0.55000000000000004">
      <c r="A10" s="8">
        <v>1958</v>
      </c>
      <c r="B10" s="9">
        <v>38807</v>
      </c>
      <c r="C10" s="9">
        <v>5</v>
      </c>
      <c r="D10" s="9">
        <v>38812</v>
      </c>
      <c r="E10" s="9"/>
      <c r="F10" s="9">
        <v>114399</v>
      </c>
      <c r="G10" s="9">
        <v>4467</v>
      </c>
      <c r="H10" s="9"/>
      <c r="I10" s="9">
        <v>157678</v>
      </c>
      <c r="J10" s="9"/>
      <c r="K10" s="15" t="s">
        <v>79</v>
      </c>
      <c r="L10" s="16">
        <f>L9-L8</f>
        <v>-425900.07635462098</v>
      </c>
      <c r="M10" s="9"/>
      <c r="N10">
        <f t="shared" si="3"/>
        <v>1958</v>
      </c>
      <c r="O10">
        <f t="shared" si="4"/>
        <v>157673</v>
      </c>
      <c r="P10">
        <f t="shared" si="5"/>
        <v>118866</v>
      </c>
      <c r="Q10">
        <f t="shared" si="6"/>
        <v>0.75387669417084724</v>
      </c>
      <c r="R10">
        <f t="shared" si="7"/>
        <v>0.99999999999999989</v>
      </c>
      <c r="S10">
        <f t="shared" si="8"/>
        <v>0</v>
      </c>
      <c r="T10">
        <f t="shared" si="9"/>
        <v>0</v>
      </c>
      <c r="U10">
        <f t="shared" si="10"/>
        <v>0</v>
      </c>
      <c r="V10">
        <f t="shared" si="11"/>
        <v>0</v>
      </c>
      <c r="W10">
        <f t="shared" si="12"/>
        <v>38807</v>
      </c>
      <c r="X10">
        <f t="shared" si="13"/>
        <v>108532</v>
      </c>
      <c r="Y10">
        <f t="shared" si="14"/>
        <v>1.028444417644522</v>
      </c>
      <c r="Z10">
        <f t="shared" si="1"/>
        <v>-0.42031477295998565</v>
      </c>
      <c r="AB10">
        <v>1958</v>
      </c>
      <c r="AC10" s="4">
        <f t="shared" si="19"/>
        <v>157673</v>
      </c>
      <c r="AD10">
        <f t="shared" si="2"/>
        <v>0.75387669417084724</v>
      </c>
      <c r="AE10">
        <f t="shared" si="16"/>
        <v>38806.999999999993</v>
      </c>
      <c r="AF10">
        <f t="shared" si="17"/>
        <v>118866</v>
      </c>
      <c r="AH10">
        <v>1</v>
      </c>
      <c r="AI10">
        <f t="shared" ref="AI10:AI27" ca="1" si="20">OFFSET(W$3,AI$8+4*(AH10-1),0)</f>
        <v>30191</v>
      </c>
      <c r="AJ10">
        <f t="shared" ref="AJ10:AJ27" ca="1" si="21">OFFSET(Y$3,AI$8+4*(AH10-1),0)</f>
        <v>1.0534094685066628</v>
      </c>
      <c r="AK10">
        <f t="shared" ref="AK10:AK27" ca="1" si="22">OFFSET(W$3,AK$8+4*(AH10-1),0)</f>
        <v>154036</v>
      </c>
      <c r="AL10">
        <f t="shared" ref="AL10:AL27" ca="1" si="23">OFFSET(Y$3,AK$8+4*(AH10-1),0)</f>
        <v>1.2098424795496308</v>
      </c>
      <c r="AM10">
        <f t="shared" ref="AM10:AM27" ca="1" si="24">OFFSET(W$3,AM$8+4*(AH10-1),0)</f>
        <v>35050</v>
      </c>
      <c r="AN10">
        <f t="shared" ref="AN10:AN27" ca="1" si="25">OFFSET(Y$3,AM$8+4*(AH10-1),0)</f>
        <v>1.5037476546696587</v>
      </c>
      <c r="AO10">
        <f t="shared" ref="AO10:AO27" ca="1" si="26">OFFSET(W$3,AO$8+4*(AH10-1),0)</f>
        <v>2159</v>
      </c>
      <c r="AP10">
        <f t="shared" ref="AP10:AP27" ca="1" si="27">OFFSET(Y$3,AO$8+4*(AH10-1),0)</f>
        <v>1.3320469990819854</v>
      </c>
    </row>
    <row r="11" spans="1:42" x14ac:dyDescent="0.55000000000000004">
      <c r="A11" s="8">
        <v>1959</v>
      </c>
      <c r="B11" s="9">
        <v>2670</v>
      </c>
      <c r="C11" s="9">
        <v>0</v>
      </c>
      <c r="D11" s="9">
        <v>2670</v>
      </c>
      <c r="E11" s="9"/>
      <c r="F11" s="9">
        <v>4991</v>
      </c>
      <c r="G11" s="9">
        <v>519</v>
      </c>
      <c r="H11" s="9"/>
      <c r="I11" s="9">
        <v>8180</v>
      </c>
      <c r="J11" s="9"/>
      <c r="K11" s="9"/>
      <c r="L11" s="9"/>
      <c r="M11" s="9"/>
      <c r="N11">
        <f t="shared" si="3"/>
        <v>1959</v>
      </c>
      <c r="O11">
        <f t="shared" si="4"/>
        <v>8180</v>
      </c>
      <c r="P11">
        <f t="shared" si="5"/>
        <v>5510</v>
      </c>
      <c r="Q11">
        <f t="shared" si="6"/>
        <v>0.67359413202933982</v>
      </c>
      <c r="R11">
        <f t="shared" si="7"/>
        <v>0.99999999999999978</v>
      </c>
      <c r="S11">
        <f t="shared" si="8"/>
        <v>0</v>
      </c>
      <c r="T11">
        <f t="shared" si="9"/>
        <v>0</v>
      </c>
      <c r="U11">
        <f t="shared" si="10"/>
        <v>0</v>
      </c>
      <c r="V11">
        <f t="shared" si="11"/>
        <v>0</v>
      </c>
      <c r="W11">
        <f t="shared" si="12"/>
        <v>2670</v>
      </c>
      <c r="X11">
        <f t="shared" si="13"/>
        <v>14923</v>
      </c>
      <c r="Y11">
        <f t="shared" si="14"/>
        <v>1.7208251745371728</v>
      </c>
      <c r="Z11">
        <f t="shared" si="1"/>
        <v>0.18178662938783163</v>
      </c>
      <c r="AB11">
        <v>1959</v>
      </c>
      <c r="AC11" s="4">
        <f t="shared" si="19"/>
        <v>8180</v>
      </c>
      <c r="AD11">
        <f t="shared" si="2"/>
        <v>0.67359413202933982</v>
      </c>
      <c r="AE11">
        <f t="shared" si="16"/>
        <v>2670</v>
      </c>
      <c r="AF11">
        <f t="shared" si="17"/>
        <v>5510</v>
      </c>
      <c r="AH11">
        <v>2</v>
      </c>
      <c r="AI11">
        <f t="shared" ca="1" si="20"/>
        <v>25020</v>
      </c>
      <c r="AJ11">
        <f t="shared" ca="1" si="21"/>
        <v>1.2953511310963604</v>
      </c>
      <c r="AK11">
        <f t="shared" ca="1" si="22"/>
        <v>234850</v>
      </c>
      <c r="AL11">
        <f t="shared" ca="1" si="23"/>
        <v>1.4838153069069242</v>
      </c>
      <c r="AM11">
        <f t="shared" ca="1" si="24"/>
        <v>38807</v>
      </c>
      <c r="AN11">
        <f t="shared" ca="1" si="25"/>
        <v>1.028444417644522</v>
      </c>
      <c r="AO11">
        <f t="shared" ca="1" si="26"/>
        <v>2670</v>
      </c>
      <c r="AP11">
        <f t="shared" ca="1" si="27"/>
        <v>1.7208251745371728</v>
      </c>
    </row>
    <row r="12" spans="1:42" x14ac:dyDescent="0.55000000000000004">
      <c r="A12" s="8">
        <v>1960</v>
      </c>
      <c r="B12" s="9">
        <v>14447</v>
      </c>
      <c r="C12" s="9">
        <v>125</v>
      </c>
      <c r="D12" s="9">
        <v>14572</v>
      </c>
      <c r="E12" s="9"/>
      <c r="F12" s="9">
        <v>51999</v>
      </c>
      <c r="G12" s="9">
        <v>4134</v>
      </c>
      <c r="H12" s="9"/>
      <c r="I12" s="9">
        <v>91505</v>
      </c>
      <c r="J12" s="9"/>
      <c r="K12" s="9"/>
      <c r="L12" s="9"/>
      <c r="M12" s="9"/>
      <c r="N12">
        <f t="shared" si="3"/>
        <v>1960</v>
      </c>
      <c r="O12">
        <f t="shared" si="4"/>
        <v>91380</v>
      </c>
      <c r="P12">
        <f t="shared" si="5"/>
        <v>56133</v>
      </c>
      <c r="Q12">
        <f t="shared" si="6"/>
        <v>0.61428102429415632</v>
      </c>
      <c r="R12">
        <f t="shared" si="7"/>
        <v>0.40987885493800896</v>
      </c>
      <c r="S12">
        <f t="shared" si="8"/>
        <v>0.59012114506199098</v>
      </c>
      <c r="T12">
        <f t="shared" si="9"/>
        <v>20800</v>
      </c>
      <c r="U12">
        <f t="shared" si="10"/>
        <v>0</v>
      </c>
      <c r="V12">
        <f t="shared" si="11"/>
        <v>0.59012114506199109</v>
      </c>
      <c r="W12">
        <f t="shared" si="12"/>
        <v>14447</v>
      </c>
      <c r="X12">
        <f t="shared" si="13"/>
        <v>172690</v>
      </c>
      <c r="Y12">
        <f t="shared" si="14"/>
        <v>2.4810112990493343</v>
      </c>
      <c r="Z12">
        <f t="shared" si="1"/>
        <v>0.97139467488055331</v>
      </c>
      <c r="AB12">
        <v>1960</v>
      </c>
      <c r="AC12" s="4">
        <f t="shared" si="19"/>
        <v>91379.999999999956</v>
      </c>
      <c r="AD12">
        <f t="shared" si="2"/>
        <v>0.61428102429415632</v>
      </c>
      <c r="AE12">
        <f t="shared" si="16"/>
        <v>14446.999999999993</v>
      </c>
      <c r="AF12">
        <f t="shared" si="17"/>
        <v>56132.999999999978</v>
      </c>
      <c r="AH12">
        <v>3</v>
      </c>
      <c r="AI12">
        <f t="shared" ca="1" si="20"/>
        <v>14447</v>
      </c>
      <c r="AJ12">
        <f t="shared" ca="1" si="21"/>
        <v>2.4810112990493343</v>
      </c>
      <c r="AK12">
        <f t="shared" ca="1" si="22"/>
        <v>198921</v>
      </c>
      <c r="AL12">
        <f t="shared" ca="1" si="23"/>
        <v>0.25353840957566159</v>
      </c>
      <c r="AM12">
        <f t="shared" ca="1" si="24"/>
        <v>26716</v>
      </c>
      <c r="AN12">
        <f t="shared" ca="1" si="25"/>
        <v>0.97816344057438731</v>
      </c>
      <c r="AO12">
        <f t="shared" ca="1" si="26"/>
        <v>4607</v>
      </c>
      <c r="AP12">
        <f t="shared" ca="1" si="27"/>
        <v>3.0728118872772812</v>
      </c>
    </row>
    <row r="13" spans="1:42" x14ac:dyDescent="0.55000000000000004">
      <c r="A13" s="8">
        <v>1961</v>
      </c>
      <c r="B13" s="9">
        <v>198921</v>
      </c>
      <c r="C13" s="9">
        <v>215</v>
      </c>
      <c r="D13" s="9">
        <v>199136</v>
      </c>
      <c r="E13" s="9"/>
      <c r="F13" s="9">
        <v>806525</v>
      </c>
      <c r="G13" s="9">
        <v>30181</v>
      </c>
      <c r="H13" s="9"/>
      <c r="I13" s="9">
        <v>1035842</v>
      </c>
      <c r="J13" s="9"/>
      <c r="K13" s="9"/>
      <c r="L13" s="9"/>
      <c r="M13" s="9"/>
      <c r="N13">
        <f t="shared" si="3"/>
        <v>1961</v>
      </c>
      <c r="O13">
        <f t="shared" si="4"/>
        <v>1035627</v>
      </c>
      <c r="P13">
        <f t="shared" si="5"/>
        <v>836706</v>
      </c>
      <c r="Q13">
        <f t="shared" si="6"/>
        <v>0.8079221573018085</v>
      </c>
      <c r="R13">
        <f t="shared" si="7"/>
        <v>1</v>
      </c>
      <c r="S13">
        <f t="shared" si="8"/>
        <v>0</v>
      </c>
      <c r="T13">
        <f t="shared" si="9"/>
        <v>0</v>
      </c>
      <c r="U13">
        <f t="shared" si="10"/>
        <v>0</v>
      </c>
      <c r="V13">
        <f t="shared" si="11"/>
        <v>0</v>
      </c>
      <c r="W13">
        <f t="shared" si="12"/>
        <v>198921</v>
      </c>
      <c r="X13">
        <f t="shared" si="13"/>
        <v>256325</v>
      </c>
      <c r="Y13">
        <f t="shared" si="14"/>
        <v>0.25353840957566159</v>
      </c>
      <c r="Z13">
        <f t="shared" si="1"/>
        <v>-0.79521556273204563</v>
      </c>
      <c r="AB13">
        <v>1961</v>
      </c>
      <c r="AC13" s="4">
        <f t="shared" si="19"/>
        <v>1035626.9999999999</v>
      </c>
      <c r="AD13">
        <f t="shared" si="2"/>
        <v>0.8079221573018085</v>
      </c>
      <c r="AE13">
        <f t="shared" si="16"/>
        <v>198920.99999999994</v>
      </c>
      <c r="AF13">
        <f t="shared" si="17"/>
        <v>836705.99999999988</v>
      </c>
      <c r="AH13">
        <v>4</v>
      </c>
      <c r="AI13">
        <f t="shared" ca="1" si="20"/>
        <v>2390</v>
      </c>
      <c r="AJ13">
        <f t="shared" ca="1" si="21"/>
        <v>2.4656143525023526</v>
      </c>
      <c r="AK13">
        <f t="shared" ca="1" si="22"/>
        <v>23045</v>
      </c>
      <c r="AL13">
        <f t="shared" ca="1" si="23"/>
        <v>2.9327252326057556</v>
      </c>
      <c r="AM13">
        <f t="shared" ca="1" si="24"/>
        <v>10830</v>
      </c>
      <c r="AN13">
        <f t="shared" ca="1" si="25"/>
        <v>2.0365325949038908</v>
      </c>
      <c r="AO13">
        <f t="shared" ca="1" si="26"/>
        <v>21044</v>
      </c>
      <c r="AP13">
        <f t="shared" ca="1" si="27"/>
        <v>2.7407664426638623</v>
      </c>
    </row>
    <row r="14" spans="1:42" x14ac:dyDescent="0.55000000000000004">
      <c r="A14" s="8">
        <v>1962</v>
      </c>
      <c r="B14" s="9">
        <v>26716</v>
      </c>
      <c r="C14" s="9">
        <v>0</v>
      </c>
      <c r="D14" s="9">
        <v>26716</v>
      </c>
      <c r="E14" s="9"/>
      <c r="F14" s="9">
        <v>75185</v>
      </c>
      <c r="G14" s="9">
        <v>6631</v>
      </c>
      <c r="H14" s="9"/>
      <c r="I14" s="9">
        <v>108532</v>
      </c>
      <c r="J14" s="9"/>
      <c r="K14" s="9"/>
      <c r="L14" s="9"/>
      <c r="M14" s="9"/>
      <c r="N14">
        <f t="shared" si="3"/>
        <v>1962</v>
      </c>
      <c r="O14">
        <f t="shared" si="4"/>
        <v>108532</v>
      </c>
      <c r="P14">
        <f t="shared" si="5"/>
        <v>81816</v>
      </c>
      <c r="Q14">
        <f t="shared" si="6"/>
        <v>0.75384218479342502</v>
      </c>
      <c r="R14">
        <f t="shared" si="7"/>
        <v>1</v>
      </c>
      <c r="S14">
        <f t="shared" si="8"/>
        <v>0</v>
      </c>
      <c r="T14">
        <f t="shared" si="9"/>
        <v>0</v>
      </c>
      <c r="U14">
        <f t="shared" si="10"/>
        <v>0</v>
      </c>
      <c r="V14">
        <f t="shared" si="11"/>
        <v>0</v>
      </c>
      <c r="W14">
        <f t="shared" si="12"/>
        <v>26716</v>
      </c>
      <c r="X14">
        <f t="shared" si="13"/>
        <v>71053</v>
      </c>
      <c r="Y14">
        <f t="shared" si="14"/>
        <v>0.97816344057438731</v>
      </c>
      <c r="Z14">
        <f t="shared" si="1"/>
        <v>-0.50080212233002297</v>
      </c>
      <c r="AB14">
        <v>1962</v>
      </c>
      <c r="AC14" s="4">
        <f t="shared" si="19"/>
        <v>108531.99999999997</v>
      </c>
      <c r="AD14">
        <f t="shared" si="2"/>
        <v>0.75384218479342502</v>
      </c>
      <c r="AE14">
        <f t="shared" si="16"/>
        <v>26715.999999999989</v>
      </c>
      <c r="AF14">
        <f t="shared" si="17"/>
        <v>81815.999999999985</v>
      </c>
      <c r="AH14">
        <v>5</v>
      </c>
      <c r="AI14">
        <f t="shared" ca="1" si="20"/>
        <v>1522</v>
      </c>
      <c r="AJ14">
        <f t="shared" ca="1" si="21"/>
        <v>2.7479361466271572</v>
      </c>
      <c r="AK14">
        <f t="shared" ca="1" si="22"/>
        <v>109655</v>
      </c>
      <c r="AL14">
        <f t="shared" ca="1" si="23"/>
        <v>2.5228211340099227</v>
      </c>
      <c r="AM14">
        <f t="shared" ca="1" si="24"/>
        <v>32578</v>
      </c>
      <c r="AN14">
        <f t="shared" ca="1" si="25"/>
        <v>1.7481235966117361</v>
      </c>
      <c r="AO14">
        <f t="shared" ca="1" si="26"/>
        <v>95940</v>
      </c>
      <c r="AP14">
        <f t="shared" ca="1" si="27"/>
        <v>1.4912443797773771</v>
      </c>
    </row>
    <row r="15" spans="1:42" x14ac:dyDescent="0.55000000000000004">
      <c r="A15" s="8">
        <v>1963</v>
      </c>
      <c r="B15" s="9">
        <v>4607</v>
      </c>
      <c r="C15" s="9">
        <v>21</v>
      </c>
      <c r="D15" s="9">
        <v>4628</v>
      </c>
      <c r="E15" s="9"/>
      <c r="F15" s="9">
        <v>8646.9999999999909</v>
      </c>
      <c r="G15" s="9">
        <v>1669</v>
      </c>
      <c r="H15" s="9"/>
      <c r="I15" s="9">
        <v>14944</v>
      </c>
      <c r="J15" s="9"/>
      <c r="K15" s="9"/>
      <c r="L15" s="9"/>
      <c r="M15" s="9"/>
      <c r="N15">
        <f t="shared" si="3"/>
        <v>1963</v>
      </c>
      <c r="O15">
        <f t="shared" si="4"/>
        <v>14923</v>
      </c>
      <c r="P15">
        <f t="shared" si="5"/>
        <v>10315.999999999991</v>
      </c>
      <c r="Q15">
        <f t="shared" si="6"/>
        <v>0.69128191382429749</v>
      </c>
      <c r="R15">
        <f t="shared" si="7"/>
        <v>0.99999999999999822</v>
      </c>
      <c r="S15">
        <f t="shared" si="8"/>
        <v>1.7763568394002505E-15</v>
      </c>
      <c r="T15">
        <f t="shared" si="9"/>
        <v>0</v>
      </c>
      <c r="U15">
        <f t="shared" si="10"/>
        <v>0</v>
      </c>
      <c r="V15">
        <f t="shared" si="11"/>
        <v>0</v>
      </c>
      <c r="W15">
        <f t="shared" si="12"/>
        <v>4607</v>
      </c>
      <c r="X15">
        <f t="shared" si="13"/>
        <v>99523</v>
      </c>
      <c r="Y15">
        <f t="shared" si="14"/>
        <v>3.0728118872772812</v>
      </c>
      <c r="Z15">
        <f t="shared" si="1"/>
        <v>1.5386124574322915</v>
      </c>
      <c r="AB15">
        <v>1963</v>
      </c>
      <c r="AC15" s="4">
        <f t="shared" si="19"/>
        <v>14923</v>
      </c>
      <c r="AD15">
        <f t="shared" si="2"/>
        <v>0.69128191382429749</v>
      </c>
      <c r="AE15">
        <f t="shared" si="16"/>
        <v>4607</v>
      </c>
      <c r="AF15">
        <f t="shared" si="17"/>
        <v>10315.999999999991</v>
      </c>
      <c r="AH15">
        <v>6</v>
      </c>
      <c r="AI15">
        <f t="shared" ca="1" si="20"/>
        <v>4657</v>
      </c>
      <c r="AJ15">
        <f t="shared" ca="1" si="21"/>
        <v>2.2297811710082041</v>
      </c>
      <c r="AK15">
        <f t="shared" ca="1" si="22"/>
        <v>299892</v>
      </c>
      <c r="AL15">
        <f t="shared" ca="1" si="23"/>
        <v>1.6012616462273703</v>
      </c>
      <c r="AM15">
        <f t="shared" ca="1" si="24"/>
        <v>39533</v>
      </c>
      <c r="AN15">
        <f t="shared" ca="1" si="25"/>
        <v>1.569825146114441</v>
      </c>
      <c r="AO15">
        <f t="shared" ca="1" si="26"/>
        <v>65765</v>
      </c>
      <c r="AP15">
        <f t="shared" ca="1" si="27"/>
        <v>1.3464673667470295</v>
      </c>
    </row>
    <row r="16" spans="1:42" x14ac:dyDescent="0.55000000000000004">
      <c r="A16" s="8">
        <v>1964</v>
      </c>
      <c r="B16" s="9">
        <v>2390</v>
      </c>
      <c r="C16" s="9">
        <v>31</v>
      </c>
      <c r="D16" s="9">
        <v>2421</v>
      </c>
      <c r="E16" s="9"/>
      <c r="F16" s="9">
        <v>26909</v>
      </c>
      <c r="G16" s="9">
        <v>10805</v>
      </c>
      <c r="H16" s="9"/>
      <c r="I16" s="9">
        <v>172721</v>
      </c>
      <c r="J16" s="9"/>
      <c r="K16" s="9"/>
      <c r="L16" s="9"/>
      <c r="M16" s="9"/>
      <c r="N16">
        <f t="shared" si="3"/>
        <v>1964</v>
      </c>
      <c r="O16">
        <f t="shared" si="4"/>
        <v>172690</v>
      </c>
      <c r="P16">
        <f t="shared" si="5"/>
        <v>37714</v>
      </c>
      <c r="Q16">
        <f t="shared" si="6"/>
        <v>0.21839133707800104</v>
      </c>
      <c r="R16">
        <f t="shared" si="7"/>
        <v>1.7706851588430536E-2</v>
      </c>
      <c r="S16">
        <f t="shared" si="8"/>
        <v>0.98229314841156945</v>
      </c>
      <c r="T16">
        <f t="shared" si="9"/>
        <v>132586</v>
      </c>
      <c r="U16">
        <f t="shared" si="10"/>
        <v>0</v>
      </c>
      <c r="V16">
        <f t="shared" si="11"/>
        <v>0.98229314841156945</v>
      </c>
      <c r="W16">
        <f t="shared" si="12"/>
        <v>2390</v>
      </c>
      <c r="X16">
        <f t="shared" si="13"/>
        <v>28132</v>
      </c>
      <c r="Y16">
        <f t="shared" si="14"/>
        <v>2.4656143525023526</v>
      </c>
      <c r="Z16">
        <f t="shared" si="1"/>
        <v>0.92587629662238768</v>
      </c>
      <c r="AB16">
        <v>1964</v>
      </c>
      <c r="AC16" s="4">
        <f t="shared" si="19"/>
        <v>172689.99999999991</v>
      </c>
      <c r="AD16">
        <f t="shared" si="2"/>
        <v>0.21839133707800104</v>
      </c>
      <c r="AE16">
        <f t="shared" si="16"/>
        <v>2389.9999999999986</v>
      </c>
      <c r="AF16">
        <f t="shared" si="17"/>
        <v>37713.999999999978</v>
      </c>
      <c r="AH16">
        <v>7</v>
      </c>
      <c r="AI16">
        <f t="shared" ca="1" si="20"/>
        <v>11761</v>
      </c>
      <c r="AJ16">
        <f t="shared" ca="1" si="21"/>
        <v>1.482562565612541</v>
      </c>
      <c r="AK16">
        <f t="shared" ca="1" si="22"/>
        <v>117445</v>
      </c>
      <c r="AL16">
        <f t="shared" ca="1" si="23"/>
        <v>1.9664252942549343</v>
      </c>
      <c r="AM16">
        <f t="shared" ca="1" si="24"/>
        <v>50004</v>
      </c>
      <c r="AN16">
        <f t="shared" ca="1" si="25"/>
        <v>0.84782910531217082</v>
      </c>
      <c r="AO16">
        <f t="shared" ca="1" si="26"/>
        <v>92746</v>
      </c>
      <c r="AP16">
        <f t="shared" ca="1" si="27"/>
        <v>0.21330077726690147</v>
      </c>
    </row>
    <row r="17" spans="1:42" x14ac:dyDescent="0.55000000000000004">
      <c r="A17" s="8">
        <v>1965</v>
      </c>
      <c r="B17" s="9">
        <v>23045</v>
      </c>
      <c r="C17" s="9">
        <v>0</v>
      </c>
      <c r="D17" s="9">
        <v>23045</v>
      </c>
      <c r="E17" s="9"/>
      <c r="F17" s="9">
        <v>225473</v>
      </c>
      <c r="G17" s="9">
        <v>7807</v>
      </c>
      <c r="H17" s="9"/>
      <c r="I17" s="9">
        <v>256325</v>
      </c>
      <c r="J17" s="9"/>
      <c r="K17" s="9"/>
      <c r="L17" s="9"/>
      <c r="M17" s="9"/>
      <c r="N17">
        <f t="shared" si="3"/>
        <v>1965</v>
      </c>
      <c r="O17">
        <f t="shared" si="4"/>
        <v>256325</v>
      </c>
      <c r="P17">
        <f t="shared" si="5"/>
        <v>233280</v>
      </c>
      <c r="Q17">
        <f t="shared" si="6"/>
        <v>0.91009460645664686</v>
      </c>
      <c r="R17">
        <f t="shared" si="7"/>
        <v>1</v>
      </c>
      <c r="S17">
        <f t="shared" si="8"/>
        <v>0</v>
      </c>
      <c r="T17">
        <f t="shared" si="9"/>
        <v>0</v>
      </c>
      <c r="U17">
        <f t="shared" si="10"/>
        <v>0</v>
      </c>
      <c r="V17">
        <f t="shared" si="11"/>
        <v>0</v>
      </c>
      <c r="W17">
        <f t="shared" si="12"/>
        <v>23045</v>
      </c>
      <c r="X17">
        <f t="shared" si="13"/>
        <v>432756</v>
      </c>
      <c r="Y17">
        <f t="shared" si="14"/>
        <v>2.9327252326057556</v>
      </c>
      <c r="Z17">
        <f t="shared" si="1"/>
        <v>1.4445885843723452</v>
      </c>
      <c r="AB17">
        <v>1965</v>
      </c>
      <c r="AC17" s="4">
        <f t="shared" si="19"/>
        <v>256325</v>
      </c>
      <c r="AD17">
        <f t="shared" si="2"/>
        <v>0.91009460645664686</v>
      </c>
      <c r="AE17">
        <f t="shared" si="16"/>
        <v>23044.999999999993</v>
      </c>
      <c r="AF17">
        <f t="shared" si="17"/>
        <v>233280</v>
      </c>
      <c r="AH17">
        <v>8</v>
      </c>
      <c r="AI17">
        <f t="shared" ca="1" si="20"/>
        <v>16939</v>
      </c>
      <c r="AJ17">
        <f t="shared" ca="1" si="21"/>
        <v>1.1960544120552368</v>
      </c>
      <c r="AK17">
        <f t="shared" ca="1" si="22"/>
        <v>138031</v>
      </c>
      <c r="AL17">
        <f t="shared" ca="1" si="23"/>
        <v>0.97923957885011381</v>
      </c>
      <c r="AM17">
        <f t="shared" ca="1" si="24"/>
        <v>4557</v>
      </c>
      <c r="AN17">
        <f t="shared" ca="1" si="25"/>
        <v>2.2748392173971359</v>
      </c>
      <c r="AO17">
        <f t="shared" ca="1" si="26"/>
        <v>23867</v>
      </c>
      <c r="AP17">
        <f t="shared" ca="1" si="27"/>
        <v>2.078283415408968</v>
      </c>
    </row>
    <row r="18" spans="1:42" x14ac:dyDescent="0.55000000000000004">
      <c r="A18" s="8">
        <v>1966</v>
      </c>
      <c r="B18" s="9">
        <v>10830</v>
      </c>
      <c r="C18" s="9">
        <v>29</v>
      </c>
      <c r="D18" s="9">
        <v>10859</v>
      </c>
      <c r="E18" s="9"/>
      <c r="F18" s="9">
        <v>55923</v>
      </c>
      <c r="G18" s="9">
        <v>4300</v>
      </c>
      <c r="H18" s="9"/>
      <c r="I18" s="9">
        <v>71082</v>
      </c>
      <c r="J18" s="9"/>
      <c r="K18" s="9"/>
      <c r="L18" s="9"/>
      <c r="M18" s="9"/>
      <c r="N18">
        <f t="shared" si="3"/>
        <v>1966</v>
      </c>
      <c r="O18">
        <f t="shared" si="4"/>
        <v>71053</v>
      </c>
      <c r="P18">
        <f t="shared" si="5"/>
        <v>60223</v>
      </c>
      <c r="Q18">
        <f t="shared" si="6"/>
        <v>0.84757856811112831</v>
      </c>
      <c r="R18">
        <f t="shared" si="7"/>
        <v>1</v>
      </c>
      <c r="S18">
        <f t="shared" si="8"/>
        <v>0</v>
      </c>
      <c r="T18">
        <f t="shared" si="9"/>
        <v>0</v>
      </c>
      <c r="U18">
        <f t="shared" si="10"/>
        <v>0</v>
      </c>
      <c r="V18">
        <f t="shared" si="11"/>
        <v>0</v>
      </c>
      <c r="W18">
        <f t="shared" si="12"/>
        <v>10830</v>
      </c>
      <c r="X18">
        <f t="shared" si="13"/>
        <v>83001</v>
      </c>
      <c r="Y18">
        <f t="shared" si="14"/>
        <v>2.0365325949038908</v>
      </c>
      <c r="Z18">
        <f t="shared" si="1"/>
        <v>0.51787979104701565</v>
      </c>
      <c r="AB18">
        <v>1966</v>
      </c>
      <c r="AC18" s="4">
        <f t="shared" si="19"/>
        <v>71052.999999999971</v>
      </c>
      <c r="AD18">
        <f t="shared" si="2"/>
        <v>0.84757856811112831</v>
      </c>
      <c r="AE18">
        <f t="shared" si="16"/>
        <v>10829.999999999996</v>
      </c>
      <c r="AF18">
        <f t="shared" si="17"/>
        <v>60222.999999999978</v>
      </c>
      <c r="AH18">
        <v>9</v>
      </c>
      <c r="AI18">
        <f t="shared" ca="1" si="20"/>
        <v>45201</v>
      </c>
      <c r="AJ18">
        <f t="shared" ca="1" si="21"/>
        <v>1.5907335071185702</v>
      </c>
      <c r="AK18">
        <f t="shared" ca="1" si="22"/>
        <v>237532</v>
      </c>
      <c r="AL18">
        <f t="shared" ca="1" si="23"/>
        <v>1.6299046672011435</v>
      </c>
      <c r="AM18">
        <f t="shared" ca="1" si="24"/>
        <v>28584</v>
      </c>
      <c r="AN18">
        <f t="shared" ca="1" si="25"/>
        <v>1.900807551920735</v>
      </c>
      <c r="AO18">
        <f t="shared" ca="1" si="26"/>
        <v>148194</v>
      </c>
      <c r="AP18">
        <f t="shared" ca="1" si="27"/>
        <v>1.3692703711488139</v>
      </c>
    </row>
    <row r="19" spans="1:42" x14ac:dyDescent="0.55000000000000004">
      <c r="A19" s="8">
        <v>1967</v>
      </c>
      <c r="B19" s="9">
        <v>21044</v>
      </c>
      <c r="C19" s="9">
        <v>25</v>
      </c>
      <c r="D19" s="9">
        <v>21069</v>
      </c>
      <c r="E19" s="9"/>
      <c r="F19" s="9">
        <v>75337</v>
      </c>
      <c r="G19" s="9">
        <v>3142</v>
      </c>
      <c r="H19" s="9"/>
      <c r="I19" s="9">
        <v>99548</v>
      </c>
      <c r="J19" s="9"/>
      <c r="K19" s="9"/>
      <c r="L19" s="9"/>
      <c r="M19" s="9"/>
      <c r="N19">
        <f t="shared" si="3"/>
        <v>1967</v>
      </c>
      <c r="O19">
        <f t="shared" si="4"/>
        <v>99523</v>
      </c>
      <c r="P19">
        <f t="shared" si="5"/>
        <v>78479</v>
      </c>
      <c r="Q19">
        <f t="shared" si="6"/>
        <v>0.78855139013092446</v>
      </c>
      <c r="R19">
        <f t="shared" si="7"/>
        <v>0.99999999999999978</v>
      </c>
      <c r="S19">
        <f t="shared" si="8"/>
        <v>0</v>
      </c>
      <c r="T19">
        <f t="shared" si="9"/>
        <v>0</v>
      </c>
      <c r="U19">
        <f t="shared" si="10"/>
        <v>0</v>
      </c>
      <c r="V19">
        <f t="shared" si="11"/>
        <v>0</v>
      </c>
      <c r="W19">
        <f t="shared" si="12"/>
        <v>21044</v>
      </c>
      <c r="X19">
        <f t="shared" si="13"/>
        <v>326158</v>
      </c>
      <c r="Y19">
        <f t="shared" si="14"/>
        <v>2.7407664426638623</v>
      </c>
      <c r="Z19">
        <f t="shared" si="1"/>
        <v>1.2476307909591007</v>
      </c>
      <c r="AB19">
        <v>1967</v>
      </c>
      <c r="AC19" s="4">
        <f t="shared" si="19"/>
        <v>99523.000000000029</v>
      </c>
      <c r="AD19">
        <f t="shared" si="2"/>
        <v>0.78855139013092446</v>
      </c>
      <c r="AE19">
        <f t="shared" si="16"/>
        <v>21044.000000000007</v>
      </c>
      <c r="AF19">
        <f t="shared" si="17"/>
        <v>78479.000000000015</v>
      </c>
      <c r="AH19">
        <v>10</v>
      </c>
      <c r="AI19">
        <f t="shared" ca="1" si="20"/>
        <v>179807</v>
      </c>
      <c r="AJ19">
        <f t="shared" ca="1" si="21"/>
        <v>0.74155405615912051</v>
      </c>
      <c r="AK19">
        <f t="shared" ca="1" si="22"/>
        <v>384799</v>
      </c>
      <c r="AL19">
        <f t="shared" ca="1" si="23"/>
        <v>1.0962767437599368</v>
      </c>
      <c r="AM19">
        <f t="shared" ca="1" si="24"/>
        <v>97035</v>
      </c>
      <c r="AN19">
        <f t="shared" ca="1" si="25"/>
        <v>0.80917558751870933</v>
      </c>
      <c r="AO19">
        <f t="shared" ca="1" si="26"/>
        <v>141119</v>
      </c>
      <c r="AP19">
        <f t="shared" ca="1" si="27"/>
        <v>0.36410480983811</v>
      </c>
    </row>
    <row r="20" spans="1:42" x14ac:dyDescent="0.55000000000000004">
      <c r="A20" s="8">
        <v>1968</v>
      </c>
      <c r="B20" s="9">
        <v>1522</v>
      </c>
      <c r="C20" s="9">
        <v>65</v>
      </c>
      <c r="D20" s="9">
        <v>1587</v>
      </c>
      <c r="E20" s="9"/>
      <c r="F20" s="9">
        <v>13803</v>
      </c>
      <c r="G20" s="9">
        <v>12807</v>
      </c>
      <c r="H20" s="9"/>
      <c r="I20" s="9">
        <v>28197</v>
      </c>
      <c r="J20" s="9"/>
      <c r="K20" s="9"/>
      <c r="L20" s="9"/>
      <c r="M20" s="9"/>
      <c r="N20">
        <f t="shared" si="3"/>
        <v>1968</v>
      </c>
      <c r="O20">
        <f t="shared" si="4"/>
        <v>28132</v>
      </c>
      <c r="P20">
        <f t="shared" si="5"/>
        <v>26610</v>
      </c>
      <c r="Q20">
        <f t="shared" si="6"/>
        <v>0.9458979098535476</v>
      </c>
      <c r="R20">
        <f t="shared" si="7"/>
        <v>1</v>
      </c>
      <c r="S20">
        <f t="shared" si="8"/>
        <v>0</v>
      </c>
      <c r="T20">
        <f t="shared" si="9"/>
        <v>0</v>
      </c>
      <c r="U20">
        <f t="shared" si="10"/>
        <v>0</v>
      </c>
      <c r="V20">
        <f t="shared" si="11"/>
        <v>0</v>
      </c>
      <c r="W20">
        <f t="shared" si="12"/>
        <v>1522</v>
      </c>
      <c r="X20">
        <f t="shared" si="13"/>
        <v>23759</v>
      </c>
      <c r="Y20">
        <f t="shared" si="14"/>
        <v>2.7479361466271572</v>
      </c>
      <c r="Z20">
        <f t="shared" si="1"/>
        <v>1.2060296074822585</v>
      </c>
      <c r="AB20">
        <v>1968</v>
      </c>
      <c r="AC20" s="4">
        <f t="shared" si="19"/>
        <v>28131.999999999985</v>
      </c>
      <c r="AD20">
        <f t="shared" si="2"/>
        <v>0.9458979098535476</v>
      </c>
      <c r="AE20">
        <f t="shared" si="16"/>
        <v>1521.999999999998</v>
      </c>
      <c r="AF20">
        <f t="shared" si="17"/>
        <v>26609.999999999989</v>
      </c>
      <c r="AH20">
        <v>11</v>
      </c>
      <c r="AI20">
        <f t="shared" ca="1" si="20"/>
        <v>66098</v>
      </c>
      <c r="AJ20">
        <f t="shared" ca="1" si="21"/>
        <v>0.7270013267528207</v>
      </c>
      <c r="AK20">
        <f t="shared" ca="1" si="22"/>
        <v>688013</v>
      </c>
      <c r="AL20">
        <f t="shared" ca="1" si="23"/>
        <v>0.90337154270573183</v>
      </c>
      <c r="AM20">
        <f t="shared" ca="1" si="24"/>
        <v>29125</v>
      </c>
      <c r="AN20">
        <f t="shared" ca="1" si="25"/>
        <v>1.8994366127349733</v>
      </c>
      <c r="AO20">
        <f t="shared" ca="1" si="26"/>
        <v>122856</v>
      </c>
      <c r="AP20">
        <f t="shared" ca="1" si="27"/>
        <v>0.3833706725390657</v>
      </c>
    </row>
    <row r="21" spans="1:42" x14ac:dyDescent="0.55000000000000004">
      <c r="A21" s="8">
        <v>1969</v>
      </c>
      <c r="B21" s="9">
        <v>109655</v>
      </c>
      <c r="C21" s="9">
        <v>163</v>
      </c>
      <c r="D21" s="9">
        <v>109818</v>
      </c>
      <c r="E21" s="9"/>
      <c r="F21" s="9">
        <v>270285</v>
      </c>
      <c r="G21" s="9">
        <v>52816</v>
      </c>
      <c r="H21" s="9"/>
      <c r="I21" s="9">
        <v>432919</v>
      </c>
      <c r="J21" s="9"/>
      <c r="K21" s="9"/>
      <c r="L21" s="9"/>
      <c r="M21" s="9"/>
      <c r="N21">
        <f t="shared" si="3"/>
        <v>1969</v>
      </c>
      <c r="O21">
        <f t="shared" si="4"/>
        <v>432756</v>
      </c>
      <c r="P21">
        <f t="shared" si="5"/>
        <v>323101</v>
      </c>
      <c r="Q21">
        <f t="shared" si="6"/>
        <v>0.7466124097643938</v>
      </c>
      <c r="R21">
        <f t="shared" si="7"/>
        <v>1</v>
      </c>
      <c r="S21">
        <f t="shared" si="8"/>
        <v>0</v>
      </c>
      <c r="T21">
        <f t="shared" si="9"/>
        <v>0</v>
      </c>
      <c r="U21">
        <f t="shared" si="10"/>
        <v>0</v>
      </c>
      <c r="V21">
        <f t="shared" si="11"/>
        <v>0</v>
      </c>
      <c r="W21">
        <f t="shared" si="12"/>
        <v>109655</v>
      </c>
      <c r="X21">
        <f t="shared" si="13"/>
        <v>1366708</v>
      </c>
      <c r="Y21">
        <f t="shared" si="14"/>
        <v>2.5228211340099227</v>
      </c>
      <c r="Z21">
        <f t="shared" si="1"/>
        <v>1.2510581442741193</v>
      </c>
      <c r="AB21">
        <v>1969</v>
      </c>
      <c r="AC21" s="4">
        <f t="shared" si="19"/>
        <v>432755.99999999983</v>
      </c>
      <c r="AD21">
        <f t="shared" si="2"/>
        <v>0.7466124097643938</v>
      </c>
      <c r="AE21">
        <f t="shared" si="16"/>
        <v>109654.99999999996</v>
      </c>
      <c r="AF21">
        <f t="shared" si="17"/>
        <v>323100.99999999988</v>
      </c>
      <c r="AH21">
        <v>12</v>
      </c>
      <c r="AI21">
        <f t="shared" ca="1" si="20"/>
        <v>87612</v>
      </c>
      <c r="AJ21">
        <f t="shared" ca="1" si="21"/>
        <v>1.5447137069502515</v>
      </c>
      <c r="AK21">
        <f t="shared" ca="1" si="22"/>
        <v>266941</v>
      </c>
      <c r="AL21">
        <f t="shared" ca="1" si="23"/>
        <v>-0.17267099965116334</v>
      </c>
      <c r="AM21">
        <f t="shared" ca="1" si="24"/>
        <v>32570</v>
      </c>
      <c r="AN21">
        <f t="shared" ca="1" si="25"/>
        <v>0.64582124937384811</v>
      </c>
      <c r="AO21">
        <f t="shared" ca="1" si="26"/>
        <v>24552</v>
      </c>
      <c r="AP21">
        <f t="shared" ca="1" si="27"/>
        <v>0.17049453393857641</v>
      </c>
    </row>
    <row r="22" spans="1:42" x14ac:dyDescent="0.55000000000000004">
      <c r="A22" s="8">
        <v>1970</v>
      </c>
      <c r="B22" s="9">
        <v>32578</v>
      </c>
      <c r="C22" s="9">
        <v>169</v>
      </c>
      <c r="D22" s="9">
        <v>32747</v>
      </c>
      <c r="E22" s="9"/>
      <c r="F22" s="9">
        <v>27526</v>
      </c>
      <c r="G22" s="9">
        <v>22897</v>
      </c>
      <c r="H22" s="9"/>
      <c r="I22" s="9">
        <v>83170</v>
      </c>
      <c r="J22" s="9"/>
      <c r="K22" s="9"/>
      <c r="L22" s="9"/>
      <c r="M22" s="9"/>
      <c r="N22">
        <f t="shared" si="3"/>
        <v>1970</v>
      </c>
      <c r="O22">
        <f t="shared" si="4"/>
        <v>83001</v>
      </c>
      <c r="P22">
        <f t="shared" si="5"/>
        <v>50423</v>
      </c>
      <c r="Q22">
        <f t="shared" si="6"/>
        <v>0.60749870483488155</v>
      </c>
      <c r="R22">
        <f t="shared" si="7"/>
        <v>1</v>
      </c>
      <c r="S22">
        <f t="shared" si="8"/>
        <v>0</v>
      </c>
      <c r="T22">
        <f t="shared" si="9"/>
        <v>0</v>
      </c>
      <c r="U22">
        <f t="shared" si="10"/>
        <v>0</v>
      </c>
      <c r="V22">
        <f t="shared" si="11"/>
        <v>0</v>
      </c>
      <c r="W22">
        <f t="shared" si="12"/>
        <v>32578</v>
      </c>
      <c r="X22">
        <f t="shared" si="13"/>
        <v>187122</v>
      </c>
      <c r="Y22">
        <f t="shared" si="14"/>
        <v>1.7481235966117361</v>
      </c>
      <c r="Z22">
        <f t="shared" si="1"/>
        <v>0.28380279050345769</v>
      </c>
      <c r="AB22">
        <v>1970</v>
      </c>
      <c r="AC22" s="4">
        <f t="shared" si="19"/>
        <v>83000.999999999971</v>
      </c>
      <c r="AD22">
        <f t="shared" si="2"/>
        <v>0.60749870483488155</v>
      </c>
      <c r="AE22">
        <f t="shared" si="16"/>
        <v>32577.999999999985</v>
      </c>
      <c r="AF22">
        <f t="shared" si="17"/>
        <v>50422.999999999985</v>
      </c>
      <c r="AH22">
        <v>13</v>
      </c>
      <c r="AI22">
        <f t="shared" ca="1" si="20"/>
        <v>89858</v>
      </c>
      <c r="AJ22">
        <f t="shared" ca="1" si="21"/>
        <v>0.3237349840917752</v>
      </c>
      <c r="AK22">
        <f t="shared" ca="1" si="22"/>
        <v>170981</v>
      </c>
      <c r="AL22">
        <f t="shared" ca="1" si="23"/>
        <v>0.20076745857655276</v>
      </c>
      <c r="AM22">
        <f t="shared" ca="1" si="24"/>
        <v>24637</v>
      </c>
      <c r="AN22">
        <f t="shared" ca="1" si="25"/>
        <v>0.81346608798012998</v>
      </c>
      <c r="AO22">
        <f t="shared" ca="1" si="26"/>
        <v>13166</v>
      </c>
      <c r="AP22">
        <f t="shared" ca="1" si="27"/>
        <v>0.20873059660246795</v>
      </c>
    </row>
    <row r="23" spans="1:42" x14ac:dyDescent="0.55000000000000004">
      <c r="A23" s="8">
        <v>1971</v>
      </c>
      <c r="B23" s="9">
        <v>95940</v>
      </c>
      <c r="C23" s="9">
        <v>2</v>
      </c>
      <c r="D23" s="9">
        <v>95942</v>
      </c>
      <c r="E23" s="9"/>
      <c r="F23" s="9">
        <v>180549</v>
      </c>
      <c r="G23" s="9">
        <v>49669.000000000102</v>
      </c>
      <c r="H23" s="9"/>
      <c r="I23" s="9">
        <v>326160</v>
      </c>
      <c r="J23" s="9"/>
      <c r="K23" s="9"/>
      <c r="L23" s="9"/>
      <c r="M23" s="9"/>
      <c r="N23">
        <f t="shared" si="3"/>
        <v>1971</v>
      </c>
      <c r="O23">
        <f t="shared" si="4"/>
        <v>326158</v>
      </c>
      <c r="P23">
        <f t="shared" si="5"/>
        <v>230218.00000000012</v>
      </c>
      <c r="Q23">
        <f t="shared" si="6"/>
        <v>0.70584808589701964</v>
      </c>
      <c r="R23">
        <f t="shared" si="7"/>
        <v>1</v>
      </c>
      <c r="S23">
        <f t="shared" si="8"/>
        <v>0</v>
      </c>
      <c r="T23">
        <f t="shared" si="9"/>
        <v>0</v>
      </c>
      <c r="U23">
        <f t="shared" si="10"/>
        <v>0</v>
      </c>
      <c r="V23">
        <f t="shared" si="11"/>
        <v>0</v>
      </c>
      <c r="W23">
        <f t="shared" si="12"/>
        <v>95940</v>
      </c>
      <c r="X23">
        <f t="shared" si="13"/>
        <v>426225</v>
      </c>
      <c r="Y23">
        <f t="shared" si="14"/>
        <v>1.4912443797773771</v>
      </c>
      <c r="Z23">
        <f t="shared" si="1"/>
        <v>0.1852178555040529</v>
      </c>
      <c r="AB23">
        <v>1971</v>
      </c>
      <c r="AC23" s="4">
        <f t="shared" si="19"/>
        <v>326158.00000000012</v>
      </c>
      <c r="AD23">
        <f t="shared" si="2"/>
        <v>0.70584808589701964</v>
      </c>
      <c r="AE23">
        <f t="shared" si="16"/>
        <v>95939.999999999898</v>
      </c>
      <c r="AF23">
        <f t="shared" si="17"/>
        <v>230218.0000000002</v>
      </c>
      <c r="AH23">
        <v>14</v>
      </c>
      <c r="AI23">
        <f t="shared" ca="1" si="20"/>
        <v>9281</v>
      </c>
      <c r="AJ23">
        <f t="shared" ca="1" si="21"/>
        <v>1.3476574663058238</v>
      </c>
      <c r="AK23">
        <f t="shared" ca="1" si="22"/>
        <v>98537</v>
      </c>
      <c r="AL23">
        <f t="shared" ca="1" si="23"/>
        <v>-0.20995667998168166</v>
      </c>
      <c r="AM23">
        <f t="shared" ca="1" si="24"/>
        <v>35816</v>
      </c>
      <c r="AN23">
        <f t="shared" ca="1" si="25"/>
        <v>1.0483803888018113</v>
      </c>
      <c r="AO23">
        <f t="shared" ca="1" si="26"/>
        <v>5347</v>
      </c>
      <c r="AP23">
        <f t="shared" ca="1" si="27"/>
        <v>1.5515377412556484</v>
      </c>
    </row>
    <row r="24" spans="1:42" x14ac:dyDescent="0.55000000000000004">
      <c r="A24" s="8">
        <v>1972</v>
      </c>
      <c r="B24" s="9">
        <v>4657</v>
      </c>
      <c r="C24" s="9">
        <v>429</v>
      </c>
      <c r="D24" s="9">
        <v>5086</v>
      </c>
      <c r="E24" s="9"/>
      <c r="F24" s="9">
        <v>12126</v>
      </c>
      <c r="G24" s="9">
        <v>6975.99999999999</v>
      </c>
      <c r="H24" s="9"/>
      <c r="I24" s="9">
        <v>24188</v>
      </c>
      <c r="J24" s="9"/>
      <c r="K24" s="9"/>
      <c r="L24" s="9"/>
      <c r="M24" s="9"/>
      <c r="N24">
        <f t="shared" si="3"/>
        <v>1972</v>
      </c>
      <c r="O24">
        <f t="shared" si="4"/>
        <v>23759</v>
      </c>
      <c r="P24">
        <f t="shared" si="5"/>
        <v>19101.999999999989</v>
      </c>
      <c r="Q24">
        <f t="shared" si="6"/>
        <v>0.80399006692200803</v>
      </c>
      <c r="R24">
        <f t="shared" si="7"/>
        <v>0.99999999999999756</v>
      </c>
      <c r="S24">
        <f t="shared" si="8"/>
        <v>2.4424906541753444E-15</v>
      </c>
      <c r="T24">
        <f t="shared" si="9"/>
        <v>0</v>
      </c>
      <c r="U24">
        <f t="shared" si="10"/>
        <v>0</v>
      </c>
      <c r="V24">
        <f t="shared" si="11"/>
        <v>0</v>
      </c>
      <c r="W24">
        <f t="shared" si="12"/>
        <v>4657</v>
      </c>
      <c r="X24">
        <f t="shared" si="13"/>
        <v>43300</v>
      </c>
      <c r="Y24">
        <f t="shared" si="14"/>
        <v>2.2297811710082041</v>
      </c>
      <c r="Z24">
        <f t="shared" si="1"/>
        <v>0.69570665379368291</v>
      </c>
      <c r="AB24">
        <v>1972</v>
      </c>
      <c r="AC24" s="4">
        <f t="shared" si="19"/>
        <v>23758.999999999971</v>
      </c>
      <c r="AD24">
        <f t="shared" si="2"/>
        <v>0.80399006692200803</v>
      </c>
      <c r="AE24">
        <f t="shared" si="16"/>
        <v>4656.9999999999936</v>
      </c>
      <c r="AF24">
        <f t="shared" si="17"/>
        <v>19101.999999999964</v>
      </c>
      <c r="AH24">
        <v>15</v>
      </c>
      <c r="AI24">
        <f t="shared" ca="1" si="20"/>
        <v>29867</v>
      </c>
      <c r="AJ24">
        <f t="shared" ca="1" si="21"/>
        <v>1.8163211404738366</v>
      </c>
      <c r="AK24">
        <f t="shared" ca="1" si="22"/>
        <v>45297</v>
      </c>
      <c r="AL24">
        <f t="shared" ca="1" si="23"/>
        <v>1.3910515554235137</v>
      </c>
      <c r="AM24">
        <f t="shared" ca="1" si="24"/>
        <v>60262</v>
      </c>
      <c r="AN24">
        <f t="shared" ca="1" si="25"/>
        <v>0.74898317631804801</v>
      </c>
      <c r="AO24">
        <f t="shared" ca="1" si="26"/>
        <v>757</v>
      </c>
      <c r="AP24">
        <f t="shared" ca="1" si="27"/>
        <v>3.6366819061955673</v>
      </c>
    </row>
    <row r="25" spans="1:42" x14ac:dyDescent="0.55000000000000004">
      <c r="A25" s="8">
        <v>1973</v>
      </c>
      <c r="B25" s="9">
        <v>299892</v>
      </c>
      <c r="C25" s="9">
        <v>761</v>
      </c>
      <c r="D25" s="9">
        <v>300653</v>
      </c>
      <c r="E25" s="9"/>
      <c r="F25" s="9">
        <v>1016273</v>
      </c>
      <c r="G25" s="9">
        <v>50543</v>
      </c>
      <c r="H25" s="9"/>
      <c r="I25" s="9">
        <v>1367469</v>
      </c>
      <c r="J25" s="9"/>
      <c r="K25" s="9"/>
      <c r="L25" s="9"/>
      <c r="M25" s="9"/>
      <c r="N25">
        <f t="shared" si="3"/>
        <v>1973</v>
      </c>
      <c r="O25">
        <f t="shared" si="4"/>
        <v>1366708</v>
      </c>
      <c r="P25">
        <f t="shared" si="5"/>
        <v>1066816</v>
      </c>
      <c r="Q25">
        <f t="shared" si="6"/>
        <v>0.78057346558299212</v>
      </c>
      <c r="R25">
        <f t="shared" si="7"/>
        <v>1</v>
      </c>
      <c r="S25">
        <f t="shared" si="8"/>
        <v>0</v>
      </c>
      <c r="T25">
        <f t="shared" si="9"/>
        <v>0</v>
      </c>
      <c r="U25">
        <f t="shared" si="10"/>
        <v>0</v>
      </c>
      <c r="V25">
        <f t="shared" si="11"/>
        <v>0</v>
      </c>
      <c r="W25">
        <f t="shared" si="12"/>
        <v>299892</v>
      </c>
      <c r="X25">
        <f t="shared" si="13"/>
        <v>1487250</v>
      </c>
      <c r="Y25">
        <f t="shared" si="14"/>
        <v>1.6012616462273703</v>
      </c>
      <c r="Z25">
        <f t="shared" si="1"/>
        <v>0.80475873814044463</v>
      </c>
      <c r="AB25">
        <v>1973</v>
      </c>
      <c r="AC25" s="4">
        <f t="shared" si="19"/>
        <v>1366707.9999999998</v>
      </c>
      <c r="AD25">
        <f t="shared" si="2"/>
        <v>0.78057346558299212</v>
      </c>
      <c r="AE25">
        <f t="shared" si="16"/>
        <v>299891.99999999994</v>
      </c>
      <c r="AF25">
        <f t="shared" si="17"/>
        <v>1066815.9999999998</v>
      </c>
      <c r="AH25">
        <v>16</v>
      </c>
      <c r="AI25">
        <f t="shared" ca="1" si="20"/>
        <v>26230</v>
      </c>
      <c r="AJ25">
        <f t="shared" ca="1" si="21"/>
        <v>-0.38630182757842257</v>
      </c>
      <c r="AK25">
        <f t="shared" ca="1" si="22"/>
        <v>86262</v>
      </c>
      <c r="AL25">
        <f t="shared" ca="1" si="23"/>
        <v>-1.3532958934444546</v>
      </c>
      <c r="AM25">
        <f t="shared" ca="1" si="24"/>
        <v>68610</v>
      </c>
      <c r="AN25">
        <f t="shared" ca="1" si="25"/>
        <v>0.31981227046095567</v>
      </c>
      <c r="AO25">
        <f t="shared" ca="1" si="26"/>
        <v>10087</v>
      </c>
      <c r="AP25">
        <f t="shared" ca="1" si="27"/>
        <v>0.93691527942039521</v>
      </c>
    </row>
    <row r="26" spans="1:42" x14ac:dyDescent="0.55000000000000004">
      <c r="A26" s="8">
        <v>1974</v>
      </c>
      <c r="B26" s="9">
        <v>39533</v>
      </c>
      <c r="C26" s="9">
        <v>126</v>
      </c>
      <c r="D26" s="9">
        <v>39659</v>
      </c>
      <c r="E26" s="9"/>
      <c r="F26" s="9">
        <v>102819</v>
      </c>
      <c r="G26" s="9">
        <v>44770.000000000102</v>
      </c>
      <c r="H26" s="9"/>
      <c r="I26" s="9">
        <v>187248</v>
      </c>
      <c r="J26" s="9"/>
      <c r="K26" s="9"/>
      <c r="L26" s="9"/>
      <c r="M26" s="9"/>
      <c r="N26">
        <f t="shared" si="3"/>
        <v>1974</v>
      </c>
      <c r="O26">
        <f t="shared" si="4"/>
        <v>187122</v>
      </c>
      <c r="P26">
        <f t="shared" si="5"/>
        <v>147589.00000000012</v>
      </c>
      <c r="Q26">
        <f t="shared" si="6"/>
        <v>0.78873141586772333</v>
      </c>
      <c r="R26">
        <f t="shared" si="7"/>
        <v>1</v>
      </c>
      <c r="S26">
        <f t="shared" si="8"/>
        <v>0</v>
      </c>
      <c r="T26">
        <f t="shared" si="9"/>
        <v>0</v>
      </c>
      <c r="U26">
        <f t="shared" si="10"/>
        <v>0</v>
      </c>
      <c r="V26">
        <f t="shared" si="11"/>
        <v>0</v>
      </c>
      <c r="W26">
        <f t="shared" si="12"/>
        <v>39533</v>
      </c>
      <c r="X26">
        <f t="shared" si="13"/>
        <v>189988</v>
      </c>
      <c r="Y26">
        <f t="shared" si="14"/>
        <v>1.569825146114441</v>
      </c>
      <c r="Z26">
        <f t="shared" si="1"/>
        <v>0.1228796869043367</v>
      </c>
      <c r="AB26">
        <v>1974</v>
      </c>
      <c r="AC26" s="4">
        <f t="shared" si="19"/>
        <v>187121.99999999994</v>
      </c>
      <c r="AD26">
        <f t="shared" si="2"/>
        <v>0.78873141586772333</v>
      </c>
      <c r="AE26">
        <f t="shared" si="16"/>
        <v>39532.999999999862</v>
      </c>
      <c r="AF26">
        <f t="shared" si="17"/>
        <v>147589.00000000009</v>
      </c>
      <c r="AH26">
        <v>17</v>
      </c>
      <c r="AI26">
        <f t="shared" ca="1" si="20"/>
        <v>8608</v>
      </c>
      <c r="AJ26">
        <f t="shared" ca="1" si="21"/>
        <v>0.85135560173827618</v>
      </c>
      <c r="AK26">
        <f t="shared" ca="1" si="22"/>
        <v>15423</v>
      </c>
      <c r="AL26">
        <f t="shared" ca="1" si="23"/>
        <v>1.6280154913479548</v>
      </c>
      <c r="AM26">
        <f t="shared" ca="1" si="24"/>
        <v>48489</v>
      </c>
      <c r="AN26">
        <f t="shared" ca="1" si="25"/>
        <v>1.6602755357773129</v>
      </c>
      <c r="AO26">
        <f t="shared" ca="1" si="26"/>
        <v>89</v>
      </c>
      <c r="AP26">
        <f t="shared" ca="1" si="27"/>
        <v>5.7021331752344295</v>
      </c>
    </row>
    <row r="27" spans="1:42" x14ac:dyDescent="0.55000000000000004">
      <c r="A27" s="8">
        <v>1975</v>
      </c>
      <c r="B27" s="9">
        <v>65765</v>
      </c>
      <c r="C27" s="9">
        <v>15</v>
      </c>
      <c r="D27" s="9">
        <v>65780</v>
      </c>
      <c r="E27" s="9"/>
      <c r="F27" s="9">
        <v>288433</v>
      </c>
      <c r="G27" s="9">
        <v>57027</v>
      </c>
      <c r="H27" s="9"/>
      <c r="I27" s="9">
        <v>426240</v>
      </c>
      <c r="J27" s="9"/>
      <c r="K27" s="9"/>
      <c r="L27" s="9"/>
      <c r="M27" s="9"/>
      <c r="N27">
        <f t="shared" si="3"/>
        <v>1975</v>
      </c>
      <c r="O27">
        <f t="shared" si="4"/>
        <v>426225</v>
      </c>
      <c r="P27">
        <f t="shared" si="5"/>
        <v>345460</v>
      </c>
      <c r="Q27">
        <f t="shared" si="6"/>
        <v>0.81051088040354269</v>
      </c>
      <c r="R27">
        <f t="shared" si="7"/>
        <v>0.81427598588497463</v>
      </c>
      <c r="S27">
        <f t="shared" si="8"/>
        <v>0.18572401411502537</v>
      </c>
      <c r="T27">
        <f t="shared" si="9"/>
        <v>15000</v>
      </c>
      <c r="U27">
        <f t="shared" si="10"/>
        <v>0</v>
      </c>
      <c r="V27">
        <f t="shared" si="11"/>
        <v>0.18572401411502507</v>
      </c>
      <c r="W27">
        <f t="shared" si="12"/>
        <v>65765</v>
      </c>
      <c r="X27">
        <f t="shared" si="13"/>
        <v>252789</v>
      </c>
      <c r="Y27">
        <f t="shared" si="14"/>
        <v>1.3464673667470295</v>
      </c>
      <c r="Z27">
        <f t="shared" si="1"/>
        <v>-3.4943930014059488E-2</v>
      </c>
      <c r="AB27">
        <v>1975</v>
      </c>
      <c r="AC27" s="4">
        <f t="shared" si="19"/>
        <v>426224.99999999965</v>
      </c>
      <c r="AD27">
        <f t="shared" si="2"/>
        <v>0.81051088040354269</v>
      </c>
      <c r="AE27">
        <f t="shared" si="16"/>
        <v>65764.999999999942</v>
      </c>
      <c r="AF27">
        <f t="shared" si="17"/>
        <v>345459.99999999971</v>
      </c>
      <c r="AH27">
        <v>18</v>
      </c>
      <c r="AI27">
        <f t="shared" ca="1" si="20"/>
        <v>30</v>
      </c>
      <c r="AJ27">
        <f t="shared" ca="1" si="21"/>
        <v>0</v>
      </c>
      <c r="AK27">
        <f t="shared" ca="1" si="22"/>
        <v>53932</v>
      </c>
      <c r="AL27">
        <f t="shared" ca="1" si="23"/>
        <v>0</v>
      </c>
      <c r="AM27">
        <f t="shared" ca="1" si="24"/>
        <v>24929</v>
      </c>
      <c r="AN27">
        <f t="shared" ca="1" si="25"/>
        <v>0</v>
      </c>
      <c r="AO27">
        <f t="shared" ca="1" si="26"/>
        <v>9819</v>
      </c>
      <c r="AP27">
        <f t="shared" ca="1" si="27"/>
        <v>0</v>
      </c>
    </row>
    <row r="28" spans="1:42" x14ac:dyDescent="0.55000000000000004">
      <c r="A28" s="8">
        <v>1976</v>
      </c>
      <c r="B28" s="9">
        <v>11761</v>
      </c>
      <c r="C28" s="9">
        <v>887</v>
      </c>
      <c r="D28" s="9">
        <v>12648</v>
      </c>
      <c r="E28" s="9"/>
      <c r="F28" s="9">
        <v>14958</v>
      </c>
      <c r="G28" s="9">
        <v>16581</v>
      </c>
      <c r="H28" s="9"/>
      <c r="I28" s="9">
        <v>44187</v>
      </c>
      <c r="J28" s="9"/>
      <c r="K28" s="9"/>
      <c r="L28" s="9"/>
      <c r="M28" s="9"/>
      <c r="N28">
        <f t="shared" si="3"/>
        <v>1976</v>
      </c>
      <c r="O28">
        <f t="shared" si="4"/>
        <v>43300</v>
      </c>
      <c r="P28">
        <f t="shared" si="5"/>
        <v>31539</v>
      </c>
      <c r="Q28">
        <f t="shared" si="6"/>
        <v>0.72838337182448032</v>
      </c>
      <c r="R28">
        <f t="shared" si="7"/>
        <v>0.99999999999999978</v>
      </c>
      <c r="S28">
        <f t="shared" si="8"/>
        <v>0</v>
      </c>
      <c r="T28">
        <f t="shared" si="9"/>
        <v>0</v>
      </c>
      <c r="U28">
        <f t="shared" si="10"/>
        <v>0</v>
      </c>
      <c r="V28">
        <f t="shared" si="11"/>
        <v>0</v>
      </c>
      <c r="W28">
        <f t="shared" si="12"/>
        <v>11761</v>
      </c>
      <c r="X28">
        <f t="shared" si="13"/>
        <v>51798</v>
      </c>
      <c r="Y28">
        <f t="shared" si="14"/>
        <v>1.482562565612541</v>
      </c>
      <c r="Z28">
        <f t="shared" si="1"/>
        <v>-3.3764365065009905E-2</v>
      </c>
      <c r="AB28">
        <v>1976</v>
      </c>
      <c r="AC28" s="4">
        <f t="shared" si="19"/>
        <v>43299.999999999942</v>
      </c>
      <c r="AD28">
        <f t="shared" si="2"/>
        <v>0.72838337182448032</v>
      </c>
      <c r="AE28">
        <f t="shared" si="16"/>
        <v>11760.999999999985</v>
      </c>
      <c r="AF28">
        <f t="shared" si="17"/>
        <v>31538.999999999956</v>
      </c>
    </row>
    <row r="29" spans="1:42" x14ac:dyDescent="0.55000000000000004">
      <c r="A29" s="8">
        <v>1977</v>
      </c>
      <c r="B29" s="9">
        <v>117445</v>
      </c>
      <c r="C29" s="9">
        <v>572</v>
      </c>
      <c r="D29" s="9">
        <v>118017</v>
      </c>
      <c r="E29" s="9">
        <v>-138744.65201518999</v>
      </c>
      <c r="F29" s="9">
        <v>1143820.38965356</v>
      </c>
      <c r="G29" s="9">
        <v>87240.305451572902</v>
      </c>
      <c r="H29" s="9"/>
      <c r="I29" s="9">
        <v>1487822</v>
      </c>
      <c r="J29" s="9"/>
      <c r="K29" s="9"/>
      <c r="L29" s="9"/>
      <c r="M29" s="9"/>
      <c r="N29">
        <f t="shared" si="3"/>
        <v>1977</v>
      </c>
      <c r="O29">
        <f t="shared" si="4"/>
        <v>1487250</v>
      </c>
      <c r="P29">
        <f t="shared" si="5"/>
        <v>1231060.6951051329</v>
      </c>
      <c r="Q29">
        <f t="shared" si="6"/>
        <v>0.82774294510346802</v>
      </c>
      <c r="R29">
        <f t="shared" si="7"/>
        <v>0.45843053459314431</v>
      </c>
      <c r="S29">
        <f t="shared" si="8"/>
        <v>0.54156946540685569</v>
      </c>
      <c r="T29">
        <f t="shared" si="9"/>
        <v>138744.30489486712</v>
      </c>
      <c r="U29">
        <f t="shared" si="10"/>
        <v>138744.65201518999</v>
      </c>
      <c r="V29">
        <f t="shared" si="11"/>
        <v>0.54156946540685558</v>
      </c>
      <c r="W29">
        <f t="shared" si="12"/>
        <v>117445</v>
      </c>
      <c r="X29">
        <f t="shared" si="13"/>
        <v>839155</v>
      </c>
      <c r="Y29">
        <f t="shared" si="14"/>
        <v>1.9664252942549343</v>
      </c>
      <c r="Z29">
        <f t="shared" si="1"/>
        <v>0.7141236923461296</v>
      </c>
      <c r="AB29">
        <v>1977</v>
      </c>
      <c r="AC29" s="4">
        <f t="shared" si="19"/>
        <v>1487250.0000000002</v>
      </c>
      <c r="AD29">
        <f t="shared" si="2"/>
        <v>0.82774294510346802</v>
      </c>
      <c r="AE29">
        <f t="shared" si="16"/>
        <v>117445.00000000003</v>
      </c>
      <c r="AF29">
        <f t="shared" si="17"/>
        <v>1231060.6951051331</v>
      </c>
    </row>
    <row r="30" spans="1:42" x14ac:dyDescent="0.55000000000000004">
      <c r="A30" s="8">
        <v>1978</v>
      </c>
      <c r="B30" s="9">
        <v>50004</v>
      </c>
      <c r="C30" s="9">
        <v>93</v>
      </c>
      <c r="D30" s="9">
        <v>50097</v>
      </c>
      <c r="E30" s="9">
        <v>-43618.537115387597</v>
      </c>
      <c r="F30" s="9">
        <v>40788.548623861199</v>
      </c>
      <c r="G30" s="9">
        <v>55576.683967078097</v>
      </c>
      <c r="H30" s="9"/>
      <c r="I30" s="9">
        <v>190081</v>
      </c>
      <c r="J30" s="9"/>
      <c r="K30" s="9"/>
      <c r="L30" s="9"/>
      <c r="M30" s="9"/>
      <c r="N30">
        <f t="shared" si="3"/>
        <v>1978</v>
      </c>
      <c r="O30">
        <f t="shared" si="4"/>
        <v>189988</v>
      </c>
      <c r="P30">
        <f t="shared" si="5"/>
        <v>96365.232590939297</v>
      </c>
      <c r="Q30">
        <f t="shared" si="6"/>
        <v>0.5072174694767001</v>
      </c>
      <c r="R30">
        <f t="shared" si="7"/>
        <v>0.53410085371136629</v>
      </c>
      <c r="S30">
        <f t="shared" si="8"/>
        <v>0.46589914628863371</v>
      </c>
      <c r="T30">
        <f t="shared" si="9"/>
        <v>43618.767409060703</v>
      </c>
      <c r="U30">
        <f t="shared" si="10"/>
        <v>43618.537115387597</v>
      </c>
      <c r="V30">
        <f t="shared" si="11"/>
        <v>0.46589914628863371</v>
      </c>
      <c r="W30">
        <f t="shared" si="12"/>
        <v>50004</v>
      </c>
      <c r="X30">
        <f t="shared" si="13"/>
        <v>116738</v>
      </c>
      <c r="Y30">
        <f t="shared" si="14"/>
        <v>0.84782910531217082</v>
      </c>
      <c r="Z30">
        <f t="shared" si="1"/>
        <v>-0.5729571508252117</v>
      </c>
      <c r="AB30">
        <v>1978</v>
      </c>
      <c r="AC30" s="4">
        <f t="shared" si="19"/>
        <v>189987.99999999939</v>
      </c>
      <c r="AD30">
        <f t="shared" si="2"/>
        <v>0.5072174694767001</v>
      </c>
      <c r="AE30">
        <f t="shared" si="16"/>
        <v>50003.99999999984</v>
      </c>
      <c r="AF30">
        <f t="shared" si="17"/>
        <v>96365.232590938991</v>
      </c>
    </row>
    <row r="31" spans="1:42" x14ac:dyDescent="0.55000000000000004">
      <c r="A31" s="8">
        <v>1979</v>
      </c>
      <c r="B31" s="9">
        <v>92746</v>
      </c>
      <c r="C31" s="9">
        <v>17</v>
      </c>
      <c r="D31" s="9">
        <v>92763</v>
      </c>
      <c r="E31" s="9">
        <v>-30060.480911635601</v>
      </c>
      <c r="F31" s="9">
        <v>66744.1066655123</v>
      </c>
      <c r="G31" s="9">
        <v>63238.349365009002</v>
      </c>
      <c r="H31" s="9"/>
      <c r="I31" s="9">
        <v>252806</v>
      </c>
      <c r="J31" s="9"/>
      <c r="K31" s="9"/>
      <c r="L31" s="9"/>
      <c r="M31" s="9"/>
      <c r="N31">
        <f t="shared" si="3"/>
        <v>1979</v>
      </c>
      <c r="O31">
        <f t="shared" si="4"/>
        <v>252789</v>
      </c>
      <c r="P31">
        <f t="shared" si="5"/>
        <v>129982.45603052131</v>
      </c>
      <c r="Q31">
        <f t="shared" si="6"/>
        <v>0.5141934816408994</v>
      </c>
      <c r="R31">
        <f t="shared" si="7"/>
        <v>0.75522034088875856</v>
      </c>
      <c r="S31">
        <f t="shared" si="8"/>
        <v>0.24477965911124144</v>
      </c>
      <c r="T31">
        <f t="shared" si="9"/>
        <v>30060.543969478691</v>
      </c>
      <c r="U31">
        <f t="shared" si="10"/>
        <v>30060.480911635601</v>
      </c>
      <c r="V31">
        <f t="shared" si="11"/>
        <v>0.24477965911124155</v>
      </c>
      <c r="W31">
        <f t="shared" si="12"/>
        <v>92746</v>
      </c>
      <c r="X31">
        <f t="shared" si="13"/>
        <v>114797</v>
      </c>
      <c r="Y31">
        <f t="shared" si="14"/>
        <v>0.21330077726690147</v>
      </c>
      <c r="Z31">
        <f t="shared" si="1"/>
        <v>-1.1007051658407532</v>
      </c>
      <c r="AB31">
        <v>1979</v>
      </c>
      <c r="AC31" s="4">
        <f t="shared" si="19"/>
        <v>252788.99999999983</v>
      </c>
      <c r="AD31">
        <f t="shared" si="2"/>
        <v>0.5141934816408994</v>
      </c>
      <c r="AE31">
        <f t="shared" si="16"/>
        <v>92745.999999999942</v>
      </c>
      <c r="AF31">
        <f t="shared" si="17"/>
        <v>129982.45603052122</v>
      </c>
    </row>
    <row r="32" spans="1:42" x14ac:dyDescent="0.55000000000000004">
      <c r="A32" s="8">
        <v>1980</v>
      </c>
      <c r="B32" s="9">
        <v>16939</v>
      </c>
      <c r="C32" s="9">
        <v>87</v>
      </c>
      <c r="D32" s="9">
        <v>17026</v>
      </c>
      <c r="E32" s="9">
        <v>-19664.7615966087</v>
      </c>
      <c r="F32" s="9">
        <v>7749.6889941440104</v>
      </c>
      <c r="G32" s="9">
        <v>7444.3824658540198</v>
      </c>
      <c r="H32" s="9"/>
      <c r="I32" s="9">
        <v>51885</v>
      </c>
      <c r="J32" s="9"/>
      <c r="K32" s="9"/>
      <c r="L32" s="9"/>
      <c r="M32" s="9"/>
      <c r="N32">
        <f t="shared" si="3"/>
        <v>1980</v>
      </c>
      <c r="O32">
        <f t="shared" si="4"/>
        <v>51798</v>
      </c>
      <c r="P32">
        <f t="shared" si="5"/>
        <v>15194.071459998031</v>
      </c>
      <c r="Q32">
        <f t="shared" si="6"/>
        <v>0.29333316846206475</v>
      </c>
      <c r="R32">
        <f t="shared" si="7"/>
        <v>0.46276453581993277</v>
      </c>
      <c r="S32">
        <f t="shared" si="8"/>
        <v>0.53723546418006718</v>
      </c>
      <c r="T32">
        <f t="shared" si="9"/>
        <v>19664.928540001969</v>
      </c>
      <c r="U32">
        <f t="shared" si="10"/>
        <v>19664.7615966087</v>
      </c>
      <c r="V32">
        <f t="shared" si="11"/>
        <v>0.53723546418006718</v>
      </c>
      <c r="W32">
        <f t="shared" si="12"/>
        <v>16939</v>
      </c>
      <c r="X32">
        <f t="shared" si="13"/>
        <v>56018</v>
      </c>
      <c r="Y32">
        <f t="shared" si="14"/>
        <v>1.1960544120552368</v>
      </c>
      <c r="Z32">
        <f t="shared" si="1"/>
        <v>-0.30733656661099196</v>
      </c>
      <c r="AB32">
        <v>1980</v>
      </c>
      <c r="AC32" s="4">
        <f t="shared" si="19"/>
        <v>51797.999999999935</v>
      </c>
      <c r="AD32">
        <f t="shared" si="2"/>
        <v>0.29333316846206475</v>
      </c>
      <c r="AE32">
        <f t="shared" si="16"/>
        <v>16938.999999999978</v>
      </c>
      <c r="AF32">
        <f t="shared" si="17"/>
        <v>15194.071459998011</v>
      </c>
    </row>
    <row r="33" spans="1:42" x14ac:dyDescent="0.55000000000000004">
      <c r="A33" s="8">
        <v>1981</v>
      </c>
      <c r="B33" s="9">
        <v>138031</v>
      </c>
      <c r="C33" s="9">
        <v>41</v>
      </c>
      <c r="D33" s="9">
        <v>138072</v>
      </c>
      <c r="E33" s="9">
        <v>-72286.637537947507</v>
      </c>
      <c r="F33" s="9">
        <v>494405.413531208</v>
      </c>
      <c r="G33" s="9">
        <v>134431.92723887201</v>
      </c>
      <c r="H33" s="9"/>
      <c r="I33" s="9">
        <v>839196</v>
      </c>
      <c r="J33" s="9"/>
      <c r="K33" s="9"/>
      <c r="L33" s="9"/>
      <c r="M33" s="9"/>
      <c r="N33">
        <f t="shared" si="3"/>
        <v>1981</v>
      </c>
      <c r="O33">
        <f t="shared" si="4"/>
        <v>839155</v>
      </c>
      <c r="P33">
        <f t="shared" si="5"/>
        <v>628837.34077007999</v>
      </c>
      <c r="Q33">
        <f t="shared" si="6"/>
        <v>0.74936971211525882</v>
      </c>
      <c r="R33">
        <f t="shared" si="7"/>
        <v>0.65629771891434008</v>
      </c>
      <c r="S33">
        <f t="shared" si="8"/>
        <v>0.34370228108565992</v>
      </c>
      <c r="T33">
        <f t="shared" si="9"/>
        <v>72286.659229920013</v>
      </c>
      <c r="U33">
        <f t="shared" si="10"/>
        <v>72286.637537947507</v>
      </c>
      <c r="V33">
        <f t="shared" si="11"/>
        <v>0.34370228108565998</v>
      </c>
      <c r="W33">
        <f t="shared" si="12"/>
        <v>138031</v>
      </c>
      <c r="X33">
        <f t="shared" si="13"/>
        <v>367498</v>
      </c>
      <c r="Y33">
        <f t="shared" si="14"/>
        <v>0.97923957885011381</v>
      </c>
      <c r="Z33">
        <f t="shared" si="1"/>
        <v>-0.22163299484218291</v>
      </c>
      <c r="AB33">
        <v>1981</v>
      </c>
      <c r="AC33" s="4">
        <f t="shared" si="19"/>
        <v>839155.00000000023</v>
      </c>
      <c r="AD33">
        <f t="shared" si="2"/>
        <v>0.74936971211525882</v>
      </c>
      <c r="AE33">
        <f t="shared" si="16"/>
        <v>138031.00000000003</v>
      </c>
      <c r="AF33">
        <f t="shared" si="17"/>
        <v>628837.34077008022</v>
      </c>
    </row>
    <row r="34" spans="1:42" x14ac:dyDescent="0.55000000000000004">
      <c r="A34" s="8">
        <v>1982</v>
      </c>
      <c r="B34" s="9">
        <v>4557</v>
      </c>
      <c r="C34" s="9">
        <v>3</v>
      </c>
      <c r="D34" s="9">
        <v>4560</v>
      </c>
      <c r="E34" s="9">
        <v>-44904.300468589201</v>
      </c>
      <c r="F34" s="9">
        <v>26291.857153551198</v>
      </c>
      <c r="G34" s="9">
        <v>40984.9887931868</v>
      </c>
      <c r="H34" s="9"/>
      <c r="I34" s="9">
        <v>116741</v>
      </c>
      <c r="J34" s="9"/>
      <c r="K34" s="9"/>
      <c r="L34" s="9"/>
      <c r="M34" s="9"/>
      <c r="N34">
        <f t="shared" si="3"/>
        <v>1982</v>
      </c>
      <c r="O34">
        <f t="shared" si="4"/>
        <v>116738</v>
      </c>
      <c r="P34">
        <f t="shared" si="5"/>
        <v>67276.845946738002</v>
      </c>
      <c r="Q34">
        <f t="shared" si="6"/>
        <v>0.57630630940000682</v>
      </c>
      <c r="R34">
        <f t="shared" si="7"/>
        <v>9.213290889033475E-2</v>
      </c>
      <c r="S34">
        <f t="shared" si="8"/>
        <v>0.90786709110966524</v>
      </c>
      <c r="T34">
        <f t="shared" si="9"/>
        <v>44904.154053261998</v>
      </c>
      <c r="U34">
        <f t="shared" si="10"/>
        <v>44904.300468589201</v>
      </c>
      <c r="V34">
        <f t="shared" si="11"/>
        <v>0.90786709110966524</v>
      </c>
      <c r="W34">
        <f t="shared" si="12"/>
        <v>4557</v>
      </c>
      <c r="X34">
        <f t="shared" si="13"/>
        <v>44323</v>
      </c>
      <c r="Y34">
        <f t="shared" si="14"/>
        <v>2.2748392173971359</v>
      </c>
      <c r="Z34">
        <f t="shared" si="1"/>
        <v>0.74051487492167767</v>
      </c>
      <c r="AB34">
        <v>1982</v>
      </c>
      <c r="AC34" s="4">
        <f t="shared" si="19"/>
        <v>116737.99999999965</v>
      </c>
      <c r="AD34">
        <f t="shared" si="2"/>
        <v>0.57630630940000682</v>
      </c>
      <c r="AE34">
        <f t="shared" si="16"/>
        <v>4556.9999999999854</v>
      </c>
      <c r="AF34">
        <f t="shared" si="17"/>
        <v>67276.845946737798</v>
      </c>
    </row>
    <row r="35" spans="1:42" x14ac:dyDescent="0.55000000000000004">
      <c r="A35" s="8">
        <v>1983</v>
      </c>
      <c r="B35" s="9">
        <v>23867</v>
      </c>
      <c r="C35" s="9">
        <v>7</v>
      </c>
      <c r="D35" s="9">
        <v>23874</v>
      </c>
      <c r="E35" s="9">
        <v>-25289.7784866367</v>
      </c>
      <c r="F35" s="9">
        <v>12836.2451923054</v>
      </c>
      <c r="G35" s="9">
        <v>52804.154415131903</v>
      </c>
      <c r="H35" s="9">
        <v>0</v>
      </c>
      <c r="I35" s="9">
        <v>114804</v>
      </c>
      <c r="J35" s="9"/>
      <c r="K35" s="9"/>
      <c r="L35" s="9"/>
      <c r="M35" s="9"/>
      <c r="N35">
        <f t="shared" si="3"/>
        <v>1983</v>
      </c>
      <c r="O35">
        <f t="shared" si="4"/>
        <v>114797</v>
      </c>
      <c r="P35">
        <f t="shared" si="5"/>
        <v>65640.399607437299</v>
      </c>
      <c r="Q35">
        <f t="shared" si="6"/>
        <v>0.57179542677454376</v>
      </c>
      <c r="R35">
        <f t="shared" si="7"/>
        <v>0.48552991479067031</v>
      </c>
      <c r="S35">
        <f t="shared" si="8"/>
        <v>0.51447008520932969</v>
      </c>
      <c r="T35">
        <f t="shared" si="9"/>
        <v>25289.600392562701</v>
      </c>
      <c r="U35">
        <f t="shared" si="10"/>
        <v>25289.7784866367</v>
      </c>
      <c r="V35">
        <f t="shared" si="11"/>
        <v>0.51447008520932969</v>
      </c>
      <c r="W35">
        <f t="shared" si="12"/>
        <v>23867</v>
      </c>
      <c r="X35">
        <f t="shared" si="13"/>
        <v>190715</v>
      </c>
      <c r="Y35">
        <f t="shared" si="14"/>
        <v>2.078283415408968</v>
      </c>
      <c r="Z35">
        <f t="shared" si="1"/>
        <v>0.59220033082046042</v>
      </c>
      <c r="AB35">
        <v>1983</v>
      </c>
      <c r="AC35" s="4">
        <f t="shared" si="19"/>
        <v>114796.99999999993</v>
      </c>
      <c r="AD35">
        <f t="shared" si="2"/>
        <v>0.57179542677454376</v>
      </c>
      <c r="AE35">
        <f t="shared" si="16"/>
        <v>23866.999999999985</v>
      </c>
      <c r="AF35">
        <f t="shared" si="17"/>
        <v>65640.399607437255</v>
      </c>
    </row>
    <row r="36" spans="1:42" x14ac:dyDescent="0.55000000000000004">
      <c r="A36" s="8">
        <v>1984</v>
      </c>
      <c r="B36" s="9">
        <v>45201</v>
      </c>
      <c r="C36" s="9">
        <v>46</v>
      </c>
      <c r="D36" s="9">
        <v>45247</v>
      </c>
      <c r="E36" s="9">
        <v>12177.640583112399</v>
      </c>
      <c r="F36" s="9">
        <v>1847.3423524437301</v>
      </c>
      <c r="G36" s="9">
        <v>8970.0983869772499</v>
      </c>
      <c r="H36" s="9">
        <v>0</v>
      </c>
      <c r="I36" s="9">
        <v>56064</v>
      </c>
      <c r="J36" s="9"/>
      <c r="K36" s="9"/>
      <c r="L36" s="9"/>
      <c r="M36" s="9"/>
      <c r="N36">
        <f t="shared" si="3"/>
        <v>1984</v>
      </c>
      <c r="O36">
        <f t="shared" si="4"/>
        <v>56018</v>
      </c>
      <c r="P36">
        <f t="shared" si="5"/>
        <v>10817.440739420979</v>
      </c>
      <c r="Q36">
        <f t="shared" si="6"/>
        <v>0.19310651468136991</v>
      </c>
      <c r="R36">
        <f t="shared" si="7"/>
        <v>1</v>
      </c>
      <c r="S36">
        <f t="shared" si="8"/>
        <v>0</v>
      </c>
      <c r="T36">
        <f t="shared" si="9"/>
        <v>-0.44073942097747931</v>
      </c>
      <c r="U36">
        <f t="shared" si="10"/>
        <v>-12177.640583112399</v>
      </c>
      <c r="V36">
        <f t="shared" si="11"/>
        <v>-9.7507514992599546E-6</v>
      </c>
      <c r="W36">
        <f t="shared" si="12"/>
        <v>45201</v>
      </c>
      <c r="X36">
        <f t="shared" si="13"/>
        <v>221817</v>
      </c>
      <c r="Y36">
        <f t="shared" si="14"/>
        <v>1.5907335071185702</v>
      </c>
      <c r="Z36">
        <f t="shared" ref="Z36:Z67" si="28">Y36-(ra-rb*W36)</f>
        <v>0.15794814369837962</v>
      </c>
      <c r="AB36">
        <v>1984</v>
      </c>
      <c r="AC36" s="4">
        <f t="shared" si="19"/>
        <v>56017.999999999935</v>
      </c>
      <c r="AD36">
        <f t="shared" ref="AD36:AD67" si="29">IF(AND(useretro,N36&gt;=yrretro),retroU,Q36)</f>
        <v>0.19310651468136991</v>
      </c>
      <c r="AE36">
        <f t="shared" si="16"/>
        <v>45200.559260578964</v>
      </c>
      <c r="AF36">
        <f t="shared" si="17"/>
        <v>10817.440739420967</v>
      </c>
    </row>
    <row r="37" spans="1:42" x14ac:dyDescent="0.55000000000000004">
      <c r="A37" s="8">
        <v>1985</v>
      </c>
      <c r="B37" s="9">
        <v>237532</v>
      </c>
      <c r="C37" s="9">
        <v>12</v>
      </c>
      <c r="D37" s="9">
        <v>237544</v>
      </c>
      <c r="E37" s="9">
        <v>9611.3626783306208</v>
      </c>
      <c r="F37" s="9">
        <v>57274.831767070202</v>
      </c>
      <c r="G37" s="9">
        <v>72691.060585710497</v>
      </c>
      <c r="H37" s="9">
        <v>0</v>
      </c>
      <c r="I37" s="9">
        <v>367510</v>
      </c>
      <c r="J37" s="9"/>
      <c r="K37" s="9"/>
      <c r="L37" s="9"/>
      <c r="M37" s="9"/>
      <c r="N37">
        <f t="shared" si="3"/>
        <v>1985</v>
      </c>
      <c r="O37">
        <f t="shared" si="4"/>
        <v>367498</v>
      </c>
      <c r="P37">
        <f t="shared" si="5"/>
        <v>129965.89235278071</v>
      </c>
      <c r="Q37">
        <f t="shared" si="6"/>
        <v>0.35365061130341036</v>
      </c>
      <c r="R37">
        <f t="shared" si="7"/>
        <v>0.99999954680981706</v>
      </c>
      <c r="S37">
        <f t="shared" si="8"/>
        <v>4.5319018293632496E-7</v>
      </c>
      <c r="T37">
        <f t="shared" si="9"/>
        <v>0.10764721932355314</v>
      </c>
      <c r="U37">
        <f t="shared" si="10"/>
        <v>-9611.3626783306208</v>
      </c>
      <c r="V37">
        <f t="shared" si="11"/>
        <v>4.5319018296014908E-7</v>
      </c>
      <c r="W37">
        <f t="shared" si="12"/>
        <v>237532</v>
      </c>
      <c r="X37">
        <f t="shared" si="13"/>
        <v>1212218</v>
      </c>
      <c r="Y37">
        <f t="shared" si="14"/>
        <v>1.6299046672011435</v>
      </c>
      <c r="Z37">
        <f t="shared" si="28"/>
        <v>0.67761072639385311</v>
      </c>
      <c r="AB37">
        <v>1985</v>
      </c>
      <c r="AC37" s="4">
        <f t="shared" si="19"/>
        <v>367498.00000000006</v>
      </c>
      <c r="AD37">
        <f t="shared" si="29"/>
        <v>0.35365061130341036</v>
      </c>
      <c r="AE37">
        <f t="shared" si="16"/>
        <v>237532.00000000003</v>
      </c>
      <c r="AF37">
        <f t="shared" si="17"/>
        <v>129965.89235278072</v>
      </c>
    </row>
    <row r="38" spans="1:42" x14ac:dyDescent="0.55000000000000004">
      <c r="A38" s="8">
        <v>1986</v>
      </c>
      <c r="B38" s="9">
        <v>28584</v>
      </c>
      <c r="C38" s="9">
        <v>420</v>
      </c>
      <c r="D38" s="9">
        <v>29004</v>
      </c>
      <c r="E38" s="9">
        <v>14652.828161528299</v>
      </c>
      <c r="F38" s="9">
        <v>2157.1533468983998</v>
      </c>
      <c r="G38" s="9">
        <v>13581.384800088799</v>
      </c>
      <c r="H38" s="9">
        <v>0</v>
      </c>
      <c r="I38" s="9">
        <v>44743</v>
      </c>
      <c r="J38" s="9"/>
      <c r="K38" s="9"/>
      <c r="L38" s="9"/>
      <c r="M38" s="9"/>
      <c r="N38">
        <f t="shared" si="3"/>
        <v>1986</v>
      </c>
      <c r="O38">
        <f t="shared" si="4"/>
        <v>44323</v>
      </c>
      <c r="P38">
        <f t="shared" si="5"/>
        <v>15738.538146987199</v>
      </c>
      <c r="Q38">
        <f t="shared" si="6"/>
        <v>0.35508738458559214</v>
      </c>
      <c r="R38">
        <f t="shared" si="7"/>
        <v>0.99998384251502881</v>
      </c>
      <c r="S38">
        <f t="shared" si="8"/>
        <v>1.6157484971190961E-5</v>
      </c>
      <c r="T38">
        <f t="shared" si="9"/>
        <v>0.46185301279911073</v>
      </c>
      <c r="U38">
        <f t="shared" si="10"/>
        <v>-14652.828161528299</v>
      </c>
      <c r="V38">
        <f t="shared" si="11"/>
        <v>1.6157484971172597E-5</v>
      </c>
      <c r="W38">
        <f t="shared" si="12"/>
        <v>28584</v>
      </c>
      <c r="X38">
        <f t="shared" si="13"/>
        <v>191264</v>
      </c>
      <c r="Y38">
        <f t="shared" si="14"/>
        <v>1.900807551920735</v>
      </c>
      <c r="Z38">
        <f t="shared" si="28"/>
        <v>0.42650872489062963</v>
      </c>
      <c r="AB38">
        <v>1986</v>
      </c>
      <c r="AC38" s="4">
        <f t="shared" si="19"/>
        <v>44322.999999999862</v>
      </c>
      <c r="AD38">
        <f t="shared" si="29"/>
        <v>0.35508738458559214</v>
      </c>
      <c r="AE38">
        <f t="shared" si="16"/>
        <v>28583.999999999909</v>
      </c>
      <c r="AF38">
        <f t="shared" si="17"/>
        <v>15738.538146987152</v>
      </c>
    </row>
    <row r="39" spans="1:42" x14ac:dyDescent="0.55000000000000004">
      <c r="A39" s="8">
        <v>1987</v>
      </c>
      <c r="B39" s="9">
        <v>148194</v>
      </c>
      <c r="C39" s="9">
        <v>244</v>
      </c>
      <c r="D39" s="9">
        <v>148438</v>
      </c>
      <c r="E39" s="9">
        <v>-13022.5529502473</v>
      </c>
      <c r="F39" s="9">
        <v>8168.0586535028697</v>
      </c>
      <c r="G39" s="9">
        <v>21330</v>
      </c>
      <c r="H39" s="9">
        <v>0</v>
      </c>
      <c r="I39" s="9">
        <v>190959</v>
      </c>
      <c r="J39" s="9"/>
      <c r="K39" s="9"/>
      <c r="L39" s="9"/>
      <c r="M39" s="9"/>
      <c r="N39">
        <f t="shared" si="3"/>
        <v>1987</v>
      </c>
      <c r="O39">
        <f t="shared" si="4"/>
        <v>190715</v>
      </c>
      <c r="P39">
        <f t="shared" si="5"/>
        <v>29498.058653502871</v>
      </c>
      <c r="Q39">
        <f t="shared" si="6"/>
        <v>0.1546708893034259</v>
      </c>
      <c r="R39">
        <f t="shared" si="7"/>
        <v>0.91922101214842278</v>
      </c>
      <c r="S39">
        <f t="shared" si="8"/>
        <v>8.0778987851577222E-2</v>
      </c>
      <c r="T39">
        <f t="shared" si="9"/>
        <v>13022.941346497129</v>
      </c>
      <c r="U39">
        <f t="shared" si="10"/>
        <v>13022.5529502473</v>
      </c>
      <c r="V39">
        <f t="shared" si="11"/>
        <v>8.0778987851577222E-2</v>
      </c>
      <c r="W39">
        <f t="shared" si="12"/>
        <v>148194</v>
      </c>
      <c r="X39">
        <f t="shared" si="13"/>
        <v>582770</v>
      </c>
      <c r="Y39">
        <f t="shared" si="14"/>
        <v>1.3692703711488139</v>
      </c>
      <c r="Z39">
        <f t="shared" si="28"/>
        <v>0.19378753872555277</v>
      </c>
      <c r="AB39">
        <v>1987</v>
      </c>
      <c r="AC39" s="4">
        <f t="shared" si="19"/>
        <v>190714.99999999991</v>
      </c>
      <c r="AD39">
        <f t="shared" si="29"/>
        <v>0.1546708893034259</v>
      </c>
      <c r="AE39">
        <f t="shared" si="16"/>
        <v>148193.99999999994</v>
      </c>
      <c r="AF39">
        <f t="shared" si="17"/>
        <v>29498.058653502856</v>
      </c>
    </row>
    <row r="40" spans="1:42" x14ac:dyDescent="0.55000000000000004">
      <c r="A40" s="8">
        <v>1988</v>
      </c>
      <c r="B40" s="9">
        <v>179807</v>
      </c>
      <c r="C40" s="9">
        <v>2322</v>
      </c>
      <c r="D40" s="9">
        <v>182129</v>
      </c>
      <c r="E40" s="9">
        <v>13559.503735317199</v>
      </c>
      <c r="F40" s="9">
        <v>15779.265670508201</v>
      </c>
      <c r="G40" s="9">
        <v>26231</v>
      </c>
      <c r="H40" s="9">
        <v>0</v>
      </c>
      <c r="I40" s="9">
        <v>224139</v>
      </c>
      <c r="J40" s="9"/>
      <c r="K40" s="9"/>
      <c r="L40" s="9"/>
      <c r="M40" s="9"/>
      <c r="N40">
        <f t="shared" si="3"/>
        <v>1988</v>
      </c>
      <c r="O40">
        <f t="shared" si="4"/>
        <v>221817</v>
      </c>
      <c r="P40">
        <f t="shared" si="5"/>
        <v>42010.265670508204</v>
      </c>
      <c r="Q40">
        <f t="shared" si="6"/>
        <v>0.18939155101055466</v>
      </c>
      <c r="R40">
        <f t="shared" si="7"/>
        <v>1</v>
      </c>
      <c r="S40">
        <f t="shared" si="8"/>
        <v>0</v>
      </c>
      <c r="T40">
        <f t="shared" si="9"/>
        <v>-0.26567050820449367</v>
      </c>
      <c r="U40">
        <f t="shared" si="10"/>
        <v>-13559.503735317199</v>
      </c>
      <c r="V40">
        <f t="shared" si="11"/>
        <v>-1.4775336930243026E-6</v>
      </c>
      <c r="W40">
        <f t="shared" si="12"/>
        <v>179807</v>
      </c>
      <c r="X40">
        <f t="shared" si="13"/>
        <v>377450</v>
      </c>
      <c r="Y40">
        <f t="shared" si="14"/>
        <v>0.74155405615912051</v>
      </c>
      <c r="Z40">
        <f t="shared" si="28"/>
        <v>-0.35495151652410084</v>
      </c>
      <c r="AB40">
        <v>1988</v>
      </c>
      <c r="AC40" s="4">
        <f t="shared" ref="AC40:AC71" si="30">AE36*EXP(ra-rb*AE36+Z36)</f>
        <v>221815.08137430626</v>
      </c>
      <c r="AD40">
        <f t="shared" si="29"/>
        <v>0.18939155101055466</v>
      </c>
      <c r="AE40">
        <f t="shared" si="16"/>
        <v>179805.17907529403</v>
      </c>
      <c r="AF40">
        <f t="shared" si="17"/>
        <v>42009.902299012254</v>
      </c>
    </row>
    <row r="41" spans="1:42" x14ac:dyDescent="0.55000000000000004">
      <c r="A41" s="8">
        <v>1989</v>
      </c>
      <c r="B41" s="9">
        <v>384799</v>
      </c>
      <c r="C41" s="9">
        <v>20</v>
      </c>
      <c r="D41" s="9">
        <v>384819</v>
      </c>
      <c r="E41" s="9">
        <v>120210.697503541</v>
      </c>
      <c r="F41" s="9">
        <v>637567.43252741999</v>
      </c>
      <c r="G41" s="9">
        <v>189851</v>
      </c>
      <c r="H41" s="9">
        <v>0.23633859649122799</v>
      </c>
      <c r="I41" s="9">
        <v>1212238</v>
      </c>
      <c r="J41" s="9"/>
      <c r="K41" s="9"/>
      <c r="L41" s="9"/>
      <c r="M41" s="9"/>
      <c r="N41">
        <f t="shared" si="3"/>
        <v>1989</v>
      </c>
      <c r="O41">
        <f t="shared" si="4"/>
        <v>1212218</v>
      </c>
      <c r="P41">
        <f t="shared" si="5"/>
        <v>827418.43252741999</v>
      </c>
      <c r="Q41">
        <f t="shared" si="6"/>
        <v>0.68256570396366001</v>
      </c>
      <c r="R41">
        <f t="shared" si="7"/>
        <v>0.99999852527750044</v>
      </c>
      <c r="S41">
        <f t="shared" si="8"/>
        <v>1.4747224995614872E-6</v>
      </c>
      <c r="T41">
        <f t="shared" si="9"/>
        <v>0.56747257988899946</v>
      </c>
      <c r="U41">
        <f t="shared" si="10"/>
        <v>-120210.697503541</v>
      </c>
      <c r="V41">
        <f t="shared" si="11"/>
        <v>1.4747224993423007E-6</v>
      </c>
      <c r="W41">
        <f t="shared" si="12"/>
        <v>384799</v>
      </c>
      <c r="X41">
        <f t="shared" si="13"/>
        <v>1151704</v>
      </c>
      <c r="Y41">
        <f t="shared" si="14"/>
        <v>1.0962767437599368</v>
      </c>
      <c r="Z41">
        <f t="shared" si="28"/>
        <v>0.51189296997685962</v>
      </c>
      <c r="AB41">
        <v>1989</v>
      </c>
      <c r="AC41" s="4">
        <f>AE37*EXP(ra-rb*AE37+Z37)</f>
        <v>1212218.0000000002</v>
      </c>
      <c r="AD41">
        <f t="shared" si="29"/>
        <v>0.68256570396366001</v>
      </c>
      <c r="AE41">
        <f t="shared" si="16"/>
        <v>384799.00000000012</v>
      </c>
      <c r="AF41">
        <f t="shared" si="17"/>
        <v>827418.43252742011</v>
      </c>
    </row>
    <row r="42" spans="1:42" s="4" customFormat="1" x14ac:dyDescent="0.55000000000000004">
      <c r="A42" s="11">
        <v>1990</v>
      </c>
      <c r="B42" s="12">
        <v>97035</v>
      </c>
      <c r="C42" s="12">
        <v>14</v>
      </c>
      <c r="D42" s="12">
        <v>97049</v>
      </c>
      <c r="E42" s="12">
        <v>-36242.083243653302</v>
      </c>
      <c r="F42" s="12">
        <v>6809.0404648243202</v>
      </c>
      <c r="G42" s="12">
        <v>51178</v>
      </c>
      <c r="H42" s="12">
        <v>0</v>
      </c>
      <c r="I42" s="12">
        <v>191278</v>
      </c>
      <c r="J42" s="12"/>
      <c r="K42" s="12"/>
      <c r="L42" s="12"/>
      <c r="M42" s="12"/>
      <c r="N42" s="4">
        <f t="shared" si="3"/>
        <v>1990</v>
      </c>
      <c r="O42" s="4">
        <f t="shared" si="4"/>
        <v>191264</v>
      </c>
      <c r="P42" s="4">
        <f t="shared" si="5"/>
        <v>57987.04046482432</v>
      </c>
      <c r="Q42">
        <f t="shared" si="6"/>
        <v>0.30317801815722939</v>
      </c>
      <c r="R42">
        <f t="shared" si="7"/>
        <v>0.72807033067399496</v>
      </c>
      <c r="S42">
        <f t="shared" si="8"/>
        <v>0.27192966932600504</v>
      </c>
      <c r="T42" s="4">
        <f t="shared" si="9"/>
        <v>36241.959535175672</v>
      </c>
      <c r="U42" s="4">
        <f t="shared" si="10"/>
        <v>36242.083243653302</v>
      </c>
      <c r="V42">
        <f t="shared" si="11"/>
        <v>0.27192966932600504</v>
      </c>
      <c r="W42">
        <f t="shared" si="12"/>
        <v>97035</v>
      </c>
      <c r="X42">
        <f t="shared" si="13"/>
        <v>217946</v>
      </c>
      <c r="Y42">
        <f t="shared" si="14"/>
        <v>0.80917558751870933</v>
      </c>
      <c r="Z42">
        <f t="shared" si="28"/>
        <v>-0.49411535014735375</v>
      </c>
      <c r="AA42"/>
      <c r="AB42">
        <v>1990</v>
      </c>
      <c r="AC42" s="4">
        <f t="shared" si="30"/>
        <v>191263.99999999948</v>
      </c>
      <c r="AD42">
        <f t="shared" si="29"/>
        <v>0.3</v>
      </c>
      <c r="AE42">
        <f>AC42*(1-AD42)*R42</f>
        <v>97477.550608221412</v>
      </c>
      <c r="AF42">
        <f t="shared" si="17"/>
        <v>57379.199999999844</v>
      </c>
      <c r="AH42"/>
      <c r="AI42"/>
      <c r="AJ42"/>
      <c r="AK42"/>
      <c r="AL42"/>
      <c r="AM42"/>
      <c r="AN42"/>
      <c r="AO42"/>
      <c r="AP42"/>
    </row>
    <row r="43" spans="1:42" x14ac:dyDescent="0.55000000000000004">
      <c r="A43" s="8">
        <v>1991</v>
      </c>
      <c r="B43" s="9">
        <v>141119</v>
      </c>
      <c r="C43" s="9">
        <v>33</v>
      </c>
      <c r="D43" s="9">
        <v>141152</v>
      </c>
      <c r="E43" s="9">
        <v>-70320.007002752594</v>
      </c>
      <c r="F43" s="9">
        <v>194808.891275125</v>
      </c>
      <c r="G43" s="9">
        <v>176522</v>
      </c>
      <c r="H43" s="9">
        <v>0</v>
      </c>
      <c r="I43" s="9">
        <v>582803</v>
      </c>
      <c r="J43" s="9"/>
      <c r="K43" s="9"/>
      <c r="L43" s="9"/>
      <c r="M43" s="9"/>
      <c r="N43">
        <f t="shared" si="3"/>
        <v>1991</v>
      </c>
      <c r="O43">
        <f t="shared" si="4"/>
        <v>582770</v>
      </c>
      <c r="P43">
        <f t="shared" si="5"/>
        <v>371330.89127512497</v>
      </c>
      <c r="Q43">
        <f t="shared" si="6"/>
        <v>0.6371825785045987</v>
      </c>
      <c r="R43">
        <f t="shared" si="7"/>
        <v>0.66742146640252975</v>
      </c>
      <c r="S43">
        <f t="shared" si="8"/>
        <v>0.33257853359747025</v>
      </c>
      <c r="T43">
        <f t="shared" si="9"/>
        <v>70320.108724875026</v>
      </c>
      <c r="U43">
        <f t="shared" si="10"/>
        <v>70320.007002752594</v>
      </c>
      <c r="V43">
        <f t="shared" si="11"/>
        <v>0.3325785335974703</v>
      </c>
      <c r="W43">
        <f t="shared" si="12"/>
        <v>141119</v>
      </c>
      <c r="X43">
        <f t="shared" si="13"/>
        <v>203102</v>
      </c>
      <c r="Y43">
        <f t="shared" si="14"/>
        <v>0.36410480983811</v>
      </c>
      <c r="Z43">
        <f t="shared" si="28"/>
        <v>-0.82905315979644978</v>
      </c>
      <c r="AB43">
        <v>1991</v>
      </c>
      <c r="AC43" s="4">
        <f t="shared" si="30"/>
        <v>582769.99999999988</v>
      </c>
      <c r="AD43">
        <f t="shared" si="29"/>
        <v>0.3</v>
      </c>
      <c r="AE43">
        <f t="shared" si="16"/>
        <v>272267.2455827815</v>
      </c>
      <c r="AF43">
        <f t="shared" si="17"/>
        <v>174830.99999999997</v>
      </c>
    </row>
    <row r="44" spans="1:42" x14ac:dyDescent="0.55000000000000004">
      <c r="A44" s="8">
        <v>1992</v>
      </c>
      <c r="B44" s="9">
        <v>66098</v>
      </c>
      <c r="C44" s="9">
        <v>422</v>
      </c>
      <c r="D44" s="9">
        <v>66520</v>
      </c>
      <c r="E44" s="9">
        <v>-103211.386925777</v>
      </c>
      <c r="F44" s="9">
        <v>63140.613933562803</v>
      </c>
      <c r="G44" s="9">
        <v>145000</v>
      </c>
      <c r="H44" s="9">
        <v>0.28925514632788302</v>
      </c>
      <c r="I44" s="9">
        <v>377872</v>
      </c>
      <c r="J44" s="9"/>
      <c r="K44" s="9"/>
      <c r="L44" s="9"/>
      <c r="M44" s="9"/>
      <c r="N44">
        <f t="shared" si="3"/>
        <v>1992</v>
      </c>
      <c r="O44">
        <f t="shared" si="4"/>
        <v>377450</v>
      </c>
      <c r="P44">
        <f t="shared" si="5"/>
        <v>208140.6139335628</v>
      </c>
      <c r="Q44">
        <f t="shared" si="6"/>
        <v>0.55143890298996634</v>
      </c>
      <c r="R44">
        <f t="shared" si="7"/>
        <v>0.39039773007069473</v>
      </c>
      <c r="S44">
        <f t="shared" si="8"/>
        <v>0.60960226992930533</v>
      </c>
      <c r="T44">
        <f t="shared" si="9"/>
        <v>103211.38606643723</v>
      </c>
      <c r="U44">
        <f t="shared" si="10"/>
        <v>103211.386925777</v>
      </c>
      <c r="V44">
        <f t="shared" si="11"/>
        <v>0.60960226992930544</v>
      </c>
      <c r="W44">
        <f t="shared" si="12"/>
        <v>66098</v>
      </c>
      <c r="X44">
        <f t="shared" si="13"/>
        <v>136748</v>
      </c>
      <c r="Y44">
        <f t="shared" si="14"/>
        <v>0.7270013267528207</v>
      </c>
      <c r="Z44">
        <f t="shared" si="28"/>
        <v>-0.65357805188934759</v>
      </c>
      <c r="AB44">
        <v>1992</v>
      </c>
      <c r="AC44" s="4">
        <f t="shared" si="30"/>
        <v>377447.89457910653</v>
      </c>
      <c r="AD44">
        <f t="shared" si="29"/>
        <v>0.3</v>
      </c>
      <c r="AE44">
        <f t="shared" si="16"/>
        <v>103148.36088455225</v>
      </c>
      <c r="AF44">
        <f t="shared" si="17"/>
        <v>113234.36837373195</v>
      </c>
    </row>
    <row r="45" spans="1:42" x14ac:dyDescent="0.55000000000000004">
      <c r="A45" s="8">
        <v>1993</v>
      </c>
      <c r="B45" s="9">
        <v>688013</v>
      </c>
      <c r="C45" s="9">
        <v>2</v>
      </c>
      <c r="D45" s="9">
        <v>688015</v>
      </c>
      <c r="E45" s="9">
        <v>205495.31036294601</v>
      </c>
      <c r="F45" s="9">
        <v>250705.774323305</v>
      </c>
      <c r="G45" s="9">
        <v>212353</v>
      </c>
      <c r="H45" s="9">
        <v>632.01212287143903</v>
      </c>
      <c r="I45" s="9">
        <v>1151706</v>
      </c>
      <c r="J45" s="9"/>
      <c r="K45" s="9"/>
      <c r="L45" s="9"/>
      <c r="M45" s="9"/>
      <c r="N45">
        <f t="shared" si="3"/>
        <v>1993</v>
      </c>
      <c r="O45">
        <f t="shared" si="4"/>
        <v>1151704</v>
      </c>
      <c r="P45">
        <f t="shared" si="5"/>
        <v>463058.774323305</v>
      </c>
      <c r="Q45">
        <f t="shared" si="6"/>
        <v>0.40206404972397858</v>
      </c>
      <c r="R45">
        <f t="shared" si="7"/>
        <v>0.99908192832372622</v>
      </c>
      <c r="S45">
        <f t="shared" si="8"/>
        <v>9.180716762737795E-4</v>
      </c>
      <c r="T45">
        <f t="shared" si="9"/>
        <v>632.2256766948849</v>
      </c>
      <c r="U45">
        <f t="shared" si="10"/>
        <v>-205495.31036294601</v>
      </c>
      <c r="V45">
        <f t="shared" si="11"/>
        <v>9.1807167627370155E-4</v>
      </c>
      <c r="W45">
        <f t="shared" si="12"/>
        <v>688013</v>
      </c>
      <c r="X45">
        <f t="shared" si="13"/>
        <v>1697954</v>
      </c>
      <c r="Y45">
        <f t="shared" si="14"/>
        <v>0.90337154270573183</v>
      </c>
      <c r="Z45">
        <f t="shared" si="28"/>
        <v>1.07649293562042</v>
      </c>
      <c r="AB45">
        <v>1993</v>
      </c>
      <c r="AC45" s="4">
        <f t="shared" si="30"/>
        <v>1151703.9999999998</v>
      </c>
      <c r="AD45">
        <f t="shared" si="29"/>
        <v>0.3</v>
      </c>
      <c r="AE45">
        <f t="shared" si="16"/>
        <v>805452.65722470393</v>
      </c>
      <c r="AF45">
        <f t="shared" si="17"/>
        <v>345511.1999999999</v>
      </c>
    </row>
    <row r="46" spans="1:42" x14ac:dyDescent="0.55000000000000004">
      <c r="A46" s="8">
        <v>1994</v>
      </c>
      <c r="B46" s="9">
        <v>29125</v>
      </c>
      <c r="C46" s="9">
        <v>394</v>
      </c>
      <c r="D46" s="9">
        <v>29519</v>
      </c>
      <c r="E46" s="9">
        <v>-142277.69271671801</v>
      </c>
      <c r="F46" s="9">
        <v>10876.785950581299</v>
      </c>
      <c r="G46" s="9">
        <v>35667</v>
      </c>
      <c r="H46" s="9">
        <v>0</v>
      </c>
      <c r="I46" s="9">
        <v>218340</v>
      </c>
      <c r="J46" s="9"/>
      <c r="K46" s="9"/>
      <c r="L46" s="9"/>
      <c r="M46" s="9"/>
      <c r="N46">
        <f t="shared" si="3"/>
        <v>1994</v>
      </c>
      <c r="O46">
        <f t="shared" si="4"/>
        <v>217946</v>
      </c>
      <c r="P46">
        <f t="shared" si="5"/>
        <v>46543.785950581296</v>
      </c>
      <c r="Q46">
        <f t="shared" si="6"/>
        <v>0.21355650459554795</v>
      </c>
      <c r="R46">
        <f t="shared" si="7"/>
        <v>0.16992195906875904</v>
      </c>
      <c r="S46">
        <f t="shared" si="8"/>
        <v>0.83007804093124093</v>
      </c>
      <c r="T46">
        <f t="shared" si="9"/>
        <v>142277.21404941869</v>
      </c>
      <c r="U46">
        <f t="shared" si="10"/>
        <v>142277.69271671801</v>
      </c>
      <c r="V46">
        <f t="shared" si="11"/>
        <v>0.83007804093124093</v>
      </c>
      <c r="W46">
        <f t="shared" si="12"/>
        <v>29125</v>
      </c>
      <c r="X46">
        <f t="shared" si="13"/>
        <v>194617</v>
      </c>
      <c r="Y46">
        <f t="shared" si="14"/>
        <v>1.8994366127349733</v>
      </c>
      <c r="Z46">
        <f t="shared" si="28"/>
        <v>0.42648934036653752</v>
      </c>
      <c r="AB46">
        <v>1994</v>
      </c>
      <c r="AC46" s="4">
        <f t="shared" si="30"/>
        <v>218698.0662509659</v>
      </c>
      <c r="AD46">
        <f t="shared" si="29"/>
        <v>0.3</v>
      </c>
      <c r="AE46">
        <f t="shared" si="16"/>
        <v>26013.122703339366</v>
      </c>
      <c r="AF46">
        <f t="shared" si="17"/>
        <v>65609.419875289765</v>
      </c>
    </row>
    <row r="47" spans="1:42" x14ac:dyDescent="0.55000000000000004">
      <c r="A47" s="8">
        <v>1995</v>
      </c>
      <c r="B47" s="9">
        <v>122856</v>
      </c>
      <c r="C47" s="9">
        <v>6</v>
      </c>
      <c r="D47" s="9">
        <v>122862</v>
      </c>
      <c r="E47" s="9">
        <v>-64832.719029431799</v>
      </c>
      <c r="F47" s="9">
        <v>8768.7786456731992</v>
      </c>
      <c r="G47" s="9">
        <v>6644.0122175453498</v>
      </c>
      <c r="H47" s="9">
        <v>1.31564374177078E-48</v>
      </c>
      <c r="I47" s="9">
        <v>203108</v>
      </c>
      <c r="J47" s="9"/>
      <c r="K47" s="9"/>
      <c r="L47" s="9"/>
      <c r="M47" s="9"/>
      <c r="N47">
        <f t="shared" si="3"/>
        <v>1995</v>
      </c>
      <c r="O47">
        <f t="shared" si="4"/>
        <v>203102</v>
      </c>
      <c r="P47">
        <f t="shared" si="5"/>
        <v>15412.79086321855</v>
      </c>
      <c r="Q47">
        <f t="shared" si="6"/>
        <v>7.5886947756391127E-2</v>
      </c>
      <c r="R47">
        <f t="shared" si="7"/>
        <v>0.65457146185994508</v>
      </c>
      <c r="S47">
        <f t="shared" si="8"/>
        <v>0.34542853814005492</v>
      </c>
      <c r="T47">
        <f t="shared" si="9"/>
        <v>64833.209136781457</v>
      </c>
      <c r="U47">
        <f t="shared" si="10"/>
        <v>64832.719029431799</v>
      </c>
      <c r="V47">
        <f t="shared" si="11"/>
        <v>0.34542853814005492</v>
      </c>
      <c r="W47">
        <f t="shared" si="12"/>
        <v>122856</v>
      </c>
      <c r="X47">
        <f t="shared" si="13"/>
        <v>180257</v>
      </c>
      <c r="Y47">
        <f t="shared" si="14"/>
        <v>0.3833706725390657</v>
      </c>
      <c r="Z47">
        <f t="shared" si="28"/>
        <v>-0.8554128845004334</v>
      </c>
      <c r="AB47">
        <v>1995</v>
      </c>
      <c r="AC47" s="4">
        <f t="shared" si="30"/>
        <v>282378.2452901185</v>
      </c>
      <c r="AD47">
        <f t="shared" si="29"/>
        <v>0.3</v>
      </c>
      <c r="AE47">
        <f t="shared" si="16"/>
        <v>129385.71857189931</v>
      </c>
      <c r="AF47">
        <f t="shared" si="17"/>
        <v>84713.473587035551</v>
      </c>
    </row>
    <row r="48" spans="1:42" x14ac:dyDescent="0.55000000000000004">
      <c r="A48" s="8">
        <v>1996</v>
      </c>
      <c r="B48" s="9">
        <v>87612</v>
      </c>
      <c r="C48" s="9">
        <v>841</v>
      </c>
      <c r="D48" s="9">
        <v>88453</v>
      </c>
      <c r="E48" s="9">
        <v>-39612.839693132701</v>
      </c>
      <c r="F48" s="9">
        <v>5566.5037005373497</v>
      </c>
      <c r="G48" s="9">
        <v>3956.6457437157501</v>
      </c>
      <c r="H48" s="9">
        <v>1.3701513440571201E-11</v>
      </c>
      <c r="I48" s="9">
        <v>137589</v>
      </c>
      <c r="J48" s="9"/>
      <c r="K48" s="9"/>
      <c r="L48" s="9"/>
      <c r="M48" s="9"/>
      <c r="N48">
        <f t="shared" si="3"/>
        <v>1996</v>
      </c>
      <c r="O48">
        <f t="shared" si="4"/>
        <v>136748</v>
      </c>
      <c r="P48">
        <f t="shared" si="5"/>
        <v>9523.1494442531002</v>
      </c>
      <c r="Q48">
        <f t="shared" si="6"/>
        <v>6.964013692524279E-2</v>
      </c>
      <c r="R48">
        <f t="shared" si="7"/>
        <v>0.68863904824639988</v>
      </c>
      <c r="S48">
        <f t="shared" si="8"/>
        <v>0.31136095175360012</v>
      </c>
      <c r="T48">
        <f t="shared" si="9"/>
        <v>39612.850555746903</v>
      </c>
      <c r="U48">
        <f t="shared" si="10"/>
        <v>39612.839693132701</v>
      </c>
      <c r="V48">
        <f t="shared" si="11"/>
        <v>0.31136095175360018</v>
      </c>
      <c r="W48">
        <f t="shared" si="12"/>
        <v>87612</v>
      </c>
      <c r="X48">
        <f t="shared" si="13"/>
        <v>410605</v>
      </c>
      <c r="Y48">
        <f t="shared" si="14"/>
        <v>1.5447137069502515</v>
      </c>
      <c r="Z48">
        <f t="shared" si="28"/>
        <v>0.21788173494608709</v>
      </c>
      <c r="AB48">
        <v>1996</v>
      </c>
      <c r="AC48" s="4">
        <f t="shared" si="30"/>
        <v>194534.30343550886</v>
      </c>
      <c r="AD48">
        <f t="shared" si="29"/>
        <v>0.3</v>
      </c>
      <c r="AE48">
        <f t="shared" si="16"/>
        <v>93774.742298373618</v>
      </c>
      <c r="AF48">
        <f t="shared" si="17"/>
        <v>58360.291030652654</v>
      </c>
      <c r="AP48" s="4"/>
    </row>
    <row r="49" spans="1:42" x14ac:dyDescent="0.55000000000000004">
      <c r="A49" s="8">
        <v>1997</v>
      </c>
      <c r="B49" s="9">
        <v>266941</v>
      </c>
      <c r="C49" s="9">
        <v>6</v>
      </c>
      <c r="D49" s="9">
        <v>266946</v>
      </c>
      <c r="E49" s="9">
        <v>-606725.92357469397</v>
      </c>
      <c r="F49" s="9">
        <v>477531.03484839498</v>
      </c>
      <c r="G49" s="9">
        <v>327863.941704066</v>
      </c>
      <c r="H49" s="9">
        <v>18893.273848258599</v>
      </c>
      <c r="I49" s="9">
        <v>1697960</v>
      </c>
      <c r="J49" s="9"/>
      <c r="K49" s="9"/>
      <c r="L49" s="9"/>
      <c r="M49" s="9"/>
      <c r="N49">
        <f t="shared" si="3"/>
        <v>1997</v>
      </c>
      <c r="O49">
        <f t="shared" si="4"/>
        <v>1697954</v>
      </c>
      <c r="P49">
        <f t="shared" si="5"/>
        <v>805394.97655246104</v>
      </c>
      <c r="Q49">
        <f t="shared" si="6"/>
        <v>0.47433262417736938</v>
      </c>
      <c r="R49">
        <f t="shared" si="7"/>
        <v>0.29907377886218822</v>
      </c>
      <c r="S49">
        <f t="shared" si="8"/>
        <v>0.70092622113781178</v>
      </c>
      <c r="T49">
        <f t="shared" si="9"/>
        <v>625618.02344753896</v>
      </c>
      <c r="U49">
        <f t="shared" si="10"/>
        <v>606725.92357469397</v>
      </c>
      <c r="V49">
        <f t="shared" si="11"/>
        <v>0.70092622113781167</v>
      </c>
      <c r="W49">
        <f t="shared" si="12"/>
        <v>266941</v>
      </c>
      <c r="X49">
        <f t="shared" si="13"/>
        <v>224608</v>
      </c>
      <c r="Y49">
        <f t="shared" si="14"/>
        <v>-0.17267099965116334</v>
      </c>
      <c r="Z49">
        <f t="shared" si="28"/>
        <v>-1.0514938294694671</v>
      </c>
      <c r="AB49">
        <v>1997</v>
      </c>
      <c r="AC49" s="4">
        <f t="shared" si="30"/>
        <v>1482347.1743185834</v>
      </c>
      <c r="AD49">
        <f t="shared" si="29"/>
        <v>0.3</v>
      </c>
      <c r="AE49">
        <f t="shared" si="16"/>
        <v>310331.8197064019</v>
      </c>
      <c r="AF49">
        <f t="shared" si="17"/>
        <v>444704.15229557501</v>
      </c>
      <c r="AH49" s="4"/>
      <c r="AI49" s="4"/>
      <c r="AJ49" s="4"/>
      <c r="AK49" s="4"/>
      <c r="AL49" s="4"/>
      <c r="AM49" s="4"/>
      <c r="AN49" s="4"/>
      <c r="AO49" s="4"/>
    </row>
    <row r="50" spans="1:42" x14ac:dyDescent="0.55000000000000004">
      <c r="A50" s="8">
        <v>1998</v>
      </c>
      <c r="B50" s="9">
        <v>32570</v>
      </c>
      <c r="C50" s="9">
        <v>20</v>
      </c>
      <c r="D50" s="9">
        <v>32590</v>
      </c>
      <c r="E50" s="9">
        <v>-136121.86534716701</v>
      </c>
      <c r="F50" s="9">
        <v>7834.24959739526</v>
      </c>
      <c r="G50" s="9">
        <v>18090.754788373099</v>
      </c>
      <c r="H50" s="9">
        <v>0.169740228771807</v>
      </c>
      <c r="I50" s="9">
        <v>194637</v>
      </c>
      <c r="J50" s="9"/>
      <c r="K50" s="9"/>
      <c r="L50" s="9"/>
      <c r="M50" s="9"/>
      <c r="N50">
        <f t="shared" si="3"/>
        <v>1998</v>
      </c>
      <c r="O50">
        <f t="shared" si="4"/>
        <v>194617</v>
      </c>
      <c r="P50">
        <f t="shared" si="5"/>
        <v>25925.004385768359</v>
      </c>
      <c r="Q50">
        <f t="shared" si="6"/>
        <v>0.13321037928736112</v>
      </c>
      <c r="R50">
        <f t="shared" si="7"/>
        <v>0.19307377259607358</v>
      </c>
      <c r="S50">
        <f t="shared" si="8"/>
        <v>0.80692622740392639</v>
      </c>
      <c r="T50">
        <f t="shared" si="9"/>
        <v>136121.99561423162</v>
      </c>
      <c r="U50">
        <f t="shared" si="10"/>
        <v>136121.86534716701</v>
      </c>
      <c r="V50">
        <f t="shared" si="11"/>
        <v>0.80692622740392628</v>
      </c>
      <c r="W50">
        <f t="shared" si="12"/>
        <v>32570</v>
      </c>
      <c r="X50">
        <f t="shared" si="13"/>
        <v>62129</v>
      </c>
      <c r="Y50">
        <f t="shared" si="14"/>
        <v>0.64582124937384811</v>
      </c>
      <c r="Z50">
        <f t="shared" si="28"/>
        <v>-0.81851954275530525</v>
      </c>
      <c r="AB50">
        <v>1998</v>
      </c>
      <c r="AC50" s="4">
        <f t="shared" si="30"/>
        <v>175179.64642215465</v>
      </c>
      <c r="AD50">
        <f t="shared" si="29"/>
        <v>0.3</v>
      </c>
      <c r="AE50">
        <f t="shared" si="16"/>
        <v>23675.816651740162</v>
      </c>
      <c r="AF50">
        <f t="shared" si="17"/>
        <v>52553.893926646393</v>
      </c>
    </row>
    <row r="51" spans="1:42" x14ac:dyDescent="0.55000000000000004">
      <c r="A51" s="8">
        <v>1999</v>
      </c>
      <c r="B51" s="9">
        <v>24552</v>
      </c>
      <c r="C51" s="9">
        <v>0</v>
      </c>
      <c r="D51" s="9">
        <v>24552</v>
      </c>
      <c r="E51" s="9">
        <v>-145922.023618229</v>
      </c>
      <c r="F51" s="9">
        <v>4530.1967583881096</v>
      </c>
      <c r="G51" s="9">
        <v>5254.7861025509001</v>
      </c>
      <c r="H51" s="9">
        <v>1.2419378016678301E-9</v>
      </c>
      <c r="I51" s="9">
        <v>180257</v>
      </c>
      <c r="J51" s="9"/>
      <c r="K51" s="9"/>
      <c r="L51" s="9"/>
      <c r="M51" s="9"/>
      <c r="N51">
        <f t="shared" si="3"/>
        <v>1999</v>
      </c>
      <c r="O51">
        <f t="shared" si="4"/>
        <v>180257</v>
      </c>
      <c r="P51">
        <f t="shared" si="5"/>
        <v>9784.9828609390097</v>
      </c>
      <c r="Q51">
        <f t="shared" si="6"/>
        <v>5.4283511103252635E-2</v>
      </c>
      <c r="R51">
        <f t="shared" si="7"/>
        <v>0.14402363749806477</v>
      </c>
      <c r="S51">
        <f t="shared" si="8"/>
        <v>0.85597636250193521</v>
      </c>
      <c r="T51">
        <f t="shared" si="9"/>
        <v>145920.017139061</v>
      </c>
      <c r="U51">
        <f t="shared" si="10"/>
        <v>145922.023618229</v>
      </c>
      <c r="V51">
        <f t="shared" si="11"/>
        <v>0.85597636250193532</v>
      </c>
      <c r="W51">
        <f t="shared" si="12"/>
        <v>24552</v>
      </c>
      <c r="X51">
        <f t="shared" si="13"/>
        <v>29116</v>
      </c>
      <c r="Y51">
        <f t="shared" si="14"/>
        <v>0.17049453393857641</v>
      </c>
      <c r="Z51">
        <f t="shared" si="28"/>
        <v>-1.3138772476125122</v>
      </c>
      <c r="AB51">
        <v>1999</v>
      </c>
      <c r="AC51" s="4">
        <f t="shared" si="30"/>
        <v>186765.86910522761</v>
      </c>
      <c r="AD51">
        <f t="shared" si="29"/>
        <v>0.3</v>
      </c>
      <c r="AE51">
        <f t="shared" si="16"/>
        <v>18829.08988031562</v>
      </c>
      <c r="AF51">
        <f t="shared" si="17"/>
        <v>56029.760731568284</v>
      </c>
    </row>
    <row r="52" spans="1:42" s="4" customFormat="1" x14ac:dyDescent="0.55000000000000004">
      <c r="A52" s="11">
        <v>2000</v>
      </c>
      <c r="B52" s="12">
        <v>89858</v>
      </c>
      <c r="C52" s="12">
        <v>1</v>
      </c>
      <c r="D52" s="12">
        <v>89859</v>
      </c>
      <c r="E52" s="12">
        <v>-80549.990902576494</v>
      </c>
      <c r="F52" s="12">
        <v>42735.730632451501</v>
      </c>
      <c r="G52" s="12">
        <v>197459.80685444601</v>
      </c>
      <c r="H52" s="12">
        <v>1.6871923496542101</v>
      </c>
      <c r="I52" s="12">
        <v>410606</v>
      </c>
      <c r="J52" s="12"/>
      <c r="K52" s="12"/>
      <c r="L52" s="12"/>
      <c r="M52" s="12"/>
      <c r="N52" s="4">
        <f t="shared" si="3"/>
        <v>2000</v>
      </c>
      <c r="O52" s="4">
        <f t="shared" si="4"/>
        <v>410605</v>
      </c>
      <c r="P52" s="4">
        <f t="shared" si="5"/>
        <v>240195.53748689752</v>
      </c>
      <c r="Q52">
        <f t="shared" si="6"/>
        <v>0.58497957279355473</v>
      </c>
      <c r="R52" s="4">
        <f t="shared" si="7"/>
        <v>0.52730639880453223</v>
      </c>
      <c r="S52" s="4">
        <f t="shared" si="8"/>
        <v>0.47269360119546777</v>
      </c>
      <c r="T52" s="4">
        <f t="shared" si="9"/>
        <v>80551.462513102451</v>
      </c>
      <c r="U52" s="4">
        <f t="shared" si="10"/>
        <v>80549.990902576494</v>
      </c>
      <c r="V52" s="4">
        <f t="shared" si="11"/>
        <v>0.47269360119546761</v>
      </c>
      <c r="W52" s="4">
        <f t="shared" si="12"/>
        <v>89858</v>
      </c>
      <c r="X52" s="4">
        <f t="shared" si="13"/>
        <v>124209</v>
      </c>
      <c r="Y52" s="4">
        <f t="shared" si="14"/>
        <v>0.3237349840917752</v>
      </c>
      <c r="Z52" s="4">
        <f t="shared" si="28"/>
        <v>-0.99748591255174235</v>
      </c>
      <c r="AB52">
        <v>2000</v>
      </c>
      <c r="AC52" s="4">
        <f t="shared" si="30"/>
        <v>432772.92499569693</v>
      </c>
      <c r="AD52" s="4">
        <f t="shared" si="29"/>
        <v>0.3</v>
      </c>
      <c r="AE52" s="4">
        <f t="shared" si="16"/>
        <v>159742.75280570943</v>
      </c>
      <c r="AF52" s="4">
        <f t="shared" si="17"/>
        <v>129831.87749870907</v>
      </c>
      <c r="AH52"/>
      <c r="AI52"/>
      <c r="AJ52"/>
      <c r="AK52"/>
      <c r="AL52"/>
      <c r="AM52"/>
      <c r="AN52"/>
      <c r="AO52"/>
      <c r="AP52"/>
    </row>
    <row r="53" spans="1:42" x14ac:dyDescent="0.55000000000000004">
      <c r="A53" s="8">
        <v>2001</v>
      </c>
      <c r="B53" s="9">
        <v>170981</v>
      </c>
      <c r="C53" s="9">
        <v>2</v>
      </c>
      <c r="D53" s="9">
        <v>170983</v>
      </c>
      <c r="E53" s="9">
        <v>-8864.4694974959293</v>
      </c>
      <c r="F53" s="9">
        <v>7137.6416783350996</v>
      </c>
      <c r="G53" s="9">
        <v>37624.654811709297</v>
      </c>
      <c r="H53" s="9">
        <v>4.8165213064393197E-2</v>
      </c>
      <c r="I53" s="9">
        <v>224610</v>
      </c>
      <c r="J53" s="9"/>
      <c r="K53" s="9"/>
      <c r="L53" s="9"/>
      <c r="M53" s="9"/>
      <c r="N53">
        <f t="shared" si="3"/>
        <v>2001</v>
      </c>
      <c r="O53">
        <f t="shared" si="4"/>
        <v>224608</v>
      </c>
      <c r="P53">
        <f t="shared" si="5"/>
        <v>44762.296490044399</v>
      </c>
      <c r="Q53">
        <f t="shared" si="6"/>
        <v>0.19929074872686814</v>
      </c>
      <c r="R53">
        <f t="shared" si="7"/>
        <v>0.95070939512622343</v>
      </c>
      <c r="S53">
        <f t="shared" si="8"/>
        <v>4.9290604873776567E-2</v>
      </c>
      <c r="T53">
        <f t="shared" si="9"/>
        <v>8864.7035099556088</v>
      </c>
      <c r="U53">
        <f t="shared" si="10"/>
        <v>8864.4694974959293</v>
      </c>
      <c r="V53">
        <f t="shared" si="11"/>
        <v>4.929060487377665E-2</v>
      </c>
      <c r="W53">
        <f t="shared" si="12"/>
        <v>170981</v>
      </c>
      <c r="X53">
        <f t="shared" si="13"/>
        <v>208997</v>
      </c>
      <c r="Y53">
        <f t="shared" si="14"/>
        <v>0.20076745857655276</v>
      </c>
      <c r="Z53">
        <f t="shared" si="28"/>
        <v>-0.91778769163697527</v>
      </c>
      <c r="AB53">
        <v>2001</v>
      </c>
      <c r="AC53" s="4">
        <f t="shared" si="30"/>
        <v>234292.39414913917</v>
      </c>
      <c r="AD53">
        <f t="shared" si="29"/>
        <v>0.3</v>
      </c>
      <c r="AE53">
        <f t="shared" si="16"/>
        <v>155920.78622694197</v>
      </c>
      <c r="AF53">
        <f t="shared" si="17"/>
        <v>70287.718244741744</v>
      </c>
    </row>
    <row r="54" spans="1:42" x14ac:dyDescent="0.55000000000000004">
      <c r="A54" s="8">
        <v>2002</v>
      </c>
      <c r="B54" s="9">
        <v>24637</v>
      </c>
      <c r="C54" s="9">
        <v>0</v>
      </c>
      <c r="D54" s="9">
        <v>24637</v>
      </c>
      <c r="E54" s="9">
        <v>-29259.221671683099</v>
      </c>
      <c r="F54" s="9">
        <v>1754.38345734986</v>
      </c>
      <c r="G54" s="9">
        <v>6478.0593081978895</v>
      </c>
      <c r="H54" s="9">
        <v>3.1895576336957599E-3</v>
      </c>
      <c r="I54" s="9">
        <v>62129</v>
      </c>
      <c r="J54" s="9"/>
      <c r="K54" s="9"/>
      <c r="L54" s="9"/>
      <c r="M54" s="9"/>
      <c r="N54">
        <f t="shared" si="3"/>
        <v>2002</v>
      </c>
      <c r="O54">
        <f t="shared" si="4"/>
        <v>62129</v>
      </c>
      <c r="P54">
        <f t="shared" si="5"/>
        <v>8232.4427655477502</v>
      </c>
      <c r="Q54">
        <f t="shared" si="6"/>
        <v>0.13250563771423571</v>
      </c>
      <c r="R54">
        <f t="shared" si="7"/>
        <v>0.45711639600332976</v>
      </c>
      <c r="S54">
        <f t="shared" si="8"/>
        <v>0.54288360399667024</v>
      </c>
      <c r="T54">
        <f t="shared" si="9"/>
        <v>29259.557234452252</v>
      </c>
      <c r="U54">
        <f t="shared" si="10"/>
        <v>29259.221671683099</v>
      </c>
      <c r="V54">
        <f t="shared" si="11"/>
        <v>0.54288360399667024</v>
      </c>
      <c r="W54">
        <f t="shared" si="12"/>
        <v>24637</v>
      </c>
      <c r="X54">
        <f t="shared" si="13"/>
        <v>55574</v>
      </c>
      <c r="Y54">
        <f t="shared" si="14"/>
        <v>0.81346608798012998</v>
      </c>
      <c r="Z54">
        <f t="shared" si="28"/>
        <v>-0.6706933420991622</v>
      </c>
      <c r="AB54">
        <v>2002</v>
      </c>
      <c r="AC54" s="4">
        <f t="shared" si="30"/>
        <v>46177.621557969826</v>
      </c>
      <c r="AD54">
        <f t="shared" si="29"/>
        <v>0.3</v>
      </c>
      <c r="AE54">
        <f t="shared" si="16"/>
        <v>14775.983559809381</v>
      </c>
      <c r="AF54">
        <f t="shared" si="17"/>
        <v>13853.286467390948</v>
      </c>
    </row>
    <row r="55" spans="1:42" x14ac:dyDescent="0.55000000000000004">
      <c r="A55" s="8">
        <v>2003</v>
      </c>
      <c r="B55" s="9">
        <v>13166</v>
      </c>
      <c r="C55" s="9">
        <v>0</v>
      </c>
      <c r="D55" s="9">
        <v>13166</v>
      </c>
      <c r="E55" s="9">
        <v>-11960.6944480521</v>
      </c>
      <c r="F55" s="9">
        <v>870.37984752469401</v>
      </c>
      <c r="G55" s="9">
        <v>3119.3764170487598</v>
      </c>
      <c r="H55" s="9">
        <v>0</v>
      </c>
      <c r="I55" s="9">
        <v>29116</v>
      </c>
      <c r="J55" s="9"/>
      <c r="K55" s="9"/>
      <c r="L55" s="9"/>
      <c r="M55" s="9"/>
      <c r="N55">
        <f t="shared" si="3"/>
        <v>2003</v>
      </c>
      <c r="O55">
        <f t="shared" si="4"/>
        <v>29116</v>
      </c>
      <c r="P55">
        <f t="shared" si="5"/>
        <v>3989.7562645734538</v>
      </c>
      <c r="Q55">
        <f t="shared" si="6"/>
        <v>0.13702968349270003</v>
      </c>
      <c r="R55">
        <f t="shared" si="7"/>
        <v>0.5239939617968723</v>
      </c>
      <c r="S55">
        <f t="shared" si="8"/>
        <v>0.4760060382031277</v>
      </c>
      <c r="T55">
        <f t="shared" si="9"/>
        <v>11960.243735426546</v>
      </c>
      <c r="U55">
        <f t="shared" si="10"/>
        <v>11960.6944480521</v>
      </c>
      <c r="V55">
        <f t="shared" si="11"/>
        <v>0.4760060382031277</v>
      </c>
      <c r="W55">
        <f t="shared" si="12"/>
        <v>13166</v>
      </c>
      <c r="X55">
        <f t="shared" si="13"/>
        <v>16222</v>
      </c>
      <c r="Y55">
        <f t="shared" si="14"/>
        <v>0.20873059660246795</v>
      </c>
      <c r="Z55">
        <f t="shared" si="28"/>
        <v>-1.3040862891589169</v>
      </c>
      <c r="AB55">
        <v>2003</v>
      </c>
      <c r="AC55" s="4">
        <f t="shared" si="30"/>
        <v>22650.791974642565</v>
      </c>
      <c r="AD55">
        <f t="shared" si="29"/>
        <v>0.3</v>
      </c>
      <c r="AE55">
        <f t="shared" si="16"/>
        <v>8308.2147572408303</v>
      </c>
      <c r="AF55">
        <f t="shared" si="17"/>
        <v>6795.2375923927693</v>
      </c>
    </row>
    <row r="56" spans="1:42" x14ac:dyDescent="0.55000000000000004">
      <c r="A56" s="8">
        <v>2004</v>
      </c>
      <c r="B56" s="9">
        <v>9281</v>
      </c>
      <c r="C56" s="9">
        <v>5</v>
      </c>
      <c r="D56" s="9">
        <v>9286</v>
      </c>
      <c r="E56" s="9">
        <v>-69425.579457382395</v>
      </c>
      <c r="F56" s="9">
        <v>8278.7386698999908</v>
      </c>
      <c r="G56" s="9">
        <v>37223.600772920399</v>
      </c>
      <c r="H56" s="9">
        <v>0</v>
      </c>
      <c r="I56" s="9">
        <v>124214</v>
      </c>
      <c r="J56" s="9"/>
      <c r="K56" s="9"/>
      <c r="L56" s="9"/>
      <c r="M56" s="9"/>
      <c r="N56">
        <f t="shared" si="3"/>
        <v>2004</v>
      </c>
      <c r="O56">
        <f t="shared" si="4"/>
        <v>124209</v>
      </c>
      <c r="P56">
        <f t="shared" si="5"/>
        <v>45502.33944282039</v>
      </c>
      <c r="Q56">
        <f t="shared" si="6"/>
        <v>0.3663368954167604</v>
      </c>
      <c r="R56">
        <f t="shared" si="7"/>
        <v>0.11791886397285839</v>
      </c>
      <c r="S56">
        <f t="shared" si="8"/>
        <v>0.88208113602714167</v>
      </c>
      <c r="T56">
        <f t="shared" si="9"/>
        <v>69425.66055717961</v>
      </c>
      <c r="U56">
        <f t="shared" si="10"/>
        <v>69425.579457382395</v>
      </c>
      <c r="V56">
        <f t="shared" si="11"/>
        <v>0.88208113602714167</v>
      </c>
      <c r="W56">
        <f t="shared" si="12"/>
        <v>9281</v>
      </c>
      <c r="X56">
        <f t="shared" si="13"/>
        <v>35717</v>
      </c>
      <c r="Y56">
        <f t="shared" si="14"/>
        <v>1.3476574663058238</v>
      </c>
      <c r="Z56">
        <f t="shared" si="28"/>
        <v>-0.17486513084296673</v>
      </c>
      <c r="AB56">
        <v>2004</v>
      </c>
      <c r="AC56" s="4">
        <f t="shared" si="30"/>
        <v>185436.0251043732</v>
      </c>
      <c r="AD56">
        <f t="shared" si="29"/>
        <v>0.3</v>
      </c>
      <c r="AE56">
        <f t="shared" si="16"/>
        <v>15306.483793965095</v>
      </c>
      <c r="AF56">
        <f t="shared" si="17"/>
        <v>55630.807531311955</v>
      </c>
    </row>
    <row r="57" spans="1:42" x14ac:dyDescent="0.55000000000000004">
      <c r="A57" s="8">
        <v>2005</v>
      </c>
      <c r="B57" s="9">
        <v>98537</v>
      </c>
      <c r="C57" s="9">
        <v>0</v>
      </c>
      <c r="D57" s="9">
        <v>98537</v>
      </c>
      <c r="E57" s="9">
        <v>-89328.719995117994</v>
      </c>
      <c r="F57" s="9">
        <v>5856.1118841834104</v>
      </c>
      <c r="G57" s="9">
        <v>15253.0241620834</v>
      </c>
      <c r="H57" s="9">
        <v>21.733644474790001</v>
      </c>
      <c r="I57" s="9">
        <v>208997</v>
      </c>
      <c r="J57" s="9"/>
      <c r="K57" s="9"/>
      <c r="L57" s="9"/>
      <c r="M57" s="9"/>
      <c r="N57">
        <f t="shared" si="3"/>
        <v>2005</v>
      </c>
      <c r="O57">
        <f t="shared" si="4"/>
        <v>208997</v>
      </c>
      <c r="P57">
        <f t="shared" si="5"/>
        <v>21109.136046266809</v>
      </c>
      <c r="Q57">
        <f t="shared" si="6"/>
        <v>0.10100210072999521</v>
      </c>
      <c r="R57">
        <f t="shared" si="7"/>
        <v>0.52444579403097813</v>
      </c>
      <c r="S57">
        <f t="shared" si="8"/>
        <v>0.47555420596902187</v>
      </c>
      <c r="T57">
        <f t="shared" si="9"/>
        <v>89350.863953733191</v>
      </c>
      <c r="U57">
        <f t="shared" si="10"/>
        <v>89328.719995117994</v>
      </c>
      <c r="V57">
        <f t="shared" si="11"/>
        <v>0.47555420596902187</v>
      </c>
      <c r="W57">
        <f t="shared" si="12"/>
        <v>98537</v>
      </c>
      <c r="X57">
        <f t="shared" si="13"/>
        <v>79876</v>
      </c>
      <c r="Y57">
        <f t="shared" si="14"/>
        <v>-0.20995667998168166</v>
      </c>
      <c r="Z57">
        <f t="shared" si="28"/>
        <v>-1.5094952422284698</v>
      </c>
      <c r="AB57">
        <v>2005</v>
      </c>
      <c r="AC57" s="4">
        <f t="shared" si="30"/>
        <v>197895.63081461273</v>
      </c>
      <c r="AD57">
        <f t="shared" si="29"/>
        <v>0.3</v>
      </c>
      <c r="AE57">
        <f t="shared" si="16"/>
        <v>72649.871866481612</v>
      </c>
      <c r="AF57">
        <f t="shared" si="17"/>
        <v>59368.689244383815</v>
      </c>
    </row>
    <row r="58" spans="1:42" x14ac:dyDescent="0.55000000000000004">
      <c r="A58" s="8">
        <v>2006</v>
      </c>
      <c r="B58" s="9">
        <v>35816</v>
      </c>
      <c r="C58" s="9">
        <v>0</v>
      </c>
      <c r="D58" s="9">
        <v>35816</v>
      </c>
      <c r="E58" s="9">
        <v>-12868.811198035501</v>
      </c>
      <c r="F58" s="9">
        <v>2343.7708642283101</v>
      </c>
      <c r="G58" s="9">
        <v>4479.5539457824198</v>
      </c>
      <c r="H58" s="9">
        <v>65.802959953065795</v>
      </c>
      <c r="I58" s="9">
        <v>55574</v>
      </c>
      <c r="J58" s="9"/>
      <c r="K58" s="9"/>
      <c r="L58" s="9"/>
      <c r="M58" s="9"/>
      <c r="N58">
        <f t="shared" si="3"/>
        <v>2006</v>
      </c>
      <c r="O58">
        <f t="shared" si="4"/>
        <v>55574</v>
      </c>
      <c r="P58">
        <f t="shared" si="5"/>
        <v>6823.3248100107303</v>
      </c>
      <c r="Q58">
        <f t="shared" si="6"/>
        <v>0.12277908392433026</v>
      </c>
      <c r="R58">
        <f t="shared" si="7"/>
        <v>0.73467700417315762</v>
      </c>
      <c r="S58">
        <f t="shared" si="8"/>
        <v>0.26532299582684238</v>
      </c>
      <c r="T58">
        <f t="shared" si="9"/>
        <v>12934.67518998927</v>
      </c>
      <c r="U58">
        <f t="shared" si="10"/>
        <v>12868.811198035501</v>
      </c>
      <c r="V58">
        <f t="shared" si="11"/>
        <v>0.26532299582684232</v>
      </c>
      <c r="W58">
        <f t="shared" si="12"/>
        <v>35816</v>
      </c>
      <c r="X58">
        <f t="shared" si="13"/>
        <v>102184</v>
      </c>
      <c r="Y58">
        <f t="shared" si="14"/>
        <v>1.0483803888018113</v>
      </c>
      <c r="Z58">
        <f t="shared" si="28"/>
        <v>-0.40785107535732434</v>
      </c>
      <c r="AB58">
        <v>2006</v>
      </c>
      <c r="AC58" s="4">
        <f t="shared" si="30"/>
        <v>34161.67932572795</v>
      </c>
      <c r="AD58">
        <f t="shared" si="29"/>
        <v>0.3</v>
      </c>
      <c r="AE58">
        <f t="shared" si="16"/>
        <v>17568.460157184934</v>
      </c>
      <c r="AF58">
        <f t="shared" si="17"/>
        <v>10248.503797718384</v>
      </c>
      <c r="AP58" s="4"/>
    </row>
    <row r="59" spans="1:42" x14ac:dyDescent="0.55000000000000004">
      <c r="A59" s="8">
        <v>2007</v>
      </c>
      <c r="B59" s="9">
        <v>5347</v>
      </c>
      <c r="C59" s="9">
        <v>0</v>
      </c>
      <c r="D59" s="9">
        <v>5347</v>
      </c>
      <c r="E59" s="9">
        <v>-9789.0131575671003</v>
      </c>
      <c r="F59" s="9">
        <v>106.311417425857</v>
      </c>
      <c r="G59" s="9">
        <v>979.87081339380995</v>
      </c>
      <c r="H59" s="9">
        <v>0</v>
      </c>
      <c r="I59" s="9">
        <v>16222</v>
      </c>
      <c r="J59" s="9"/>
      <c r="K59" s="9"/>
      <c r="L59" s="9"/>
      <c r="M59" s="9"/>
      <c r="N59">
        <f t="shared" si="3"/>
        <v>2007</v>
      </c>
      <c r="O59">
        <f t="shared" si="4"/>
        <v>16222</v>
      </c>
      <c r="P59">
        <f t="shared" si="5"/>
        <v>1086.182230819667</v>
      </c>
      <c r="Q59">
        <f t="shared" si="6"/>
        <v>6.6957356110200164E-2</v>
      </c>
      <c r="R59">
        <f t="shared" si="7"/>
        <v>0.35326799526402874</v>
      </c>
      <c r="S59">
        <f t="shared" si="8"/>
        <v>0.64673200473597126</v>
      </c>
      <c r="T59">
        <f t="shared" si="9"/>
        <v>9788.8177691803321</v>
      </c>
      <c r="U59">
        <f t="shared" si="10"/>
        <v>9789.0131575671003</v>
      </c>
      <c r="V59">
        <f t="shared" si="11"/>
        <v>0.64673200473597126</v>
      </c>
      <c r="W59">
        <f t="shared" si="12"/>
        <v>5347</v>
      </c>
      <c r="X59">
        <f t="shared" si="13"/>
        <v>25231</v>
      </c>
      <c r="Y59">
        <f t="shared" si="14"/>
        <v>1.5515377412556484</v>
      </c>
      <c r="Z59">
        <f t="shared" si="28"/>
        <v>1.9187018341592976E-2</v>
      </c>
      <c r="AB59">
        <v>2007</v>
      </c>
      <c r="AC59" s="4">
        <f t="shared" si="30"/>
        <v>10361.648298958156</v>
      </c>
      <c r="AD59">
        <f t="shared" si="29"/>
        <v>0.3</v>
      </c>
      <c r="AE59">
        <f t="shared" si="16"/>
        <v>2562.3071055427167</v>
      </c>
      <c r="AF59">
        <f t="shared" si="17"/>
        <v>3108.4944896874467</v>
      </c>
      <c r="AH59" s="4"/>
      <c r="AI59" s="4"/>
      <c r="AJ59" s="4"/>
      <c r="AK59" s="4"/>
      <c r="AL59" s="4"/>
      <c r="AM59" s="4"/>
      <c r="AN59" s="4"/>
      <c r="AO59" s="4"/>
    </row>
    <row r="60" spans="1:42" x14ac:dyDescent="0.55000000000000004">
      <c r="A60" s="8">
        <v>2008</v>
      </c>
      <c r="B60" s="9">
        <v>29867</v>
      </c>
      <c r="C60" s="9">
        <v>49</v>
      </c>
      <c r="D60" s="9">
        <v>29916</v>
      </c>
      <c r="E60" s="9">
        <v>-2630.4687900469198</v>
      </c>
      <c r="F60" s="9">
        <v>530.07942031453501</v>
      </c>
      <c r="G60" s="9">
        <v>2540.4522264357001</v>
      </c>
      <c r="H60" s="9">
        <v>149.247493681392</v>
      </c>
      <c r="I60" s="9">
        <v>35766</v>
      </c>
      <c r="J60" s="9"/>
      <c r="K60" s="9"/>
      <c r="L60" s="9"/>
      <c r="M60" s="9"/>
      <c r="N60">
        <f t="shared" si="3"/>
        <v>2008</v>
      </c>
      <c r="O60">
        <f t="shared" si="4"/>
        <v>35717</v>
      </c>
      <c r="P60">
        <f t="shared" si="5"/>
        <v>3070.5316467502353</v>
      </c>
      <c r="Q60">
        <f t="shared" si="6"/>
        <v>8.5968352514215501E-2</v>
      </c>
      <c r="R60">
        <f t="shared" si="7"/>
        <v>0.91486159166821224</v>
      </c>
      <c r="S60">
        <f t="shared" si="8"/>
        <v>8.5138408331787763E-2</v>
      </c>
      <c r="T60">
        <f t="shared" si="9"/>
        <v>2779.4683532497656</v>
      </c>
      <c r="U60">
        <f t="shared" si="10"/>
        <v>2630.4687900469198</v>
      </c>
      <c r="V60">
        <f t="shared" si="11"/>
        <v>8.5138408331787777E-2</v>
      </c>
      <c r="W60">
        <f t="shared" si="12"/>
        <v>29867</v>
      </c>
      <c r="X60">
        <f t="shared" si="13"/>
        <v>183658</v>
      </c>
      <c r="Y60">
        <f t="shared" si="14"/>
        <v>1.8163211404738366</v>
      </c>
      <c r="Z60">
        <f t="shared" si="28"/>
        <v>0.34522757154155381</v>
      </c>
      <c r="AB60">
        <v>2008</v>
      </c>
      <c r="AC60" s="4">
        <f t="shared" si="30"/>
        <v>58025.397446371229</v>
      </c>
      <c r="AD60">
        <f t="shared" si="29"/>
        <v>0.3</v>
      </c>
      <c r="AE60">
        <f t="shared" si="16"/>
        <v>37159.645225477463</v>
      </c>
      <c r="AF60">
        <f t="shared" si="17"/>
        <v>17407.61923391137</v>
      </c>
    </row>
    <row r="61" spans="1:42" x14ac:dyDescent="0.55000000000000004">
      <c r="A61" s="8">
        <v>2009</v>
      </c>
      <c r="B61" s="9">
        <v>45297</v>
      </c>
      <c r="C61" s="9">
        <v>0</v>
      </c>
      <c r="D61" s="9">
        <v>45297</v>
      </c>
      <c r="E61" s="9">
        <v>-28716.700523379001</v>
      </c>
      <c r="F61" s="9">
        <v>2270.857735567</v>
      </c>
      <c r="G61" s="9">
        <v>5457.8616542151303</v>
      </c>
      <c r="H61" s="9">
        <v>247.36054584739199</v>
      </c>
      <c r="I61" s="9">
        <v>79876</v>
      </c>
      <c r="J61" s="9"/>
      <c r="K61" s="9"/>
      <c r="L61" s="9"/>
      <c r="M61" s="9"/>
      <c r="N61">
        <f t="shared" si="3"/>
        <v>2009</v>
      </c>
      <c r="O61">
        <f t="shared" si="4"/>
        <v>79876</v>
      </c>
      <c r="P61">
        <f t="shared" si="5"/>
        <v>7728.7193897821307</v>
      </c>
      <c r="Q61">
        <f t="shared" si="6"/>
        <v>9.6758968773876144E-2</v>
      </c>
      <c r="R61">
        <f t="shared" si="7"/>
        <v>0.6278407116232293</v>
      </c>
      <c r="S61">
        <f t="shared" si="8"/>
        <v>0.3721592883767707</v>
      </c>
      <c r="T61">
        <f t="shared" si="9"/>
        <v>26850.280610217873</v>
      </c>
      <c r="U61">
        <f t="shared" si="10"/>
        <v>28716.700523379001</v>
      </c>
      <c r="V61">
        <f t="shared" si="11"/>
        <v>0.37215928837677076</v>
      </c>
      <c r="W61">
        <f t="shared" si="12"/>
        <v>45297</v>
      </c>
      <c r="X61">
        <f t="shared" si="13"/>
        <v>182052</v>
      </c>
      <c r="Y61">
        <f t="shared" si="14"/>
        <v>1.3910515554235137</v>
      </c>
      <c r="Z61">
        <f t="shared" si="28"/>
        <v>-4.1493975746177192E-2</v>
      </c>
      <c r="AB61">
        <v>2009</v>
      </c>
      <c r="AC61" s="4">
        <f t="shared" si="30"/>
        <v>62825.907721146919</v>
      </c>
      <c r="AD61">
        <f t="shared" si="29"/>
        <v>0.3</v>
      </c>
      <c r="AE61">
        <f t="shared" si="16"/>
        <v>27611.263828414154</v>
      </c>
      <c r="AF61">
        <f t="shared" si="17"/>
        <v>18847.772316344075</v>
      </c>
    </row>
    <row r="62" spans="1:42" x14ac:dyDescent="0.55000000000000004">
      <c r="A62" s="8">
        <v>2010</v>
      </c>
      <c r="B62" s="9">
        <v>60262</v>
      </c>
      <c r="C62" s="9">
        <v>0</v>
      </c>
      <c r="D62" s="9">
        <v>60262</v>
      </c>
      <c r="E62" s="9">
        <v>-40415.324912550801</v>
      </c>
      <c r="F62" s="9">
        <v>3439.3948632162101</v>
      </c>
      <c r="G62" s="9"/>
      <c r="H62" s="9">
        <v>0</v>
      </c>
      <c r="I62" s="9">
        <v>102184</v>
      </c>
      <c r="J62" s="9"/>
      <c r="K62" s="9"/>
      <c r="L62" s="9"/>
      <c r="M62" s="9"/>
      <c r="N62">
        <f t="shared" si="3"/>
        <v>2010</v>
      </c>
      <c r="O62">
        <f t="shared" si="4"/>
        <v>102184</v>
      </c>
      <c r="P62">
        <f t="shared" si="5"/>
        <v>3439.3948632162101</v>
      </c>
      <c r="Q62">
        <f t="shared" si="6"/>
        <v>3.3658839575826056E-2</v>
      </c>
      <c r="R62">
        <f t="shared" si="7"/>
        <v>0.61028144187242828</v>
      </c>
      <c r="S62">
        <f t="shared" si="8"/>
        <v>0.38971855812757172</v>
      </c>
      <c r="T62">
        <f t="shared" si="9"/>
        <v>38482.605136783794</v>
      </c>
      <c r="U62">
        <f t="shared" si="10"/>
        <v>40415.324912550801</v>
      </c>
      <c r="V62">
        <f t="shared" si="11"/>
        <v>0.38971855812757172</v>
      </c>
      <c r="W62">
        <f t="shared" si="12"/>
        <v>60262</v>
      </c>
      <c r="X62">
        <f t="shared" si="13"/>
        <v>127445</v>
      </c>
      <c r="Y62">
        <f t="shared" si="14"/>
        <v>0.74898317631804801</v>
      </c>
      <c r="Z62">
        <f t="shared" si="28"/>
        <v>-0.64617600455240842</v>
      </c>
      <c r="AB62">
        <v>2010</v>
      </c>
      <c r="AC62" s="4">
        <f t="shared" si="30"/>
        <v>52461.135052166472</v>
      </c>
      <c r="AD62">
        <f t="shared" si="29"/>
        <v>0.3</v>
      </c>
      <c r="AE62">
        <f t="shared" si="16"/>
        <v>22411.239999330239</v>
      </c>
      <c r="AF62">
        <f t="shared" si="17"/>
        <v>15738.340515649941</v>
      </c>
    </row>
    <row r="63" spans="1:42" x14ac:dyDescent="0.55000000000000004">
      <c r="A63" s="8">
        <v>2011</v>
      </c>
      <c r="B63" s="9">
        <v>757</v>
      </c>
      <c r="C63" s="9">
        <v>1</v>
      </c>
      <c r="D63" s="9">
        <v>758</v>
      </c>
      <c r="E63" s="9">
        <v>-22288.354942403901</v>
      </c>
      <c r="F63" s="9">
        <v>560.20634473171594</v>
      </c>
      <c r="G63" s="9">
        <v>1686.94972200242</v>
      </c>
      <c r="H63" s="9">
        <v>15.3528850848539</v>
      </c>
      <c r="I63" s="9">
        <v>25232</v>
      </c>
      <c r="J63" s="9"/>
      <c r="K63" s="9"/>
      <c r="L63" s="9"/>
      <c r="M63" s="9"/>
      <c r="N63">
        <f t="shared" si="3"/>
        <v>2011</v>
      </c>
      <c r="O63">
        <f t="shared" si="4"/>
        <v>25231</v>
      </c>
      <c r="P63">
        <f t="shared" si="5"/>
        <v>2247.1560667341359</v>
      </c>
      <c r="Q63">
        <f t="shared" si="6"/>
        <v>8.9063297797714561E-2</v>
      </c>
      <c r="R63">
        <f t="shared" si="7"/>
        <v>3.2936179091624863E-2</v>
      </c>
      <c r="S63">
        <f t="shared" si="8"/>
        <v>0.96706382090837517</v>
      </c>
      <c r="T63">
        <f t="shared" si="9"/>
        <v>22226.843933265864</v>
      </c>
      <c r="U63">
        <f t="shared" si="10"/>
        <v>22288.354942403901</v>
      </c>
      <c r="V63">
        <f t="shared" si="11"/>
        <v>0.96706382090837517</v>
      </c>
      <c r="W63">
        <f t="shared" si="12"/>
        <v>757</v>
      </c>
      <c r="X63">
        <f t="shared" si="13"/>
        <v>28740</v>
      </c>
      <c r="Y63">
        <f t="shared" si="14"/>
        <v>3.6366819061955673</v>
      </c>
      <c r="Z63">
        <f t="shared" si="28"/>
        <v>2.0928642038045</v>
      </c>
      <c r="AB63">
        <v>2011</v>
      </c>
      <c r="AC63" s="4">
        <f t="shared" si="30"/>
        <v>12175.219204596764</v>
      </c>
      <c r="AD63">
        <f t="shared" si="29"/>
        <v>0.3</v>
      </c>
      <c r="AE63">
        <f t="shared" si="16"/>
        <v>280.70364014167257</v>
      </c>
      <c r="AF63">
        <f t="shared" si="17"/>
        <v>3652.565761379029</v>
      </c>
    </row>
    <row r="64" spans="1:42" x14ac:dyDescent="0.55000000000000004">
      <c r="A64" s="8">
        <v>2012</v>
      </c>
      <c r="B64" s="9">
        <v>26230</v>
      </c>
      <c r="C64" s="9">
        <v>3</v>
      </c>
      <c r="D64" s="9">
        <v>26233</v>
      </c>
      <c r="E64" s="9">
        <v>-148582.54073487699</v>
      </c>
      <c r="F64" s="9">
        <v>2422.2276212439801</v>
      </c>
      <c r="G64" s="9">
        <v>6341.4164594968897</v>
      </c>
      <c r="H64" s="9">
        <v>9.8947268457141995</v>
      </c>
      <c r="I64" s="9">
        <v>183661</v>
      </c>
      <c r="J64" s="9"/>
      <c r="K64" s="9"/>
      <c r="L64" s="9"/>
      <c r="M64" s="9"/>
      <c r="N64">
        <f t="shared" si="3"/>
        <v>2012</v>
      </c>
      <c r="O64">
        <f t="shared" si="4"/>
        <v>183658</v>
      </c>
      <c r="P64">
        <f t="shared" si="5"/>
        <v>8763.644080740869</v>
      </c>
      <c r="Q64">
        <f t="shared" si="6"/>
        <v>4.7717192176441367E-2</v>
      </c>
      <c r="R64">
        <f t="shared" si="7"/>
        <v>0.14997625201872844</v>
      </c>
      <c r="S64">
        <f t="shared" si="8"/>
        <v>0.85002374798127156</v>
      </c>
      <c r="T64">
        <f t="shared" si="9"/>
        <v>148664.35591925913</v>
      </c>
      <c r="U64">
        <f t="shared" si="10"/>
        <v>148582.54073487699</v>
      </c>
      <c r="V64">
        <f t="shared" si="11"/>
        <v>0.85002374798127156</v>
      </c>
      <c r="W64">
        <f t="shared" si="12"/>
        <v>26230</v>
      </c>
      <c r="X64">
        <f t="shared" si="13"/>
        <v>17825</v>
      </c>
      <c r="Y64">
        <f t="shared" si="14"/>
        <v>-0.38630182757842257</v>
      </c>
      <c r="Z64">
        <f t="shared" si="28"/>
        <v>-1.866481541250987</v>
      </c>
      <c r="AB64">
        <v>2012</v>
      </c>
      <c r="AC64" s="4">
        <f t="shared" si="30"/>
        <v>224376.54324584053</v>
      </c>
      <c r="AD64">
        <f t="shared" si="29"/>
        <v>0.3</v>
      </c>
      <c r="AE64">
        <f>AC64*(1-AD64)*R64</f>
        <v>23555.807097850506</v>
      </c>
      <c r="AF64">
        <f t="shared" si="17"/>
        <v>67312.962973752161</v>
      </c>
    </row>
    <row r="65" spans="1:32" x14ac:dyDescent="0.55000000000000004">
      <c r="A65" s="8">
        <v>2013</v>
      </c>
      <c r="B65" s="9">
        <v>86262</v>
      </c>
      <c r="C65" s="9">
        <v>49</v>
      </c>
      <c r="D65" s="9">
        <v>86311</v>
      </c>
      <c r="E65" s="9">
        <v>-84719.028468158504</v>
      </c>
      <c r="F65" s="9">
        <v>1908.8755112332799</v>
      </c>
      <c r="G65" s="9">
        <v>9484.7323636540495</v>
      </c>
      <c r="H65" s="9">
        <v>51.904877271807003</v>
      </c>
      <c r="I65" s="9">
        <v>182101</v>
      </c>
      <c r="J65" s="9"/>
      <c r="K65" s="9"/>
      <c r="L65" s="9"/>
      <c r="M65" s="9"/>
      <c r="N65">
        <f t="shared" si="3"/>
        <v>2013</v>
      </c>
      <c r="O65">
        <f t="shared" si="4"/>
        <v>182052</v>
      </c>
      <c r="P65">
        <f t="shared" si="5"/>
        <v>11393.60787488733</v>
      </c>
      <c r="Q65">
        <f t="shared" si="6"/>
        <v>6.258435982514518E-2</v>
      </c>
      <c r="R65">
        <f t="shared" si="7"/>
        <v>0.50546591307833144</v>
      </c>
      <c r="S65">
        <f t="shared" si="8"/>
        <v>0.49453408692166856</v>
      </c>
      <c r="T65">
        <f t="shared" si="9"/>
        <v>84396.392125112674</v>
      </c>
      <c r="U65">
        <f t="shared" si="10"/>
        <v>84719.028468158504</v>
      </c>
      <c r="V65">
        <f t="shared" si="11"/>
        <v>0.49453408692166861</v>
      </c>
      <c r="W65">
        <f t="shared" si="12"/>
        <v>86262</v>
      </c>
      <c r="X65">
        <f t="shared" si="13"/>
        <v>22289</v>
      </c>
      <c r="Y65">
        <f t="shared" si="14"/>
        <v>-1.3532958934444546</v>
      </c>
      <c r="Z65">
        <f t="shared" si="28"/>
        <v>-2.6835005064712698</v>
      </c>
      <c r="AB65">
        <v>2013</v>
      </c>
      <c r="AC65" s="4">
        <f t="shared" si="30"/>
        <v>115984.75860724933</v>
      </c>
      <c r="AD65">
        <f t="shared" si="29"/>
        <v>0.3</v>
      </c>
      <c r="AE65">
        <f t="shared" si="16"/>
        <v>41038.439338808203</v>
      </c>
      <c r="AF65">
        <f t="shared" si="17"/>
        <v>34795.427582174794</v>
      </c>
    </row>
    <row r="66" spans="1:32" x14ac:dyDescent="0.55000000000000004">
      <c r="A66" s="8">
        <v>2014</v>
      </c>
      <c r="B66" s="9">
        <v>68610</v>
      </c>
      <c r="C66" s="9">
        <v>3</v>
      </c>
      <c r="D66" s="9">
        <v>68613</v>
      </c>
      <c r="E66" s="9">
        <v>-139257.076041878</v>
      </c>
      <c r="F66" s="9">
        <v>5455.0514751026203</v>
      </c>
      <c r="G66" s="9">
        <v>20024.559643241701</v>
      </c>
      <c r="H66" s="9">
        <v>0</v>
      </c>
      <c r="I66" s="9">
        <v>127448</v>
      </c>
      <c r="J66" s="9"/>
      <c r="K66" s="9"/>
      <c r="L66" s="9"/>
      <c r="M66" s="9"/>
      <c r="N66">
        <f t="shared" si="3"/>
        <v>2014</v>
      </c>
      <c r="O66">
        <f t="shared" si="4"/>
        <v>127445</v>
      </c>
      <c r="P66">
        <f t="shared" si="5"/>
        <v>25479.611118344321</v>
      </c>
      <c r="Q66">
        <f t="shared" si="6"/>
        <v>0.19992632993326001</v>
      </c>
      <c r="R66">
        <f t="shared" si="7"/>
        <v>0.672875382053718</v>
      </c>
      <c r="S66">
        <f t="shared" si="8"/>
        <v>0.327124617946282</v>
      </c>
      <c r="T66">
        <f t="shared" si="9"/>
        <v>33355.388881655672</v>
      </c>
      <c r="U66">
        <f t="shared" si="10"/>
        <v>139257.076041878</v>
      </c>
      <c r="V66">
        <f t="shared" si="11"/>
        <v>0.32712461794628189</v>
      </c>
      <c r="W66">
        <f t="shared" si="12"/>
        <v>68610</v>
      </c>
      <c r="X66">
        <f t="shared" si="13"/>
        <v>94467</v>
      </c>
      <c r="Y66">
        <f t="shared" si="14"/>
        <v>0.31981227046095567</v>
      </c>
      <c r="Z66">
        <f t="shared" si="28"/>
        <v>-1.0544914976264732</v>
      </c>
      <c r="AB66">
        <v>2014</v>
      </c>
      <c r="AC66" s="4">
        <f t="shared" si="30"/>
        <v>52096.957771329318</v>
      </c>
      <c r="AD66">
        <f t="shared" si="29"/>
        <v>0.3</v>
      </c>
      <c r="AE66">
        <f t="shared" si="16"/>
        <v>24538.332254953737</v>
      </c>
      <c r="AF66">
        <f t="shared" si="17"/>
        <v>15629.087331398794</v>
      </c>
    </row>
    <row r="67" spans="1:32" x14ac:dyDescent="0.55000000000000004">
      <c r="A67" s="8">
        <v>2015</v>
      </c>
      <c r="B67" s="9">
        <v>10087</v>
      </c>
      <c r="C67" s="9">
        <v>9</v>
      </c>
      <c r="D67" s="9">
        <v>10096</v>
      </c>
      <c r="E67" s="9">
        <v>-18510.653566423702</v>
      </c>
      <c r="F67" s="9">
        <v>184.12960914652601</v>
      </c>
      <c r="G67" s="9">
        <v>623.18102075543095</v>
      </c>
      <c r="H67" s="9">
        <v>0</v>
      </c>
      <c r="I67" s="9">
        <v>28749</v>
      </c>
      <c r="J67" s="9"/>
      <c r="K67" s="9"/>
      <c r="L67" s="9"/>
      <c r="M67" s="9"/>
      <c r="N67">
        <f t="shared" si="3"/>
        <v>2015</v>
      </c>
      <c r="O67">
        <f t="shared" si="4"/>
        <v>28740</v>
      </c>
      <c r="P67">
        <f t="shared" si="5"/>
        <v>807.31062990195699</v>
      </c>
      <c r="Q67">
        <f t="shared" si="6"/>
        <v>2.8090140219274775E-2</v>
      </c>
      <c r="R67">
        <f t="shared" si="7"/>
        <v>0.36111811026682372</v>
      </c>
      <c r="S67">
        <f t="shared" si="8"/>
        <v>0.63888188973317628</v>
      </c>
      <c r="T67">
        <f t="shared" si="9"/>
        <v>17845.689370098044</v>
      </c>
      <c r="U67">
        <f t="shared" si="10"/>
        <v>18510.653566423702</v>
      </c>
      <c r="V67">
        <f t="shared" si="11"/>
        <v>0.63888188973317628</v>
      </c>
      <c r="W67">
        <f t="shared" si="12"/>
        <v>10087</v>
      </c>
      <c r="X67">
        <f t="shared" si="13"/>
        <v>25743</v>
      </c>
      <c r="Y67">
        <f t="shared" si="14"/>
        <v>0.93691527942039521</v>
      </c>
      <c r="Z67">
        <f t="shared" si="28"/>
        <v>-0.58359372612524241</v>
      </c>
      <c r="AB67">
        <v>2015</v>
      </c>
      <c r="AC67" s="4">
        <f t="shared" si="30"/>
        <v>10669.785768750375</v>
      </c>
      <c r="AD67">
        <f t="shared" si="29"/>
        <v>0.3</v>
      </c>
      <c r="AE67">
        <f t="shared" si="16"/>
        <v>2697.1370116340886</v>
      </c>
      <c r="AF67">
        <f t="shared" si="17"/>
        <v>3200.9357306251122</v>
      </c>
    </row>
    <row r="68" spans="1:32" x14ac:dyDescent="0.55000000000000004">
      <c r="A68" s="8">
        <v>2016</v>
      </c>
      <c r="B68" s="9">
        <v>8608</v>
      </c>
      <c r="C68" s="9">
        <v>4</v>
      </c>
      <c r="D68" s="9">
        <v>8612</v>
      </c>
      <c r="E68" s="9">
        <v>-7757.7424635206999</v>
      </c>
      <c r="F68" s="9">
        <v>134.234358660097</v>
      </c>
      <c r="G68" s="9">
        <v>1514.01189075454</v>
      </c>
      <c r="H68" s="9">
        <v>168.87186976379999</v>
      </c>
      <c r="I68" s="9">
        <v>17829</v>
      </c>
      <c r="J68" s="9"/>
      <c r="K68" s="9"/>
      <c r="L68" s="9"/>
      <c r="M68" s="9"/>
      <c r="N68">
        <f t="shared" si="3"/>
        <v>2016</v>
      </c>
      <c r="O68">
        <f t="shared" si="4"/>
        <v>17825</v>
      </c>
      <c r="P68">
        <f t="shared" si="5"/>
        <v>1648.2462494146371</v>
      </c>
      <c r="Q68">
        <f t="shared" si="6"/>
        <v>9.2468232786234894E-2</v>
      </c>
      <c r="R68">
        <f t="shared" si="7"/>
        <v>0.53212159452501506</v>
      </c>
      <c r="S68">
        <f t="shared" si="8"/>
        <v>0.46787840547498494</v>
      </c>
      <c r="T68">
        <f t="shared" si="9"/>
        <v>7568.7537505853634</v>
      </c>
      <c r="U68">
        <f t="shared" si="10"/>
        <v>7757.7424635206999</v>
      </c>
      <c r="V68">
        <f t="shared" si="11"/>
        <v>0.46787840547498505</v>
      </c>
      <c r="W68">
        <f t="shared" si="12"/>
        <v>8608</v>
      </c>
      <c r="X68">
        <f t="shared" si="13"/>
        <v>20167</v>
      </c>
      <c r="Y68">
        <f t="shared" si="14"/>
        <v>0.85135560173827618</v>
      </c>
      <c r="Z68">
        <f t="shared" ref="Z68:Z71" si="31">Y68-(ra-rb*W68)</f>
        <v>-0.67284831941662082</v>
      </c>
      <c r="AB68">
        <v>2016</v>
      </c>
      <c r="AC68" s="4">
        <f t="shared" si="30"/>
        <v>16115.013577071149</v>
      </c>
      <c r="AD68">
        <f t="shared" ref="AD68:AD77" si="32">IF(AND(useretro,N68&gt;=yrretro),retroU,Q68)</f>
        <v>0.3</v>
      </c>
      <c r="AE68">
        <f t="shared" si="16"/>
        <v>6002.6027042963569</v>
      </c>
      <c r="AF68">
        <f t="shared" si="17"/>
        <v>4834.5040731213448</v>
      </c>
    </row>
    <row r="69" spans="1:32" x14ac:dyDescent="0.55000000000000004">
      <c r="A69" s="8">
        <v>2017</v>
      </c>
      <c r="B69" s="9">
        <v>15423</v>
      </c>
      <c r="C69" s="9">
        <v>10</v>
      </c>
      <c r="D69" s="9">
        <v>15433</v>
      </c>
      <c r="E69" s="9">
        <v>-18478.4980949561</v>
      </c>
      <c r="F69" s="9">
        <v>235.34642789627401</v>
      </c>
      <c r="G69" s="9">
        <v>2725.1234522202299</v>
      </c>
      <c r="H69" s="9">
        <v>47.914316197787798</v>
      </c>
      <c r="I69" s="9">
        <v>22299</v>
      </c>
      <c r="J69" s="9"/>
      <c r="K69" s="9"/>
      <c r="L69" s="9"/>
      <c r="M69" s="9"/>
      <c r="N69">
        <f t="shared" ref="N69:N75" si="33">A69</f>
        <v>2017</v>
      </c>
      <c r="O69">
        <f t="shared" ref="O69:O75" si="34">I69-C69</f>
        <v>22289</v>
      </c>
      <c r="P69">
        <f t="shared" ref="P69:P75" si="35">F69+G69</f>
        <v>2960.4698801165041</v>
      </c>
      <c r="Q69">
        <f t="shared" ref="Q69:Q75" si="36">MIN(0.95,P69/O69)</f>
        <v>0.13282201445181499</v>
      </c>
      <c r="R69">
        <f t="shared" ref="R69:R75" si="37">MIN(1,MAX(0.0001,W69/O69/(1-Q69)))</f>
        <v>0.7979396210855253</v>
      </c>
      <c r="S69">
        <f t="shared" ref="S69:S75" si="38">1-R69</f>
        <v>0.2020603789144747</v>
      </c>
      <c r="T69">
        <f t="shared" ref="T69:T75" si="39">O69-(P69+B69)</f>
        <v>3905.5301198834968</v>
      </c>
      <c r="U69">
        <f t="shared" ref="U69:U75" si="40">-E69</f>
        <v>18478.4980949561</v>
      </c>
      <c r="V69">
        <f t="shared" ref="V69:V75" si="41">T69/(O69-P69)</f>
        <v>0.20206037891447473</v>
      </c>
      <c r="W69">
        <f>B69</f>
        <v>15423</v>
      </c>
      <c r="X69">
        <f>O73</f>
        <v>78561</v>
      </c>
      <c r="Y69">
        <f t="shared" ref="Y69:Y70" si="42">IF(AND(W69&gt;0,X69&gt;0),LN(X69/W69),0)</f>
        <v>1.6280154913479548</v>
      </c>
      <c r="Z69">
        <f t="shared" si="31"/>
        <v>0.12083716172591985</v>
      </c>
      <c r="AB69">
        <v>2017</v>
      </c>
      <c r="AC69" s="4">
        <f t="shared" si="30"/>
        <v>11872.12431105695</v>
      </c>
      <c r="AD69">
        <f t="shared" si="32"/>
        <v>0.3</v>
      </c>
      <c r="AE69">
        <f t="shared" ref="AE69:AE77" si="43">AC69*(1-AD69)*R69</f>
        <v>6631.2668619715241</v>
      </c>
      <c r="AF69">
        <f t="shared" ref="AF69:AF77" si="44">AC69*AD69</f>
        <v>3561.6372933170851</v>
      </c>
    </row>
    <row r="70" spans="1:32" x14ac:dyDescent="0.55000000000000004">
      <c r="A70" s="8">
        <v>2018</v>
      </c>
      <c r="B70" s="9">
        <v>48489</v>
      </c>
      <c r="C70" s="9">
        <v>0</v>
      </c>
      <c r="D70" s="9">
        <v>48489</v>
      </c>
      <c r="E70" s="9">
        <v>-66321.276576344098</v>
      </c>
      <c r="F70" s="9">
        <v>1736.44231477628</v>
      </c>
      <c r="G70" s="9">
        <v>6600.9765646954102</v>
      </c>
      <c r="H70" s="9">
        <v>176.57476888810001</v>
      </c>
      <c r="I70" s="9">
        <v>94467</v>
      </c>
      <c r="J70" s="9"/>
      <c r="K70" s="9"/>
      <c r="L70" s="9"/>
      <c r="M70" s="9"/>
      <c r="N70">
        <f t="shared" si="33"/>
        <v>2018</v>
      </c>
      <c r="O70">
        <f t="shared" si="34"/>
        <v>94467</v>
      </c>
      <c r="P70">
        <f t="shared" si="35"/>
        <v>8337.4188794716902</v>
      </c>
      <c r="Q70">
        <f t="shared" si="36"/>
        <v>8.825747487981718E-2</v>
      </c>
      <c r="R70">
        <f t="shared" si="37"/>
        <v>0.56297731126946138</v>
      </c>
      <c r="S70">
        <f t="shared" si="38"/>
        <v>0.43702268873053862</v>
      </c>
      <c r="T70">
        <f t="shared" si="39"/>
        <v>37640.58112052831</v>
      </c>
      <c r="U70">
        <f t="shared" si="40"/>
        <v>66321.276576344098</v>
      </c>
      <c r="V70">
        <f t="shared" si="41"/>
        <v>0.43702268873053851</v>
      </c>
      <c r="W70">
        <f>B70</f>
        <v>48489</v>
      </c>
      <c r="X70">
        <f>O74</f>
        <v>255089</v>
      </c>
      <c r="Y70">
        <f t="shared" si="42"/>
        <v>1.6602755357773129</v>
      </c>
      <c r="Z70">
        <f t="shared" si="31"/>
        <v>0.23570442693673366</v>
      </c>
      <c r="AB70">
        <v>2018</v>
      </c>
      <c r="AC70" s="4">
        <f t="shared" si="30"/>
        <v>37718.508140948565</v>
      </c>
      <c r="AD70">
        <f t="shared" si="32"/>
        <v>0.3</v>
      </c>
      <c r="AE70">
        <f t="shared" si="43"/>
        <v>14864.265008800559</v>
      </c>
      <c r="AF70">
        <f t="shared" si="44"/>
        <v>11315.552442284568</v>
      </c>
    </row>
    <row r="71" spans="1:32" x14ac:dyDescent="0.55000000000000004">
      <c r="A71" s="8">
        <v>2019</v>
      </c>
      <c r="B71" s="9">
        <v>89</v>
      </c>
      <c r="C71" s="9">
        <v>0</v>
      </c>
      <c r="D71" s="9">
        <v>89</v>
      </c>
      <c r="E71" s="9">
        <v>-25499.0274918014</v>
      </c>
      <c r="F71" s="9">
        <v>59.109092788858</v>
      </c>
      <c r="G71" s="9">
        <v>133.51430298064099</v>
      </c>
      <c r="H71" s="9">
        <v>121.26739999954</v>
      </c>
      <c r="I71" s="9">
        <v>25743</v>
      </c>
      <c r="J71" s="9"/>
      <c r="K71" s="9"/>
      <c r="L71" s="9"/>
      <c r="M71" s="9"/>
      <c r="N71">
        <f t="shared" si="33"/>
        <v>2019</v>
      </c>
      <c r="O71">
        <f t="shared" si="34"/>
        <v>25743</v>
      </c>
      <c r="P71">
        <f t="shared" si="35"/>
        <v>192.62339576949898</v>
      </c>
      <c r="Q71">
        <f t="shared" si="36"/>
        <v>7.482554316493765E-3</v>
      </c>
      <c r="R71">
        <f t="shared" si="37"/>
        <v>3.4833146054396645E-3</v>
      </c>
      <c r="S71">
        <f t="shared" si="38"/>
        <v>0.99651668539456029</v>
      </c>
      <c r="T71">
        <f t="shared" si="39"/>
        <v>25461.3766042305</v>
      </c>
      <c r="U71">
        <f t="shared" si="40"/>
        <v>25499.0274918014</v>
      </c>
      <c r="V71">
        <f t="shared" si="41"/>
        <v>0.99651668539456029</v>
      </c>
      <c r="W71">
        <f>B71</f>
        <v>89</v>
      </c>
      <c r="X71">
        <f>O75</f>
        <v>26656</v>
      </c>
      <c r="Y71">
        <f>IF(AND(W71&gt;0,X71&gt;0),LN(X71/W71),0)</f>
        <v>5.7021331752344295</v>
      </c>
      <c r="Z71">
        <f t="shared" si="31"/>
        <v>4.1566466401003019</v>
      </c>
      <c r="AB71">
        <v>2019</v>
      </c>
      <c r="AC71" s="4">
        <f t="shared" si="30"/>
        <v>7011.6136579841632</v>
      </c>
      <c r="AD71">
        <f t="shared" si="32"/>
        <v>0.3</v>
      </c>
      <c r="AE71">
        <f t="shared" si="43"/>
        <v>17.096559383789526</v>
      </c>
      <c r="AF71">
        <f t="shared" si="44"/>
        <v>2103.4840973952487</v>
      </c>
    </row>
    <row r="72" spans="1:32" x14ac:dyDescent="0.55000000000000004">
      <c r="A72" s="8">
        <v>2020</v>
      </c>
      <c r="B72" s="9">
        <v>30</v>
      </c>
      <c r="C72" s="9">
        <v>0</v>
      </c>
      <c r="D72" s="9">
        <v>30</v>
      </c>
      <c r="E72" s="9">
        <v>-16636.989902377401</v>
      </c>
      <c r="F72" s="9">
        <v>72.726441916610995</v>
      </c>
      <c r="G72" s="9">
        <v>66.464210239631797</v>
      </c>
      <c r="H72" s="9">
        <v>28.218060378400001</v>
      </c>
      <c r="I72" s="9">
        <v>20167</v>
      </c>
      <c r="J72" s="9"/>
      <c r="K72" s="9"/>
      <c r="L72" s="9"/>
      <c r="M72" s="9"/>
      <c r="N72">
        <f t="shared" si="33"/>
        <v>2020</v>
      </c>
      <c r="O72">
        <f t="shared" si="34"/>
        <v>20167</v>
      </c>
      <c r="P72">
        <f t="shared" si="35"/>
        <v>139.19065215624278</v>
      </c>
      <c r="Q72">
        <f t="shared" si="36"/>
        <v>6.9019017283801646E-3</v>
      </c>
      <c r="R72">
        <f t="shared" si="37"/>
        <v>1.4979171949841769E-3</v>
      </c>
      <c r="S72">
        <f t="shared" si="38"/>
        <v>0.99850208280501584</v>
      </c>
      <c r="T72">
        <f t="shared" si="39"/>
        <v>19997.809347843759</v>
      </c>
      <c r="U72">
        <f t="shared" si="40"/>
        <v>16636.989902377401</v>
      </c>
      <c r="V72">
        <f t="shared" si="41"/>
        <v>0.99850208280501584</v>
      </c>
      <c r="W72">
        <f t="shared" ref="W72:W75" si="45">B72</f>
        <v>30</v>
      </c>
      <c r="X72">
        <f t="shared" ref="X72:X75" si="46">O76</f>
        <v>0</v>
      </c>
      <c r="Y72">
        <f t="shared" ref="Y72:Y75" si="47">IF(AND(W72&gt;0,X72&gt;0),LN(X72/W72),0)</f>
        <v>0</v>
      </c>
      <c r="Z72">
        <f t="shared" ref="Z72:Z75" si="48">Y72-(ra-rb*W72)</f>
        <v>-1.5456339320380801</v>
      </c>
      <c r="AA72" s="14"/>
      <c r="AB72">
        <v>2020</v>
      </c>
      <c r="AC72" s="4">
        <f>AE68*EXP(ra-rb*AE68+Z68)</f>
        <v>14154.855378922601</v>
      </c>
      <c r="AD72">
        <f t="shared" si="32"/>
        <v>0.3</v>
      </c>
      <c r="AE72">
        <f t="shared" si="43"/>
        <v>14.841960885221701</v>
      </c>
      <c r="AF72">
        <f t="shared" si="44"/>
        <v>4246.4566136767799</v>
      </c>
    </row>
    <row r="73" spans="1:32" x14ac:dyDescent="0.55000000000000004">
      <c r="A73" s="8">
        <v>2021</v>
      </c>
      <c r="B73" s="9">
        <v>53932</v>
      </c>
      <c r="C73" s="9">
        <v>81</v>
      </c>
      <c r="D73" s="9">
        <v>54013</v>
      </c>
      <c r="E73" s="9">
        <v>-14189.810807305899</v>
      </c>
      <c r="F73" s="9">
        <v>482.02734501468899</v>
      </c>
      <c r="G73" s="9">
        <v>998.06999103287205</v>
      </c>
      <c r="H73" s="9">
        <v>0</v>
      </c>
      <c r="I73" s="9">
        <v>78642</v>
      </c>
      <c r="J73" s="9"/>
      <c r="K73" s="9"/>
      <c r="L73" s="9"/>
      <c r="M73" s="9"/>
      <c r="N73">
        <f t="shared" si="33"/>
        <v>2021</v>
      </c>
      <c r="O73">
        <f t="shared" si="34"/>
        <v>78561</v>
      </c>
      <c r="P73">
        <f t="shared" si="35"/>
        <v>1480.0973360475609</v>
      </c>
      <c r="Q73">
        <f t="shared" si="36"/>
        <v>1.8840103054283436E-2</v>
      </c>
      <c r="R73">
        <f t="shared" si="37"/>
        <v>0.69968044140746388</v>
      </c>
      <c r="S73">
        <f t="shared" si="38"/>
        <v>0.30031955859253612</v>
      </c>
      <c r="T73">
        <f t="shared" si="39"/>
        <v>23148.902663952438</v>
      </c>
      <c r="U73">
        <f t="shared" si="40"/>
        <v>14189.810807305899</v>
      </c>
      <c r="V73">
        <f t="shared" si="41"/>
        <v>0.30031955859253612</v>
      </c>
      <c r="W73">
        <f t="shared" si="45"/>
        <v>53932</v>
      </c>
      <c r="X73">
        <f t="shared" si="46"/>
        <v>0</v>
      </c>
      <c r="Y73">
        <f t="shared" si="47"/>
        <v>0</v>
      </c>
      <c r="Z73">
        <f t="shared" si="48"/>
        <v>-1.4109731198877737</v>
      </c>
      <c r="AA73" s="14"/>
      <c r="AB73">
        <v>2021</v>
      </c>
      <c r="AC73" s="4">
        <f t="shared" ref="AC73:AC75" si="49">AE69*EXP(ra-rb*AE69+Z69)</f>
        <v>34528.163618445789</v>
      </c>
      <c r="AD73">
        <f t="shared" si="32"/>
        <v>0.3</v>
      </c>
      <c r="AE73">
        <f>AC73*(1-AD73)*R73</f>
        <v>16911.076533080297</v>
      </c>
      <c r="AF73">
        <f t="shared" si="44"/>
        <v>10358.449085533737</v>
      </c>
    </row>
    <row r="74" spans="1:32" x14ac:dyDescent="0.55000000000000004">
      <c r="A74" s="8">
        <v>2022</v>
      </c>
      <c r="B74" s="9">
        <v>24929</v>
      </c>
      <c r="C74" s="9">
        <v>0</v>
      </c>
      <c r="D74" s="9">
        <v>24929</v>
      </c>
      <c r="E74" s="9">
        <v>-214662.63015631499</v>
      </c>
      <c r="F74" s="9">
        <v>998.52442640306003</v>
      </c>
      <c r="G74" s="9">
        <v>3797.1893188587101</v>
      </c>
      <c r="H74" s="9">
        <v>1003.59740899906</v>
      </c>
      <c r="I74" s="9">
        <v>255089</v>
      </c>
      <c r="J74" s="9"/>
      <c r="K74" s="9"/>
      <c r="L74" s="9"/>
      <c r="M74" s="9"/>
      <c r="N74">
        <f t="shared" si="33"/>
        <v>2022</v>
      </c>
      <c r="O74">
        <f t="shared" si="34"/>
        <v>255089</v>
      </c>
      <c r="P74">
        <f t="shared" si="35"/>
        <v>4795.7137452617699</v>
      </c>
      <c r="Q74">
        <f t="shared" si="36"/>
        <v>1.8800158945551433E-2</v>
      </c>
      <c r="R74">
        <f t="shared" si="37"/>
        <v>9.959915574654403E-2</v>
      </c>
      <c r="S74">
        <f t="shared" si="38"/>
        <v>0.90040084425345601</v>
      </c>
      <c r="T74">
        <f t="shared" si="39"/>
        <v>225364.28625473822</v>
      </c>
      <c r="U74">
        <f t="shared" si="40"/>
        <v>214662.63015631499</v>
      </c>
      <c r="V74">
        <f t="shared" si="41"/>
        <v>0.90040084425345601</v>
      </c>
      <c r="W74">
        <f t="shared" si="45"/>
        <v>24929</v>
      </c>
      <c r="X74">
        <f t="shared" si="46"/>
        <v>0</v>
      </c>
      <c r="Y74">
        <f t="shared" si="47"/>
        <v>0</v>
      </c>
      <c r="Z74">
        <f t="shared" si="48"/>
        <v>-1.4834299403173559</v>
      </c>
      <c r="AA74" s="14"/>
      <c r="AB74">
        <v>2022</v>
      </c>
      <c r="AC74" s="4">
        <f t="shared" si="49"/>
        <v>85049.941288409842</v>
      </c>
      <c r="AD74">
        <f t="shared" si="32"/>
        <v>0.3</v>
      </c>
      <c r="AE74">
        <f t="shared" si="43"/>
        <v>5929.6316440331302</v>
      </c>
      <c r="AF74">
        <f t="shared" si="44"/>
        <v>25514.982386522952</v>
      </c>
    </row>
    <row r="75" spans="1:32" x14ac:dyDescent="0.55000000000000004">
      <c r="A75" s="8">
        <v>2023</v>
      </c>
      <c r="B75" s="9">
        <v>9819</v>
      </c>
      <c r="C75" s="9">
        <v>0</v>
      </c>
      <c r="D75" s="9">
        <v>9819</v>
      </c>
      <c r="E75" s="9">
        <v>-30616.095808169201</v>
      </c>
      <c r="F75" s="9">
        <v>176.33019918821901</v>
      </c>
      <c r="G75" s="9">
        <v>544.20415210195301</v>
      </c>
      <c r="H75" s="9">
        <v>238.08742921829699</v>
      </c>
      <c r="I75" s="9">
        <v>26656</v>
      </c>
      <c r="J75" s="9"/>
      <c r="K75" s="9"/>
      <c r="L75" s="9"/>
      <c r="M75" s="9"/>
      <c r="N75">
        <f t="shared" si="33"/>
        <v>2023</v>
      </c>
      <c r="O75">
        <f t="shared" si="34"/>
        <v>26656</v>
      </c>
      <c r="P75">
        <f t="shared" si="35"/>
        <v>720.53435129017203</v>
      </c>
      <c r="Q75">
        <f t="shared" si="36"/>
        <v>2.7030850513586887E-2</v>
      </c>
      <c r="R75">
        <f t="shared" si="37"/>
        <v>0.37859354958172692</v>
      </c>
      <c r="S75">
        <f t="shared" si="38"/>
        <v>0.62140645041827303</v>
      </c>
      <c r="T75">
        <f t="shared" si="39"/>
        <v>16116.465648709827</v>
      </c>
      <c r="U75">
        <f t="shared" si="40"/>
        <v>30616.095808169201</v>
      </c>
      <c r="V75">
        <f t="shared" si="41"/>
        <v>0.62140645041827303</v>
      </c>
      <c r="W75">
        <f t="shared" si="45"/>
        <v>9819</v>
      </c>
      <c r="X75">
        <f t="shared" si="46"/>
        <v>0</v>
      </c>
      <c r="Y75">
        <f t="shared" si="47"/>
        <v>0</v>
      </c>
      <c r="Z75">
        <f t="shared" si="48"/>
        <v>-1.5211785372449491</v>
      </c>
      <c r="AA75" s="14"/>
      <c r="AB75">
        <v>2023</v>
      </c>
      <c r="AC75" s="4">
        <f t="shared" si="49"/>
        <v>5121.4354795122163</v>
      </c>
      <c r="AD75">
        <f t="shared" si="32"/>
        <v>0.3</v>
      </c>
      <c r="AE75">
        <f>AC75*(1-AD75)*R75</f>
        <v>1357.2597059996265</v>
      </c>
      <c r="AF75">
        <f t="shared" si="44"/>
        <v>1536.4306438536648</v>
      </c>
    </row>
    <row r="76" spans="1:32" x14ac:dyDescent="0.55000000000000004">
      <c r="A76" s="8" t="s">
        <v>49</v>
      </c>
      <c r="B76" s="9">
        <v>5446027</v>
      </c>
      <c r="C76" s="9">
        <v>12913</v>
      </c>
      <c r="D76" s="9">
        <v>5458939</v>
      </c>
      <c r="E76" s="9">
        <v>-2548479.6188174412</v>
      </c>
      <c r="F76" s="9">
        <v>8549058.8352683689</v>
      </c>
      <c r="G76" s="9">
        <v>2580962.1300840001</v>
      </c>
      <c r="H76" s="9">
        <v>21873.548238827232</v>
      </c>
      <c r="I76" s="9">
        <v>19579771</v>
      </c>
      <c r="J76" s="9"/>
      <c r="K76" s="9"/>
      <c r="L76" s="9"/>
      <c r="M76" s="9"/>
      <c r="N76">
        <f>N75+1</f>
        <v>2024</v>
      </c>
      <c r="AA76" s="14"/>
      <c r="AB76">
        <v>2024</v>
      </c>
      <c r="AC76" s="4">
        <f>AE72*EXP(ra-rb*AE72+Z78)</f>
        <v>313.41438887348096</v>
      </c>
      <c r="AD76">
        <f t="shared" si="32"/>
        <v>0.3</v>
      </c>
      <c r="AE76">
        <f t="shared" si="43"/>
        <v>0</v>
      </c>
      <c r="AF76">
        <f t="shared" si="44"/>
        <v>94.024316662044285</v>
      </c>
    </row>
    <row r="77" spans="1:32" x14ac:dyDescent="0.55000000000000004">
      <c r="N77">
        <f>N76+1</f>
        <v>2025</v>
      </c>
      <c r="AA77" s="14"/>
      <c r="AB77">
        <v>2025</v>
      </c>
      <c r="AC77" s="4">
        <f>AE73*EXP(ra-rb*AE73+Z79)</f>
        <v>75355.716826004515</v>
      </c>
      <c r="AD77">
        <f t="shared" si="32"/>
        <v>0.3</v>
      </c>
      <c r="AE77">
        <f t="shared" si="43"/>
        <v>0</v>
      </c>
      <c r="AF77">
        <f t="shared" si="44"/>
        <v>22606.715047801354</v>
      </c>
    </row>
    <row r="78" spans="1:32" x14ac:dyDescent="0.55000000000000004">
      <c r="X78" s="4">
        <f>W68*EXP(ra-rb*W68+Z68)</f>
        <v>20167</v>
      </c>
      <c r="Z78" s="14">
        <f>AVERAGE(Z69:Z71)</f>
        <v>1.5043960762543185</v>
      </c>
    </row>
    <row r="79" spans="1:32" x14ac:dyDescent="0.55000000000000004">
      <c r="X79" s="4">
        <f>W69*EXP(ra-rb*W69+Z69)</f>
        <v>78561</v>
      </c>
      <c r="Z79" s="14">
        <f>AVERAGE(Z70:Z78)</f>
        <v>-9.2097694566864539E-3</v>
      </c>
    </row>
    <row r="80" spans="1:32" x14ac:dyDescent="0.55000000000000004">
      <c r="X80" s="4">
        <f>W70*EXP(ra-rb*W70+Z70)</f>
        <v>255089</v>
      </c>
      <c r="Z80" s="14">
        <f>AVERAGE(Z71:Z79)</f>
        <v>-4.4197511798603546E-2</v>
      </c>
    </row>
    <row r="81" spans="24:26" x14ac:dyDescent="0.55000000000000004">
      <c r="X81" s="4">
        <f>W71*EXP(ra-rb*W71+Z71)</f>
        <v>26656.000000000004</v>
      </c>
      <c r="Z81" s="14">
        <f>AVERAGE(Z78:Z80)</f>
        <v>0.48366293166634283</v>
      </c>
    </row>
    <row r="82" spans="24:26" x14ac:dyDescent="0.55000000000000004">
      <c r="X82" s="4">
        <f>W72*EXP(ra-rb*W72+Z78)</f>
        <v>633.47934202432168</v>
      </c>
      <c r="Z82" s="14">
        <f>AVERAGE(Z79:Z81)</f>
        <v>0.14341855013701763</v>
      </c>
    </row>
    <row r="83" spans="24:26" x14ac:dyDescent="0.55000000000000004">
      <c r="X83" s="4">
        <f>W73*EXP(ra-rb*W73+Z79)</f>
        <v>219091.03846776279</v>
      </c>
      <c r="Z83" s="14">
        <f>AVERAGE(Z80:Z82)</f>
        <v>0.1942946566682523</v>
      </c>
    </row>
  </sheetData>
  <conditionalFormatting sqref="Q4:S4 R5:S77 Q5:Q76">
    <cfRule type="cellIs" dxfId="6" priority="3" operator="greaterThan">
      <formula>1</formula>
    </cfRule>
  </conditionalFormatting>
  <conditionalFormatting sqref="AL4">
    <cfRule type="cellIs" dxfId="5" priority="2" operator="lessThan">
      <formula>0</formula>
    </cfRule>
  </conditionalFormatting>
  <conditionalFormatting sqref="AI4:AL4">
    <cfRule type="cellIs" dxfId="4" priority="1" operator="lessThan">
      <formula>0</formula>
    </cfRule>
  </conditionalFormatting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24FC2-66BE-4E7A-9BAC-9E6D6D7910B4}">
  <dimension ref="A1:O30"/>
  <sheetViews>
    <sheetView topLeftCell="A16" workbookViewId="0">
      <selection activeCell="F16" sqref="F16"/>
    </sheetView>
  </sheetViews>
  <sheetFormatPr defaultRowHeight="14.4" x14ac:dyDescent="0.55000000000000004"/>
  <cols>
    <col min="1" max="1" width="23.1015625" bestFit="1" customWidth="1"/>
    <col min="5" max="7" width="10.5234375" customWidth="1"/>
    <col min="14" max="15" width="11.7890625" customWidth="1"/>
  </cols>
  <sheetData>
    <row r="1" spans="1:15" ht="43.2" x14ac:dyDescent="0.55000000000000004">
      <c r="A1" s="7" t="s">
        <v>48</v>
      </c>
      <c r="B1" s="17" t="s">
        <v>84</v>
      </c>
      <c r="C1" s="17" t="s">
        <v>97</v>
      </c>
      <c r="D1" s="17" t="s">
        <v>99</v>
      </c>
      <c r="E1" s="17" t="s">
        <v>132</v>
      </c>
      <c r="F1" s="17" t="s">
        <v>133</v>
      </c>
      <c r="G1" s="17"/>
      <c r="H1" t="s">
        <v>91</v>
      </c>
      <c r="I1">
        <f>COUNTIF(B2:B28,"&lt;&gt;""")</f>
        <v>27</v>
      </c>
      <c r="M1" t="s">
        <v>128</v>
      </c>
      <c r="N1" t="s">
        <v>1</v>
      </c>
      <c r="O1" t="s">
        <v>115</v>
      </c>
    </row>
    <row r="2" spans="1:15" x14ac:dyDescent="0.55000000000000004">
      <c r="A2" s="8" t="s">
        <v>10</v>
      </c>
      <c r="B2" t="s">
        <v>85</v>
      </c>
      <c r="C2" t="s">
        <v>86</v>
      </c>
      <c r="D2" t="s">
        <v>85</v>
      </c>
      <c r="E2">
        <v>-0.42099999999999999</v>
      </c>
      <c r="F2">
        <v>2.87</v>
      </c>
      <c r="H2" t="s">
        <v>94</v>
      </c>
      <c r="I2">
        <f>COUNTIF(B2:B28, "=yes")</f>
        <v>20</v>
      </c>
      <c r="J2" s="18">
        <f>I2/I$1</f>
        <v>0.7407407407407407</v>
      </c>
      <c r="M2" t="s">
        <v>129</v>
      </c>
      <c r="N2" t="s">
        <v>10</v>
      </c>
      <c r="O2">
        <v>4</v>
      </c>
    </row>
    <row r="3" spans="1:15" x14ac:dyDescent="0.55000000000000004">
      <c r="A3" s="8" t="s">
        <v>13</v>
      </c>
      <c r="B3" t="s">
        <v>85</v>
      </c>
      <c r="C3" t="s">
        <v>87</v>
      </c>
      <c r="D3" t="s">
        <v>85</v>
      </c>
      <c r="E3">
        <v>-2.48</v>
      </c>
      <c r="F3">
        <v>14.82</v>
      </c>
      <c r="H3" t="s">
        <v>93</v>
      </c>
      <c r="I3">
        <f>I1-I2</f>
        <v>7</v>
      </c>
      <c r="J3" s="18">
        <f t="shared" ref="J3:J8" si="0">I3/I$1</f>
        <v>0.25925925925925924</v>
      </c>
      <c r="M3" t="s">
        <v>130</v>
      </c>
      <c r="N3" t="s">
        <v>13</v>
      </c>
      <c r="O3">
        <v>2</v>
      </c>
    </row>
    <row r="4" spans="1:15" x14ac:dyDescent="0.55000000000000004">
      <c r="A4" s="8" t="s">
        <v>14</v>
      </c>
      <c r="B4" t="s">
        <v>85</v>
      </c>
      <c r="C4" t="s">
        <v>86</v>
      </c>
      <c r="D4" t="s">
        <v>88</v>
      </c>
      <c r="E4">
        <v>-1.02</v>
      </c>
      <c r="F4">
        <v>3.29</v>
      </c>
      <c r="H4" t="s">
        <v>92</v>
      </c>
      <c r="I4">
        <f>COUNTIF(C2:C28,"=ok")</f>
        <v>11</v>
      </c>
      <c r="J4" s="18">
        <f t="shared" si="0"/>
        <v>0.40740740740740738</v>
      </c>
      <c r="N4" t="s">
        <v>116</v>
      </c>
      <c r="O4">
        <v>3</v>
      </c>
    </row>
    <row r="5" spans="1:15" x14ac:dyDescent="0.55000000000000004">
      <c r="A5" s="8" t="s">
        <v>15</v>
      </c>
      <c r="B5" t="s">
        <v>88</v>
      </c>
      <c r="D5" t="s">
        <v>98</v>
      </c>
      <c r="E5">
        <v>-1.048</v>
      </c>
      <c r="F5">
        <v>4.6500000000000004</v>
      </c>
      <c r="H5" t="s">
        <v>95</v>
      </c>
      <c r="I5">
        <f>COUNTIF(C2:C28,"=low-ok")</f>
        <v>7</v>
      </c>
      <c r="J5" s="18">
        <f t="shared" si="0"/>
        <v>0.25925925925925924</v>
      </c>
      <c r="N5" t="s">
        <v>16</v>
      </c>
      <c r="O5">
        <v>4</v>
      </c>
    </row>
    <row r="6" spans="1:15" x14ac:dyDescent="0.55000000000000004">
      <c r="A6" s="8" t="s">
        <v>16</v>
      </c>
      <c r="B6" t="s">
        <v>85</v>
      </c>
      <c r="C6" s="4" t="s">
        <v>89</v>
      </c>
      <c r="D6" t="s">
        <v>85</v>
      </c>
      <c r="E6" s="4">
        <v>-1</v>
      </c>
      <c r="F6">
        <v>5.55</v>
      </c>
      <c r="H6" t="s">
        <v>96</v>
      </c>
      <c r="I6">
        <f>I2-I4-I5</f>
        <v>2</v>
      </c>
      <c r="J6" s="18">
        <f t="shared" si="0"/>
        <v>7.407407407407407E-2</v>
      </c>
      <c r="N6" t="s">
        <v>18</v>
      </c>
      <c r="O6">
        <v>1</v>
      </c>
    </row>
    <row r="7" spans="1:15" x14ac:dyDescent="0.55000000000000004">
      <c r="A7" s="8" t="s">
        <v>17</v>
      </c>
      <c r="B7" t="s">
        <v>85</v>
      </c>
      <c r="C7" t="s">
        <v>86</v>
      </c>
      <c r="D7" t="s">
        <v>98</v>
      </c>
      <c r="E7">
        <v>-0.94</v>
      </c>
      <c r="F7">
        <v>4.22</v>
      </c>
      <c r="H7" t="s">
        <v>100</v>
      </c>
      <c r="I7">
        <f>COUNTIF(D2:D28,"=yes")</f>
        <v>11</v>
      </c>
      <c r="J7" s="18">
        <f t="shared" si="0"/>
        <v>0.40740740740740738</v>
      </c>
      <c r="N7" t="s">
        <v>19</v>
      </c>
      <c r="O7">
        <v>2</v>
      </c>
    </row>
    <row r="8" spans="1:15" x14ac:dyDescent="0.55000000000000004">
      <c r="A8" s="8" t="s">
        <v>18</v>
      </c>
      <c r="B8" t="s">
        <v>85</v>
      </c>
      <c r="C8" t="s">
        <v>87</v>
      </c>
      <c r="D8" t="s">
        <v>85</v>
      </c>
      <c r="E8">
        <v>-1.6779999999999999</v>
      </c>
      <c r="F8">
        <v>7.62</v>
      </c>
      <c r="H8" t="s">
        <v>101</v>
      </c>
      <c r="I8">
        <f>COUNTIF(D2:D28,"=yes weak")</f>
        <v>6</v>
      </c>
      <c r="J8" s="18">
        <f t="shared" si="0"/>
        <v>0.22222222222222221</v>
      </c>
      <c r="K8" s="19">
        <f>17/27</f>
        <v>0.62962962962962965</v>
      </c>
      <c r="N8" t="s">
        <v>20</v>
      </c>
      <c r="O8">
        <v>3</v>
      </c>
    </row>
    <row r="9" spans="1:15" x14ac:dyDescent="0.55000000000000004">
      <c r="A9" s="8" t="s">
        <v>19</v>
      </c>
      <c r="B9" t="s">
        <v>85</v>
      </c>
      <c r="C9" t="s">
        <v>86</v>
      </c>
      <c r="D9" t="s">
        <v>88</v>
      </c>
      <c r="E9">
        <v>-1.393</v>
      </c>
      <c r="F9">
        <v>5.08</v>
      </c>
      <c r="H9" t="s">
        <v>102</v>
      </c>
      <c r="I9">
        <f>COUNTIF(D2:D28,"no")</f>
        <v>10</v>
      </c>
      <c r="J9" s="18">
        <f>I9/I$1</f>
        <v>0.37037037037037035</v>
      </c>
      <c r="N9" t="s">
        <v>22</v>
      </c>
      <c r="O9" s="14">
        <v>4</v>
      </c>
    </row>
    <row r="10" spans="1:15" x14ac:dyDescent="0.55000000000000004">
      <c r="A10" s="8" t="s">
        <v>20</v>
      </c>
      <c r="B10" t="s">
        <v>85</v>
      </c>
      <c r="C10" t="s">
        <v>86</v>
      </c>
      <c r="D10" t="s">
        <v>85</v>
      </c>
      <c r="E10">
        <v>-1.1870000000000001</v>
      </c>
      <c r="F10">
        <v>4.8899999999999997</v>
      </c>
      <c r="J10" s="19">
        <f>J7+J8+J9</f>
        <v>0.99999999999999989</v>
      </c>
      <c r="N10" t="s">
        <v>23</v>
      </c>
      <c r="O10">
        <v>3</v>
      </c>
    </row>
    <row r="11" spans="1:15" x14ac:dyDescent="0.55000000000000004">
      <c r="A11" s="8" t="s">
        <v>21</v>
      </c>
      <c r="B11" t="s">
        <v>85</v>
      </c>
      <c r="C11" t="s">
        <v>86</v>
      </c>
      <c r="D11" t="s">
        <v>85</v>
      </c>
      <c r="E11">
        <v>-2.15</v>
      </c>
      <c r="F11">
        <v>4.2300000000000004</v>
      </c>
      <c r="H11" t="s">
        <v>104</v>
      </c>
      <c r="N11" t="s">
        <v>117</v>
      </c>
      <c r="O11">
        <v>2</v>
      </c>
    </row>
    <row r="12" spans="1:15" x14ac:dyDescent="0.55000000000000004">
      <c r="A12" s="8" t="s">
        <v>22</v>
      </c>
      <c r="B12" t="s">
        <v>85</v>
      </c>
      <c r="C12" t="s">
        <v>86</v>
      </c>
      <c r="D12" t="s">
        <v>88</v>
      </c>
      <c r="E12">
        <v>-0.97199999999999998</v>
      </c>
      <c r="F12">
        <v>3.38</v>
      </c>
      <c r="H12" t="s">
        <v>103</v>
      </c>
      <c r="N12" t="s">
        <v>118</v>
      </c>
      <c r="O12">
        <v>2</v>
      </c>
    </row>
    <row r="13" spans="1:15" x14ac:dyDescent="0.55000000000000004">
      <c r="A13" s="8" t="s">
        <v>23</v>
      </c>
      <c r="B13" t="s">
        <v>85</v>
      </c>
      <c r="C13" t="s">
        <v>86</v>
      </c>
      <c r="D13" t="s">
        <v>88</v>
      </c>
      <c r="E13">
        <v>-1.242</v>
      </c>
      <c r="F13">
        <v>5.61</v>
      </c>
      <c r="N13" t="s">
        <v>119</v>
      </c>
      <c r="O13">
        <v>3</v>
      </c>
    </row>
    <row r="14" spans="1:15" x14ac:dyDescent="0.55000000000000004">
      <c r="A14" s="8" t="s">
        <v>24</v>
      </c>
      <c r="B14" t="s">
        <v>85</v>
      </c>
      <c r="C14" t="s">
        <v>86</v>
      </c>
      <c r="D14" t="s">
        <v>88</v>
      </c>
      <c r="E14">
        <v>-2.3690000000000002</v>
      </c>
      <c r="F14">
        <v>8.6199999999999992</v>
      </c>
      <c r="N14" t="s">
        <v>120</v>
      </c>
      <c r="O14">
        <v>3</v>
      </c>
    </row>
    <row r="15" spans="1:15" x14ac:dyDescent="0.55000000000000004">
      <c r="A15" s="8" t="s">
        <v>25</v>
      </c>
      <c r="B15" t="s">
        <v>88</v>
      </c>
      <c r="D15" t="s">
        <v>88</v>
      </c>
      <c r="E15">
        <v>-1.8979999999999999</v>
      </c>
      <c r="F15">
        <v>11.47</v>
      </c>
      <c r="N15" t="s">
        <v>121</v>
      </c>
      <c r="O15">
        <v>3</v>
      </c>
    </row>
    <row r="16" spans="1:15" x14ac:dyDescent="0.55000000000000004">
      <c r="A16" s="8" t="s">
        <v>26</v>
      </c>
      <c r="B16" t="s">
        <v>88</v>
      </c>
      <c r="D16" t="s">
        <v>98</v>
      </c>
      <c r="E16">
        <v>-1.8420000000000001</v>
      </c>
      <c r="F16">
        <v>13.33</v>
      </c>
      <c r="N16" t="s">
        <v>122</v>
      </c>
      <c r="O16">
        <v>3</v>
      </c>
    </row>
    <row r="17" spans="1:15" x14ac:dyDescent="0.55000000000000004">
      <c r="A17" s="8" t="s">
        <v>27</v>
      </c>
      <c r="B17" t="s">
        <v>88</v>
      </c>
      <c r="D17" t="s">
        <v>88</v>
      </c>
      <c r="E17">
        <v>-1.169</v>
      </c>
      <c r="F17">
        <v>13.53</v>
      </c>
      <c r="N17" t="s">
        <v>123</v>
      </c>
      <c r="O17">
        <v>2</v>
      </c>
    </row>
    <row r="18" spans="1:15" x14ac:dyDescent="0.55000000000000004">
      <c r="A18" s="8" t="s">
        <v>28</v>
      </c>
      <c r="B18" t="s">
        <v>85</v>
      </c>
      <c r="C18" t="s">
        <v>86</v>
      </c>
      <c r="D18" t="s">
        <v>98</v>
      </c>
      <c r="E18" s="4">
        <v>-1</v>
      </c>
      <c r="F18">
        <v>2.96</v>
      </c>
      <c r="N18" t="s">
        <v>124</v>
      </c>
      <c r="O18">
        <v>3</v>
      </c>
    </row>
    <row r="19" spans="1:15" x14ac:dyDescent="0.55000000000000004">
      <c r="A19" s="8" t="s">
        <v>29</v>
      </c>
      <c r="B19" t="s">
        <v>85</v>
      </c>
      <c r="C19" t="s">
        <v>86</v>
      </c>
      <c r="D19" t="s">
        <v>88</v>
      </c>
      <c r="E19">
        <v>-0.93899999999999995</v>
      </c>
      <c r="F19">
        <v>4.97</v>
      </c>
      <c r="N19" t="s">
        <v>24</v>
      </c>
      <c r="O19">
        <v>2</v>
      </c>
    </row>
    <row r="20" spans="1:15" x14ac:dyDescent="0.55000000000000004">
      <c r="A20" s="8" t="s">
        <v>30</v>
      </c>
      <c r="B20" t="s">
        <v>85</v>
      </c>
      <c r="C20" t="s">
        <v>87</v>
      </c>
      <c r="D20" t="s">
        <v>85</v>
      </c>
      <c r="E20">
        <v>-2.3119999999999998</v>
      </c>
      <c r="F20">
        <v>5.18</v>
      </c>
      <c r="N20" t="s">
        <v>125</v>
      </c>
      <c r="O20">
        <v>3</v>
      </c>
    </row>
    <row r="21" spans="1:15" x14ac:dyDescent="0.55000000000000004">
      <c r="A21" s="8" t="s">
        <v>31</v>
      </c>
      <c r="B21" t="s">
        <v>88</v>
      </c>
      <c r="D21" t="s">
        <v>85</v>
      </c>
      <c r="E21">
        <v>-0.81899999999999995</v>
      </c>
      <c r="F21">
        <v>5.98</v>
      </c>
      <c r="N21" t="s">
        <v>126</v>
      </c>
      <c r="O21">
        <v>2</v>
      </c>
    </row>
    <row r="22" spans="1:15" x14ac:dyDescent="0.55000000000000004">
      <c r="A22" s="8" t="s">
        <v>32</v>
      </c>
      <c r="B22" t="s">
        <v>85</v>
      </c>
      <c r="C22" s="4" t="s">
        <v>90</v>
      </c>
      <c r="D22" t="s">
        <v>88</v>
      </c>
      <c r="E22">
        <v>-1.119</v>
      </c>
      <c r="F22">
        <v>3.67</v>
      </c>
      <c r="N22" t="s">
        <v>28</v>
      </c>
      <c r="O22">
        <v>4</v>
      </c>
    </row>
    <row r="23" spans="1:15" x14ac:dyDescent="0.55000000000000004">
      <c r="A23" s="8" t="s">
        <v>33</v>
      </c>
      <c r="B23" t="s">
        <v>85</v>
      </c>
      <c r="C23" t="s">
        <v>87</v>
      </c>
      <c r="D23" t="s">
        <v>98</v>
      </c>
      <c r="E23">
        <v>-1.909</v>
      </c>
      <c r="F23">
        <v>3.12</v>
      </c>
      <c r="N23" t="s">
        <v>29</v>
      </c>
      <c r="O23">
        <v>3</v>
      </c>
    </row>
    <row r="24" spans="1:15" x14ac:dyDescent="0.55000000000000004">
      <c r="A24" s="8" t="s">
        <v>34</v>
      </c>
      <c r="B24" t="s">
        <v>88</v>
      </c>
      <c r="D24" t="s">
        <v>98</v>
      </c>
      <c r="E24">
        <v>-1.155</v>
      </c>
      <c r="F24">
        <v>12.09</v>
      </c>
      <c r="N24" t="s">
        <v>30</v>
      </c>
      <c r="O24">
        <v>3</v>
      </c>
    </row>
    <row r="25" spans="1:15" x14ac:dyDescent="0.55000000000000004">
      <c r="A25" s="8" t="s">
        <v>35</v>
      </c>
      <c r="B25" t="s">
        <v>88</v>
      </c>
      <c r="D25" t="s">
        <v>85</v>
      </c>
      <c r="E25">
        <v>-0.22500000000000001</v>
      </c>
      <c r="F25">
        <v>5.0090000000000003</v>
      </c>
      <c r="N25" t="s">
        <v>127</v>
      </c>
      <c r="O25">
        <v>2</v>
      </c>
    </row>
    <row r="26" spans="1:15" x14ac:dyDescent="0.55000000000000004">
      <c r="A26" s="8" t="s">
        <v>36</v>
      </c>
      <c r="B26" t="s">
        <v>85</v>
      </c>
      <c r="C26" t="s">
        <v>87</v>
      </c>
      <c r="D26" t="s">
        <v>85</v>
      </c>
      <c r="E26">
        <v>-2.6779999999999999</v>
      </c>
      <c r="F26">
        <v>2.0089999999999999</v>
      </c>
      <c r="N26" t="s">
        <v>32</v>
      </c>
      <c r="O26">
        <v>2</v>
      </c>
    </row>
    <row r="27" spans="1:15" x14ac:dyDescent="0.55000000000000004">
      <c r="A27" s="8" t="s">
        <v>37</v>
      </c>
      <c r="B27" t="s">
        <v>85</v>
      </c>
      <c r="C27" t="s">
        <v>87</v>
      </c>
      <c r="D27" t="s">
        <v>85</v>
      </c>
      <c r="E27" s="4">
        <v>-1</v>
      </c>
      <c r="F27">
        <v>5.69</v>
      </c>
      <c r="N27" t="s">
        <v>33</v>
      </c>
      <c r="O27">
        <v>3</v>
      </c>
    </row>
    <row r="28" spans="1:15" x14ac:dyDescent="0.55000000000000004">
      <c r="A28" s="8" t="s">
        <v>38</v>
      </c>
      <c r="B28" t="s">
        <v>85</v>
      </c>
      <c r="C28" t="s">
        <v>87</v>
      </c>
      <c r="D28" t="s">
        <v>88</v>
      </c>
      <c r="E28">
        <v>-1.27</v>
      </c>
      <c r="F28">
        <v>3.62</v>
      </c>
      <c r="N28" t="s">
        <v>37</v>
      </c>
      <c r="O28">
        <v>4</v>
      </c>
    </row>
    <row r="29" spans="1:15" x14ac:dyDescent="0.55000000000000004">
      <c r="A29" s="8" t="s">
        <v>83</v>
      </c>
    </row>
    <row r="30" spans="1:15" x14ac:dyDescent="0.55000000000000004">
      <c r="A30" s="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data</vt:lpstr>
      <vt:lpstr>Model</vt:lpstr>
      <vt:lpstr>Sheet2</vt:lpstr>
      <vt:lpstr>ra</vt:lpstr>
      <vt:lpstr>rb</vt:lpstr>
      <vt:lpstr>retroU</vt:lpstr>
      <vt:lpstr>sbar</vt:lpstr>
      <vt:lpstr>useretro</vt:lpstr>
      <vt:lpstr>wt</vt:lpstr>
      <vt:lpstr>ybar</vt:lpstr>
      <vt:lpstr>yrretro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</dc:creator>
  <cp:lastModifiedBy>Walters, Carl John</cp:lastModifiedBy>
  <dcterms:created xsi:type="dcterms:W3CDTF">2025-11-12T21:46:11Z</dcterms:created>
  <dcterms:modified xsi:type="dcterms:W3CDTF">2026-04-02T13:37:13Z</dcterms:modified>
</cp:coreProperties>
</file>